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구군별 요약" sheetId="2" state="visible" r:id="rId2"/>
    <sheet name="전체" sheetId="3" state="visible" r:id="rId3"/>
    <sheet name="유치원" sheetId="4" state="visible" r:id="rId4"/>
    <sheet name="어린이집" sheetId="5" state="visible" r:id="rId5"/>
    <sheet name="초등학교" sheetId="6" state="visible" r:id="rId6"/>
  </sheets>
  <definedNames>
    <definedName name="_xlnm._FilterDatabase" localSheetId="2" hidden="1">'전체'!$A$1:$I$1917</definedName>
    <definedName name="_xlnm._FilterDatabase" localSheetId="3" hidden="1">'유치원'!$A$1:$O$380</definedName>
    <definedName name="_xlnm._FilterDatabase" localSheetId="4" hidden="1">'어린이집'!$A$1:$U$1218</definedName>
    <definedName name="_xlnm._FilterDatabase" localSheetId="5" hidden="1">'초등학교'!$A$1:$R$321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sz val="10"/>
    </font>
    <font>
      <name val="Arial"/>
      <i val="1"/>
      <color rgb="00595959"/>
      <sz val="9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4" fillId="0" borderId="0" pivotButton="0" quotePrefix="0" xfId="0"/>
    <xf numFmtId="3" fontId="4" fillId="0" borderId="0" pivotButton="0" quotePrefix="0" xfId="0"/>
    <xf numFmtId="0" fontId="2" fillId="4" borderId="0" pivotButton="0" quotePrefix="0" xfId="0"/>
    <xf numFmtId="3" fontId="2" fillId="4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3" fontId="4" fillId="4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2" fillId="4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school.busanedu.net/garak-k/main.do" TargetMode="External" Id="rId1" /><Relationship Type="http://schemas.openxmlformats.org/officeDocument/2006/relationships/hyperlink" Target="https://school.busanedu.net/gangseo-k" TargetMode="External" Id="rId2" /><Relationship Type="http://schemas.openxmlformats.org/officeDocument/2006/relationships/hyperlink" Target="https://school.busanedu.net/girin-k/" TargetMode="External" Id="rId3" /><Relationship Type="http://schemas.openxmlformats.org/officeDocument/2006/relationships/hyperlink" Target="http://school.busanedu.net/nammyeong-k" TargetMode="External" Id="rId4" /><Relationship Type="http://schemas.openxmlformats.org/officeDocument/2006/relationships/hyperlink" Target="http://school.busanedu.net/noksan-k/" TargetMode="External" Id="rId5" /><Relationship Type="http://schemas.openxmlformats.org/officeDocument/2006/relationships/hyperlink" Target="https://school.busanedu.net/Daejeo-k" TargetMode="External" Id="rId6" /><Relationship Type="http://schemas.openxmlformats.org/officeDocument/2006/relationships/hyperlink" Target="http://school.busanedu.net/myoungwon-k" TargetMode="External" Id="rId7" /><Relationship Type="http://schemas.openxmlformats.org/officeDocument/2006/relationships/hyperlink" Target="https://school.busanedu.net/myeong1-k" TargetMode="External" Id="rId8" /><Relationship Type="http://schemas.openxmlformats.org/officeDocument/2006/relationships/hyperlink" Target="https://school.busanedu.net/myeongjigaon-k/main.do" TargetMode="External" Id="rId9" /><Relationship Type="http://schemas.openxmlformats.org/officeDocument/2006/relationships/hyperlink" Target="https://school.busanedu.net/myungjidream-k/main.do" TargetMode="External" Id="rId10" /><Relationship Type="http://schemas.openxmlformats.org/officeDocument/2006/relationships/hyperlink" Target="https://school.busanedu.net/mjbaewha-k" TargetMode="External" Id="rId11" /><Relationship Type="http://schemas.openxmlformats.org/officeDocument/2006/relationships/hyperlink" Target="http://school.busanedu.net/myungji-k/main.do" TargetMode="External" Id="rId12" /><Relationship Type="http://schemas.openxmlformats.org/officeDocument/2006/relationships/hyperlink" Target="http://school.busanedu.net/myungho-k/main.do" TargetMode="External" Id="rId13" /><Relationship Type="http://schemas.openxmlformats.org/officeDocument/2006/relationships/hyperlink" Target="http://school.busanedu.net/BoGwang-k" TargetMode="External" Id="rId14" /><Relationship Type="http://schemas.openxmlformats.org/officeDocument/2006/relationships/hyperlink" Target="https://school.busanedu.net/saegyeol-k/main.do" TargetMode="External" Id="rId15" /><Relationship Type="http://schemas.openxmlformats.org/officeDocument/2006/relationships/hyperlink" Target="http://school.busanedu.net/sjkids-k" TargetMode="External" Id="rId16" /><Relationship Type="http://schemas.openxmlformats.org/officeDocument/2006/relationships/hyperlink" Target="http://school.busanedu.net/smkids-k/main.do" TargetMode="External" Id="rId17" /><Relationship Type="http://schemas.openxmlformats.org/officeDocument/2006/relationships/hyperlink" Target="http://school.busanedu.net/shinho-k/main.do" TargetMode="External" Id="rId18" /><Relationship Type="http://schemas.openxmlformats.org/officeDocument/2006/relationships/hyperlink" Target="https://school.busanedu.net/yeoul-k/main.do" TargetMode="External" Id="rId19" /><Relationship Type="http://schemas.openxmlformats.org/officeDocument/2006/relationships/hyperlink" Target="http://school.busanedu.net/oceankids-k/main.do" TargetMode="External" Id="rId20" /><Relationship Type="http://schemas.openxmlformats.org/officeDocument/2006/relationships/hyperlink" Target="https://school.busanedu.net/chunga-k" TargetMode="External" Id="rId21" /><Relationship Type="http://schemas.openxmlformats.org/officeDocument/2006/relationships/hyperlink" Target="http://school.busanedu.net/kuseo-k/" TargetMode="External" Id="rId22" /><Relationship Type="http://schemas.openxmlformats.org/officeDocument/2006/relationships/hyperlink" Target="http://school.busanedu.net/kumsa-k" TargetMode="External" Id="rId23" /><Relationship Type="http://schemas.openxmlformats.org/officeDocument/2006/relationships/hyperlink" Target="https://school.busanedu.net/geumsaem-k" TargetMode="External" Id="rId24" /><Relationship Type="http://schemas.openxmlformats.org/officeDocument/2006/relationships/hyperlink" Target="http://school.busanedu.net/guemjung-k" TargetMode="External" Id="rId25" /><Relationship Type="http://schemas.openxmlformats.org/officeDocument/2006/relationships/hyperlink" Target="http://school.busanedu.net/deawu-k" TargetMode="External" Id="rId26" /><Relationship Type="http://schemas.openxmlformats.org/officeDocument/2006/relationships/hyperlink" Target="https://school.busanedu.net/dongraekg-k/main.do" TargetMode="External" Id="rId27" /><Relationship Type="http://schemas.openxmlformats.org/officeDocument/2006/relationships/hyperlink" Target="http://www.cafe.daum.net/db0610" TargetMode="External" Id="rId28" /><Relationship Type="http://schemas.openxmlformats.org/officeDocument/2006/relationships/hyperlink" Target="http://school.busanedu.net/kwangmyoung-k" TargetMode="External" Id="rId29" /><Relationship Type="http://schemas.openxmlformats.org/officeDocument/2006/relationships/hyperlink" Target="http://school.busanedu.net/seomyeong-k" TargetMode="External" Id="rId30" /><Relationship Type="http://schemas.openxmlformats.org/officeDocument/2006/relationships/hyperlink" Target="http://school.busanedu.net/sosim-k" TargetMode="External" Id="rId31" /><Relationship Type="http://schemas.openxmlformats.org/officeDocument/2006/relationships/hyperlink" Target="https://school.busanedu.net/ain-k/main.do" TargetMode="External" Id="rId32" /><Relationship Type="http://schemas.openxmlformats.org/officeDocument/2006/relationships/hyperlink" Target="http://school.busanedu.net/cheongryong-k/" TargetMode="External" Id="rId33" /><Relationship Type="http://schemas.openxmlformats.org/officeDocument/2006/relationships/hyperlink" Target="http://cafe.daum.net/tntnhappy" TargetMode="External" Id="rId34" /><Relationship Type="http://schemas.openxmlformats.org/officeDocument/2006/relationships/hyperlink" Target="http://parangsae.or.kr" TargetMode="External" Id="rId35" /><Relationship Type="http://schemas.openxmlformats.org/officeDocument/2006/relationships/hyperlink" Target="http://cafe.naver.com/hanakids9792" TargetMode="External" Id="rId36" /><Relationship Type="http://schemas.openxmlformats.org/officeDocument/2006/relationships/hyperlink" Target="http://school.busanedu.net/gadong-k" TargetMode="External" Id="rId37" /><Relationship Type="http://schemas.openxmlformats.org/officeDocument/2006/relationships/hyperlink" Target="https://school.busanedu.net/gyori-k/main.do" TargetMode="External" Id="rId38" /><Relationship Type="http://schemas.openxmlformats.org/officeDocument/2006/relationships/hyperlink" Target="http://school.busanedu.net/gijang-k/main.do" TargetMode="External" Id="rId39" /><Relationship Type="http://schemas.openxmlformats.org/officeDocument/2006/relationships/hyperlink" Target="http://school.busanedu.net/naeri-k" TargetMode="External" Id="rId40" /><Relationship Type="http://schemas.openxmlformats.org/officeDocument/2006/relationships/hyperlink" Target="http://school.busanedu.net/dalsan-k" TargetMode="External" Id="rId41" /><Relationship Type="http://schemas.openxmlformats.org/officeDocument/2006/relationships/hyperlink" Target="https://school.busanedu.net/bsmojeon-k" TargetMode="External" Id="rId42" /><Relationship Type="http://schemas.openxmlformats.org/officeDocument/2006/relationships/hyperlink" Target="http://school.busanedu.net/kbanggok-k/main.do" TargetMode="External" Id="rId43" /><Relationship Type="http://schemas.openxmlformats.org/officeDocument/2006/relationships/hyperlink" Target="http://school.busanedu.net/sehwa-k/" TargetMode="External" Id="rId44" /><Relationship Type="http://schemas.openxmlformats.org/officeDocument/2006/relationships/hyperlink" Target="https://blog.naver.com/inthewoodkids" TargetMode="External" Id="rId45" /><Relationship Type="http://schemas.openxmlformats.org/officeDocument/2006/relationships/hyperlink" Target="http://school.busanedu.net/sinjin-k" TargetMode="External" Id="rId46" /><Relationship Type="http://schemas.openxmlformats.org/officeDocument/2006/relationships/hyperlink" Target="http://wollae.es.kr/" TargetMode="External" Id="rId47" /><Relationship Type="http://schemas.openxmlformats.org/officeDocument/2006/relationships/hyperlink" Target="http://bswp.es.kr/" TargetMode="External" Id="rId48" /><Relationship Type="http://schemas.openxmlformats.org/officeDocument/2006/relationships/hyperlink" Target="https://school.busanedu.net/ilgwang42-k/" TargetMode="External" Id="rId49" /><Relationship Type="http://schemas.openxmlformats.org/officeDocument/2006/relationships/hyperlink" Target="http://jangancho.es.kr/" TargetMode="External" Id="rId50" /><Relationship Type="http://schemas.openxmlformats.org/officeDocument/2006/relationships/hyperlink" Target="http://school.busanedu.net/jgBerkeley-k" TargetMode="External" Id="rId51" /><Relationship Type="http://schemas.openxmlformats.org/officeDocument/2006/relationships/hyperlink" Target="http://school.busanedu.net/jkschool-k" TargetMode="External" Id="rId52" /><Relationship Type="http://schemas.openxmlformats.org/officeDocument/2006/relationships/hyperlink" Target="http://school.busanedu.net/piola-k" TargetMode="External" Id="rId53" /><Relationship Type="http://schemas.openxmlformats.org/officeDocument/2006/relationships/hyperlink" Target="http://school.busanedu.net/jeongwon-k" TargetMode="External" Id="rId54" /><Relationship Type="http://schemas.openxmlformats.org/officeDocument/2006/relationships/hyperlink" Target="https://school.busanedu.net/jwacheon-k/main.do" TargetMode="External" Id="rId55" /><Relationship Type="http://schemas.openxmlformats.org/officeDocument/2006/relationships/hyperlink" Target="http://jukseong.es.kr/" TargetMode="External" Id="rId56" /><Relationship Type="http://schemas.openxmlformats.org/officeDocument/2006/relationships/hyperlink" Target="http://school.busanedu.net/chulma-k/main.do" TargetMode="External" Id="rId57" /><Relationship Type="http://schemas.openxmlformats.org/officeDocument/2006/relationships/hyperlink" Target="http://www.chilam.es.kr" TargetMode="External" Id="rId58" /><Relationship Type="http://schemas.openxmlformats.org/officeDocument/2006/relationships/hyperlink" Target="https://school.busanedu.net/hansol-k" TargetMode="External" Id="rId59" /><Relationship Type="http://schemas.openxmlformats.org/officeDocument/2006/relationships/hyperlink" Target="http://school.busanedu.net/heanuri-k/main.do" TargetMode="External" Id="rId60" /><Relationship Type="http://schemas.openxmlformats.org/officeDocument/2006/relationships/hyperlink" Target="http://school.busanedu.net/haebitkg-k/" TargetMode="External" Id="rId61" /><Relationship Type="http://schemas.openxmlformats.org/officeDocument/2006/relationships/hyperlink" Target="http://school.busanedu.net/haebit-k" TargetMode="External" Id="rId62" /><Relationship Type="http://schemas.openxmlformats.org/officeDocument/2006/relationships/hyperlink" Target="http://school.busanedu.net/lgmetrocity-k" TargetMode="External" Id="rId63" /><Relationship Type="http://schemas.openxmlformats.org/officeDocument/2006/relationships/hyperlink" Target="http://moonhyun.es.kr/" TargetMode="External" Id="rId64" /><Relationship Type="http://schemas.openxmlformats.org/officeDocument/2006/relationships/hyperlink" Target="https://school.busanedu.net/daeyeon-k" TargetMode="External" Id="rId65" /><Relationship Type="http://schemas.openxmlformats.org/officeDocument/2006/relationships/hyperlink" Target="http://home.saebusan.modukids.com" TargetMode="External" Id="rId66" /><Relationship Type="http://schemas.openxmlformats.org/officeDocument/2006/relationships/hyperlink" Target="http://school.busanedu.net/esungdong-k/main.do" TargetMode="External" Id="rId67" /><Relationship Type="http://schemas.openxmlformats.org/officeDocument/2006/relationships/hyperlink" Target="http://school.busanedu.net/sungsin-k" TargetMode="External" Id="rId68" /><Relationship Type="http://schemas.openxmlformats.org/officeDocument/2006/relationships/hyperlink" Target="http://school.busanedu.net/sol-k" TargetMode="External" Id="rId69" /><Relationship Type="http://schemas.openxmlformats.org/officeDocument/2006/relationships/hyperlink" Target="http://school.busanedu.net/yonpo-k/main.do" TargetMode="External" Id="rId70" /><Relationship Type="http://schemas.openxmlformats.org/officeDocument/2006/relationships/hyperlink" Target="http://school.busanedu.net/yong-san-k/main.do" TargetMode="External" Id="rId71" /><Relationship Type="http://schemas.openxmlformats.org/officeDocument/2006/relationships/hyperlink" Target="http://school.busanedu.net/yong-so-k/main.do" TargetMode="External" Id="rId72" /><Relationship Type="http://schemas.openxmlformats.org/officeDocument/2006/relationships/hyperlink" Target="http://school.busanedu.net/uambusan-k" TargetMode="External" Id="rId73" /><Relationship Type="http://schemas.openxmlformats.org/officeDocument/2006/relationships/hyperlink" Target="http://school.busanedu.net/eunha-k/main.do" TargetMode="External" Id="rId74" /><Relationship Type="http://schemas.openxmlformats.org/officeDocument/2006/relationships/hyperlink" Target="https://school.busanedu.net/haemalkeun-k" TargetMode="External" Id="rId75" /><Relationship Type="http://schemas.openxmlformats.org/officeDocument/2006/relationships/hyperlink" Target="http://school.busanedu.net/dongilkid-k" TargetMode="External" Id="rId76" /><Relationship Type="http://schemas.openxmlformats.org/officeDocument/2006/relationships/hyperlink" Target="http://beom-il.es.kr" TargetMode="External" Id="rId77" /><Relationship Type="http://schemas.openxmlformats.org/officeDocument/2006/relationships/hyperlink" Target="http://school.busanedu.net/pusansungnam-k" TargetMode="External" Id="rId78" /><Relationship Type="http://schemas.openxmlformats.org/officeDocument/2006/relationships/hyperlink" Target="http://suseong.es.kr" TargetMode="External" Id="rId79" /><Relationship Type="http://schemas.openxmlformats.org/officeDocument/2006/relationships/hyperlink" Target="http://school.busanedu.net/hanlim-k" TargetMode="External" Id="rId80" /><Relationship Type="http://schemas.openxmlformats.org/officeDocument/2006/relationships/hyperlink" Target="http://school.busanedu.net/kd-k/main.do" TargetMode="External" Id="rId81" /><Relationship Type="http://schemas.openxmlformats.org/officeDocument/2006/relationships/hyperlink" Target="http://school.busanedu.net/nakmin-k/main.do" TargetMode="External" Id="rId82" /><Relationship Type="http://schemas.openxmlformats.org/officeDocument/2006/relationships/hyperlink" Target="https://school.busanedu.net/naesung-k" TargetMode="External" Id="rId83" /><Relationship Type="http://schemas.openxmlformats.org/officeDocument/2006/relationships/hyperlink" Target="https://school.busanedu.net/dongnae-k/main.do" TargetMode="External" Id="rId84" /><Relationship Type="http://schemas.openxmlformats.org/officeDocument/2006/relationships/hyperlink" Target="http://cafe.daum.net/mindulekids" TargetMode="External" Id="rId85" /><Relationship Type="http://schemas.openxmlformats.org/officeDocument/2006/relationships/hyperlink" Target="https://school.busanedu.net/pupryun-k" TargetMode="External" Id="rId86" /><Relationship Type="http://schemas.openxmlformats.org/officeDocument/2006/relationships/hyperlink" Target="https://school.busanedu.net/sajik-k" TargetMode="External" Id="rId87" /><Relationship Type="http://schemas.openxmlformats.org/officeDocument/2006/relationships/hyperlink" Target="http://school.busanedu.net/sajik6677-k/main.do" TargetMode="External" Id="rId88" /><Relationship Type="http://schemas.openxmlformats.org/officeDocument/2006/relationships/hyperlink" Target="http://school.busanedu.net/suan-k" TargetMode="External" Id="rId89" /><Relationship Type="http://schemas.openxmlformats.org/officeDocument/2006/relationships/hyperlink" Target="http://anrak.es.kr/" TargetMode="External" Id="rId90" /><Relationship Type="http://schemas.openxmlformats.org/officeDocument/2006/relationships/hyperlink" Target="https://school.busanedu.net/anjin-k/main.do" TargetMode="External" Id="rId91" /><Relationship Type="http://schemas.openxmlformats.org/officeDocument/2006/relationships/hyperlink" Target="https://www.yeogo.co.kr" TargetMode="External" Id="rId92" /><Relationship Type="http://schemas.openxmlformats.org/officeDocument/2006/relationships/hyperlink" Target="https://school.busanedu.net/yeinkid-k/main.do" TargetMode="External" Id="rId93" /><Relationship Type="http://schemas.openxmlformats.org/officeDocument/2006/relationships/hyperlink" Target="http://school.busanedu.net/onsaem-k/main.do" TargetMode="External" Id="rId94" /><Relationship Type="http://schemas.openxmlformats.org/officeDocument/2006/relationships/hyperlink" Target="http://cafe.daum.net/hannuri2207" TargetMode="External" Id="rId95" /><Relationship Type="http://schemas.openxmlformats.org/officeDocument/2006/relationships/hyperlink" Target="https://school.busanedu.net/hyehwa-k" TargetMode="External" Id="rId96" /><Relationship Type="http://schemas.openxmlformats.org/officeDocument/2006/relationships/hyperlink" Target="http://school.busanedu.net/HongikKindergarten-k" TargetMode="External" Id="rId97" /><Relationship Type="http://schemas.openxmlformats.org/officeDocument/2006/relationships/hyperlink" Target="http://school.busanedu.net/gaerim-k" TargetMode="External" Id="rId98" /><Relationship Type="http://schemas.openxmlformats.org/officeDocument/2006/relationships/hyperlink" Target="http://school.busanedu.net/gaepo-k" TargetMode="External" Id="rId99" /><Relationship Type="http://schemas.openxmlformats.org/officeDocument/2006/relationships/hyperlink" Target="http://school.busanedu.net/nuelpureun-k/main.do" TargetMode="External" Id="rId100" /><Relationship Type="http://schemas.openxmlformats.org/officeDocument/2006/relationships/hyperlink" Target="https://cafe.naver.com/dawon8097335" TargetMode="External" Id="rId101" /><Relationship Type="http://schemas.openxmlformats.org/officeDocument/2006/relationships/hyperlink" Target="http://school.busanedu.net/danggam-k" TargetMode="External" Id="rId102" /><Relationship Type="http://schemas.openxmlformats.org/officeDocument/2006/relationships/hyperlink" Target="http://school.busanedu.net/dangpyung-k" TargetMode="External" Id="rId103" /><Relationship Type="http://schemas.openxmlformats.org/officeDocument/2006/relationships/hyperlink" Target="https://school.busanedu.net/dongsungkids-k" TargetMode="External" Id="rId104" /><Relationship Type="http://schemas.openxmlformats.org/officeDocument/2006/relationships/hyperlink" Target="http://kids.bwc.ac.kr" TargetMode="External" Id="rId105" /><Relationship Type="http://schemas.openxmlformats.org/officeDocument/2006/relationships/hyperlink" Target="http://school.busanedu.net/busanjin-k/" TargetMode="External" Id="rId106" /><Relationship Type="http://schemas.openxmlformats.org/officeDocument/2006/relationships/hyperlink" Target="http://school.busanedu.net/pspujun-k" TargetMode="External" Id="rId107" /><Relationship Type="http://schemas.openxmlformats.org/officeDocument/2006/relationships/hyperlink" Target="http://school.busanedu.net/sunam-k" TargetMode="External" Id="rId108" /><Relationship Type="http://schemas.openxmlformats.org/officeDocument/2006/relationships/hyperlink" Target="https://school.busanedu.net/seongbuk-k/main.do" TargetMode="External" Id="rId109" /><Relationship Type="http://schemas.openxmlformats.org/officeDocument/2006/relationships/hyperlink" Target="https://school.busanedu.net/sungji-e/main.do" TargetMode="External" Id="rId110" /><Relationship Type="http://schemas.openxmlformats.org/officeDocument/2006/relationships/hyperlink" Target="https://school.busanedu.net/lgkid7002-k/main.do" TargetMode="External" Id="rId111" /><Relationship Type="http://schemas.openxmlformats.org/officeDocument/2006/relationships/hyperlink" Target="https://school.busanedu.net/yejong-k" TargetMode="External" Id="rId112" /><Relationship Type="http://schemas.openxmlformats.org/officeDocument/2006/relationships/hyperlink" Target="http://school.busanedu.net/jeonpoyu-k" TargetMode="External" Id="rId113" /><Relationship Type="http://schemas.openxmlformats.org/officeDocument/2006/relationships/hyperlink" Target="https://school.busanedu.net/jure-k/" TargetMode="External" Id="rId114" /><Relationship Type="http://schemas.openxmlformats.org/officeDocument/2006/relationships/hyperlink" Target="https://school.busanedu.net/hansalang-k" TargetMode="External" Id="rId115" /><Relationship Type="http://schemas.openxmlformats.org/officeDocument/2006/relationships/hyperlink" Target="http://dabuler.github.io/5400/" TargetMode="External" Id="rId116" /><Relationship Type="http://schemas.openxmlformats.org/officeDocument/2006/relationships/hyperlink" Target="https://school.busanedu.net/21c5200-k" TargetMode="External" Id="rId117" /><Relationship Type="http://schemas.openxmlformats.org/officeDocument/2006/relationships/hyperlink" Target="https://school.busanedu.net/kunam-k/main.do" TargetMode="External" Id="rId118" /><Relationship Type="http://schemas.openxmlformats.org/officeDocument/2006/relationships/hyperlink" Target="http://school.busanedu.net/greencore-k/main.do" TargetMode="External" Id="rId119" /><Relationship Type="http://schemas.openxmlformats.org/officeDocument/2006/relationships/hyperlink" Target="http://school.busanedu.net/gnr-k/main.do" TargetMode="External" Id="rId120" /><Relationship Type="http://schemas.openxmlformats.org/officeDocument/2006/relationships/hyperlink" Target="http://school.busanedu.net/geummyeong-k" TargetMode="External" Id="rId121" /><Relationship Type="http://schemas.openxmlformats.org/officeDocument/2006/relationships/hyperlink" Target="http://school.busanedu.net/geumchang-k/" TargetMode="External" Id="rId122" /><Relationship Type="http://schemas.openxmlformats.org/officeDocument/2006/relationships/hyperlink" Target="https://school.busanedu.net/daechunlee-k" TargetMode="External" Id="rId123" /><Relationship Type="http://schemas.openxmlformats.org/officeDocument/2006/relationships/hyperlink" Target="http://dsedu.es.kr" TargetMode="External" Id="rId124" /><Relationship Type="http://schemas.openxmlformats.org/officeDocument/2006/relationships/hyperlink" Target="https://school.busanedu.net/dukyang-k/main.do" TargetMode="External" Id="rId125" /><Relationship Type="http://schemas.openxmlformats.org/officeDocument/2006/relationships/hyperlink" Target="http://school.busanedu.net/dck99-k/main.do" TargetMode="External" Id="rId126" /><Relationship Type="http://schemas.openxmlformats.org/officeDocument/2006/relationships/hyperlink" Target="http://school.busanedu.net/kiser-k/main.do" TargetMode="External" Id="rId127" /><Relationship Type="http://schemas.openxmlformats.org/officeDocument/2006/relationships/hyperlink" Target="http://school.busanedu.net/myd-k" TargetMode="External" Id="rId128" /><Relationship Type="http://schemas.openxmlformats.org/officeDocument/2006/relationships/hyperlink" Target="http://myungjin.es.kr/" TargetMode="External" Id="rId129" /><Relationship Type="http://schemas.openxmlformats.org/officeDocument/2006/relationships/hyperlink" Target="https://school.busanedu.net/baekyang-k/main.do" TargetMode="External" Id="rId130" /><Relationship Type="http://schemas.openxmlformats.org/officeDocument/2006/relationships/hyperlink" Target="https://school.busanedu.net/bjmm-k" TargetMode="External" Id="rId131" /><Relationship Type="http://schemas.openxmlformats.org/officeDocument/2006/relationships/hyperlink" Target="https://m.blog.naver.com/PostList.naver?blogId=eunsung567-" TargetMode="External" Id="rId132" /><Relationship Type="http://schemas.openxmlformats.org/officeDocument/2006/relationships/hyperlink" Target="http://school.busanedu.net/sinkum-k/main.do" TargetMode="External" Id="rId133" /><Relationship Type="http://schemas.openxmlformats.org/officeDocument/2006/relationships/hyperlink" Target="http://school.busanedu.net/sinduk-k/main.do" TargetMode="External" Id="rId134" /><Relationship Type="http://schemas.openxmlformats.org/officeDocument/2006/relationships/hyperlink" Target="http://school.busanedu.net/waseok-k/" TargetMode="External" Id="rId135" /><Relationship Type="http://schemas.openxmlformats.org/officeDocument/2006/relationships/hyperlink" Target="https://school.busanedu.net/yongsu-k" TargetMode="External" Id="rId136" /><Relationship Type="http://schemas.openxmlformats.org/officeDocument/2006/relationships/hyperlink" Target="https://school.busanedu.net/wonhyojungsa-k/main.do" TargetMode="External" Id="rId137" /><Relationship Type="http://schemas.openxmlformats.org/officeDocument/2006/relationships/hyperlink" Target="http://school.busanedu.net/pochen-k/main.do" TargetMode="External" Id="rId138" /><Relationship Type="http://schemas.openxmlformats.org/officeDocument/2006/relationships/hyperlink" Target="http://school.busanedu.net/sunlight-k" TargetMode="External" Id="rId139" /><Relationship Type="http://schemas.openxmlformats.org/officeDocument/2006/relationships/hyperlink" Target="http://school.busanedu.net/hyundaiyeoulim-k" TargetMode="External" Id="rId140" /><Relationship Type="http://schemas.openxmlformats.org/officeDocument/2006/relationships/hyperlink" Target="http://school.busanedu.net/hwamyeongkkum-k/" TargetMode="External" Id="rId141" /><Relationship Type="http://schemas.openxmlformats.org/officeDocument/2006/relationships/hyperlink" Target="http://school.busanedu.net/hwajam-k/" TargetMode="External" Id="rId142" /><Relationship Type="http://schemas.openxmlformats.org/officeDocument/2006/relationships/hyperlink" Target="https://school.busanedu.net/hyorim-k" TargetMode="External" Id="rId143" /><Relationship Type="http://schemas.openxmlformats.org/officeDocument/2006/relationships/hyperlink" Target="https://school.busanedu.net/karam-k/main.do" TargetMode="External" Id="rId144" /><Relationship Type="http://schemas.openxmlformats.org/officeDocument/2006/relationships/hyperlink" Target="https://school.busanedu.net/gamjeon-k" TargetMode="External" Id="rId145" /><Relationship Type="http://schemas.openxmlformats.org/officeDocument/2006/relationships/hyperlink" Target="http://www.kidkit.kg.kr/" TargetMode="External" Id="rId146" /><Relationship Type="http://schemas.openxmlformats.org/officeDocument/2006/relationships/hyperlink" Target="http://school.busanedu.net/gwaebeophanshin-k/main.do" TargetMode="External" Id="rId147" /><Relationship Type="http://schemas.openxmlformats.org/officeDocument/2006/relationships/hyperlink" Target="http://school.busanedu.net/noa-k" TargetMode="External" Id="rId148" /><Relationship Type="http://schemas.openxmlformats.org/officeDocument/2006/relationships/hyperlink" Target="http://school.busanedu.net/dphansaem-k/main.do" TargetMode="External" Id="rId149" /><Relationship Type="http://schemas.openxmlformats.org/officeDocument/2006/relationships/hyperlink" Target="http://school.busanedu.net/luckyds-k" TargetMode="External" Id="rId150" /><Relationship Type="http://schemas.openxmlformats.org/officeDocument/2006/relationships/hyperlink" Target="http://school.busanedu.net/moduk-k" TargetMode="External" Id="rId151" /><Relationship Type="http://schemas.openxmlformats.org/officeDocument/2006/relationships/hyperlink" Target="http://school.busanedu.net/modeok-k/" TargetMode="External" Id="rId152" /><Relationship Type="http://schemas.openxmlformats.org/officeDocument/2006/relationships/hyperlink" Target="https://school.busanedu.net/modong2-k" TargetMode="External" Id="rId153" /><Relationship Type="http://schemas.openxmlformats.org/officeDocument/2006/relationships/hyperlink" Target="https://school.busanedu.net/mudeok-k/main.do" TargetMode="External" Id="rId154" /><Relationship Type="http://schemas.openxmlformats.org/officeDocument/2006/relationships/hyperlink" Target="http://school.busanedu.net/berkeley-m-m-k" TargetMode="External" Id="rId155" /><Relationship Type="http://schemas.openxmlformats.org/officeDocument/2006/relationships/hyperlink" Target="https://school.busanedu.net/sarang9600-k" TargetMode="External" Id="rId156" /><Relationship Type="http://schemas.openxmlformats.org/officeDocument/2006/relationships/hyperlink" Target="https://school.busanedu.net/sasang-k" TargetMode="External" Id="rId157" /><Relationship Type="http://schemas.openxmlformats.org/officeDocument/2006/relationships/hyperlink" Target="https://school.busanedu.net/samdok-k/main.do" TargetMode="External" Id="rId158" /><Relationship Type="http://schemas.openxmlformats.org/officeDocument/2006/relationships/hyperlink" Target="http://school.busanedu.net/seogam-k" TargetMode="External" Id="rId159" /><Relationship Type="http://schemas.openxmlformats.org/officeDocument/2006/relationships/hyperlink" Target="http://school.busanedu.net/eomgungnuri-k/main.do" TargetMode="External" Id="rId160" /><Relationship Type="http://schemas.openxmlformats.org/officeDocument/2006/relationships/hyperlink" Target="http://school.busanedu.net/emgunghanshin-k/main.do" TargetMode="External" Id="rId161" /><Relationship Type="http://schemas.openxmlformats.org/officeDocument/2006/relationships/hyperlink" Target="https://school.busanedu.net/euddeum-k" TargetMode="External" Id="rId162" /><Relationship Type="http://schemas.openxmlformats.org/officeDocument/2006/relationships/hyperlink" Target="https://school.busanedu.net/jugam-k" TargetMode="External" Id="rId163" /><Relationship Type="http://schemas.openxmlformats.org/officeDocument/2006/relationships/hyperlink" Target="https://school.busanedu.net/hanbit7017-k" TargetMode="External" Id="rId164" /><Relationship Type="http://schemas.openxmlformats.org/officeDocument/2006/relationships/hyperlink" Target="http://school.busanedu.net/gam-k/" TargetMode="External" Id="rId165" /><Relationship Type="http://schemas.openxmlformats.org/officeDocument/2006/relationships/hyperlink" Target="http://blog.naver.com/talent6?Redirect=Log&amp;amp;amp;logNo=40202612577" TargetMode="External" Id="rId166" /><Relationship Type="http://schemas.openxmlformats.org/officeDocument/2006/relationships/hyperlink" Target="https://school.busanedu.net/dasun-k/main.do" TargetMode="External" Id="rId167" /><Relationship Type="http://schemas.openxmlformats.org/officeDocument/2006/relationships/hyperlink" Target="http://school.busanedu.net/dasong-k" TargetMode="External" Id="rId168" /><Relationship Type="http://schemas.openxmlformats.org/officeDocument/2006/relationships/hyperlink" Target="http://school.busanedu.net/hlgarak-k" TargetMode="External" Id="rId169" /><Relationship Type="http://schemas.openxmlformats.org/officeDocument/2006/relationships/hyperlink" Target="http://school.busanedu.net/dangni-k/main.do" TargetMode="External" Id="rId170" /><Relationship Type="http://schemas.openxmlformats.org/officeDocument/2006/relationships/hyperlink" Target="https://school.busanedu.net/thegreen-k/main.do" TargetMode="External" Id="rId171" /><Relationship Type="http://schemas.openxmlformats.org/officeDocument/2006/relationships/hyperlink" Target="https://school.busanedu.net/lotteCastle-k/main.do" TargetMode="External" Id="rId172" /><Relationship Type="http://schemas.openxmlformats.org/officeDocument/2006/relationships/hyperlink" Target="http://maple.kkmom.com/" TargetMode="External" Id="rId173" /><Relationship Type="http://schemas.openxmlformats.org/officeDocument/2006/relationships/hyperlink" Target="http://school.busanedu.net/morundae-k/main.do" TargetMode="External" Id="rId174" /><Relationship Type="http://schemas.openxmlformats.org/officeDocument/2006/relationships/hyperlink" Target="http://school.busanedu.net/psadong-k/main.do" TargetMode="External" Id="rId175" /><Relationship Type="http://schemas.openxmlformats.org/officeDocument/2006/relationships/hyperlink" Target="http://school.busanedu.net/sinik-k/main.do" TargetMode="External" Id="rId176" /><Relationship Type="http://schemas.openxmlformats.org/officeDocument/2006/relationships/hyperlink" Target="http://school.busanedu.net/okchun-k/main.do" TargetMode="External" Id="rId177" /><Relationship Type="http://schemas.openxmlformats.org/officeDocument/2006/relationships/hyperlink" Target="http://school.busanedu.net/jangrim-k" TargetMode="External" Id="rId178" /><Relationship Type="http://schemas.openxmlformats.org/officeDocument/2006/relationships/hyperlink" Target="https://school.busanedu.net/junghyun-k" TargetMode="External" Id="rId179" /><Relationship Type="http://schemas.openxmlformats.org/officeDocument/2006/relationships/hyperlink" Target="https://school.busanedu.net/kinderluda-k" TargetMode="External" Id="rId180" /><Relationship Type="http://schemas.openxmlformats.org/officeDocument/2006/relationships/hyperlink" Target="https://school.busanedu.net/jisan-k" TargetMode="External" Id="rId181" /><Relationship Type="http://schemas.openxmlformats.org/officeDocument/2006/relationships/hyperlink" Target="http://school.busanedu.net/ichamsarang-k/main.do" TargetMode="External" Id="rId182" /><Relationship Type="http://schemas.openxmlformats.org/officeDocument/2006/relationships/hyperlink" Target="http://school.busanedu.net/hanam-k/main.do" TargetMode="External" Id="rId183" /><Relationship Type="http://schemas.openxmlformats.org/officeDocument/2006/relationships/hyperlink" Target="http://skyflower.kidis.co.kr" TargetMode="External" Id="rId184" /><Relationship Type="http://schemas.openxmlformats.org/officeDocument/2006/relationships/hyperlink" Target="http://school.busanedu.net" TargetMode="External" Id="rId185" /><Relationship Type="http://schemas.openxmlformats.org/officeDocument/2006/relationships/hyperlink" Target="http://cafe.daum.net/sunshin" TargetMode="External" Id="rId186" /><Relationship Type="http://schemas.openxmlformats.org/officeDocument/2006/relationships/hyperlink" Target="http://school.busanedu.net/hodol-k/main.do" TargetMode="External" Id="rId187" /><Relationship Type="http://schemas.openxmlformats.org/officeDocument/2006/relationships/hyperlink" Target="http://school.busanedu.net/nambumin-k/main.do" TargetMode="External" Id="rId188" /><Relationship Type="http://schemas.openxmlformats.org/officeDocument/2006/relationships/hyperlink" Target="http://www.naewon.co.kr" TargetMode="External" Id="rId189" /><Relationship Type="http://schemas.openxmlformats.org/officeDocument/2006/relationships/hyperlink" Target="http://school.busanedu.net/notredame-k/main.do" TargetMode="External" Id="rId190" /><Relationship Type="http://schemas.openxmlformats.org/officeDocument/2006/relationships/hyperlink" Target="https://school.busanedu.net/dongsin-k" TargetMode="External" Id="rId191" /><Relationship Type="http://schemas.openxmlformats.org/officeDocument/2006/relationships/hyperlink" Target="https://school.busanedu.net/maria-k/" TargetMode="External" Id="rId192" /><Relationship Type="http://schemas.openxmlformats.org/officeDocument/2006/relationships/hyperlink" Target="http://school.busanedu.net/ami-k/main.do" TargetMode="External" Id="rId193" /><Relationship Type="http://schemas.openxmlformats.org/officeDocument/2006/relationships/hyperlink" Target="http://toseong.es.kr/" TargetMode="External" Id="rId194" /><Relationship Type="http://schemas.openxmlformats.org/officeDocument/2006/relationships/hyperlink" Target="http://school.busanedu.net/blue-k/main.do" TargetMode="External" Id="rId195" /><Relationship Type="http://schemas.openxmlformats.org/officeDocument/2006/relationships/hyperlink" Target="http://school.busanedu.net/gwangnam-k/main.do" TargetMode="External" Id="rId196" /><Relationship Type="http://schemas.openxmlformats.org/officeDocument/2006/relationships/hyperlink" Target="http://school.busanedu.net/gwangan-k/main.do" TargetMode="External" Id="rId197" /><Relationship Type="http://schemas.openxmlformats.org/officeDocument/2006/relationships/hyperlink" Target="https://school.busanedu.net/kumryun-k" TargetMode="External" Id="rId198" /><Relationship Type="http://schemas.openxmlformats.org/officeDocument/2006/relationships/hyperlink" Target="https://school.busanedu.net/namcheon-k" TargetMode="External" Id="rId199" /><Relationship Type="http://schemas.openxmlformats.org/officeDocument/2006/relationships/hyperlink" Target="https://school.busanedu.net/minlak-k/" TargetMode="External" Id="rId200" /><Relationship Type="http://schemas.openxmlformats.org/officeDocument/2006/relationships/hyperlink" Target="https://busanbundo.com" TargetMode="External" Id="rId201" /><Relationship Type="http://schemas.openxmlformats.org/officeDocument/2006/relationships/hyperlink" Target="http://cafe.daum.net/samsung1277" TargetMode="External" Id="rId202" /><Relationship Type="http://schemas.openxmlformats.org/officeDocument/2006/relationships/hyperlink" Target="http://school.busanedu.net/syrlovej-k/main.do" TargetMode="External" Id="rId203" /><Relationship Type="http://schemas.openxmlformats.org/officeDocument/2006/relationships/hyperlink" Target="http://suyoung.es.kr" TargetMode="External" Id="rId204" /><Relationship Type="http://schemas.openxmlformats.org/officeDocument/2006/relationships/hyperlink" Target="http://school.busanedu.net/okyeon-k/" TargetMode="External" Id="rId205" /><Relationship Type="http://schemas.openxmlformats.org/officeDocument/2006/relationships/hyperlink" Target="http://school.busanedu.net/chunsa-k" TargetMode="External" Id="rId206" /><Relationship Type="http://schemas.openxmlformats.org/officeDocument/2006/relationships/hyperlink" Target="http://school.busanedu.net/peace-k/main.do" TargetMode="External" Id="rId207" /><Relationship Type="http://schemas.openxmlformats.org/officeDocument/2006/relationships/hyperlink" Target="https://school.busanedu.net/gue-je-k" TargetMode="External" Id="rId208" /><Relationship Type="http://schemas.openxmlformats.org/officeDocument/2006/relationships/hyperlink" Target="http://yc.kidspann.net" TargetMode="External" Id="rId209" /><Relationship Type="http://schemas.openxmlformats.org/officeDocument/2006/relationships/hyperlink" Target="https://school.busanedu.net/bsksk-k/main.do" TargetMode="External" Id="rId210" /><Relationship Type="http://schemas.openxmlformats.org/officeDocument/2006/relationships/hyperlink" Target="http://school.busanedu.net/yangji-k/main.do" TargetMode="External" Id="rId211" /><Relationship Type="http://schemas.openxmlformats.org/officeDocument/2006/relationships/hyperlink" Target="http://school.busanedu.net/yonsan-k/main.do" TargetMode="External" Id="rId212" /><Relationship Type="http://schemas.openxmlformats.org/officeDocument/2006/relationships/hyperlink" Target="https://school.busanedu.net/yeonje-k/main.do" TargetMode="External" Id="rId213" /><Relationship Type="http://schemas.openxmlformats.org/officeDocument/2006/relationships/hyperlink" Target="https://school.busanedu.net/yonchon-k/main.do" TargetMode="External" Id="rId214" /><Relationship Type="http://schemas.openxmlformats.org/officeDocument/2006/relationships/hyperlink" Target="http://school.busanedu.net/changshin-k/main.do" TargetMode="External" Id="rId215" /><Relationship Type="http://schemas.openxmlformats.org/officeDocument/2006/relationships/hyperlink" Target="http://cafe.daum.net/dream--tree" TargetMode="External" Id="rId216" /><Relationship Type="http://schemas.openxmlformats.org/officeDocument/2006/relationships/hyperlink" Target="http://school.busanedu.net/bokja-k" TargetMode="External" Id="rId217" /><Relationship Type="http://schemas.openxmlformats.org/officeDocument/2006/relationships/hyperlink" Target="http://school.busanedu.net/bonghak-k" TargetMode="External" Id="rId218" /><Relationship Type="http://schemas.openxmlformats.org/officeDocument/2006/relationships/hyperlink" Target="http://school.busanedu.net/sunamsa-k/main.do" TargetMode="External" Id="rId219" /><Relationship Type="http://schemas.openxmlformats.org/officeDocument/2006/relationships/hyperlink" Target="http://school.busanedu.net/yeongdojungang-k" TargetMode="External" Id="rId220" /><Relationship Type="http://schemas.openxmlformats.org/officeDocument/2006/relationships/hyperlink" Target="http://school.busanedu.net/ylschool-k" TargetMode="External" Id="rId221" /><Relationship Type="http://schemas.openxmlformats.org/officeDocument/2006/relationships/hyperlink" Target="http://cafe.naver.com/jir6001" TargetMode="External" Id="rId222" /><Relationship Type="http://schemas.openxmlformats.org/officeDocument/2006/relationships/hyperlink" Target="http://school.busanedu.net/taejongdae-k" TargetMode="External" Id="rId223" /><Relationship Type="http://schemas.openxmlformats.org/officeDocument/2006/relationships/hyperlink" Target="http://www.&#54620;&#47560;&#51020;&#50976;&#52824;&#50896;.kr" TargetMode="External" Id="rId224" /><Relationship Type="http://schemas.openxmlformats.org/officeDocument/2006/relationships/hyperlink" Target="http://school.busanedu.net/gwangil-k/main.do" TargetMode="External" Id="rId225" /><Relationship Type="http://schemas.openxmlformats.org/officeDocument/2006/relationships/hyperlink" Target="http://school.busanedu.net/pusanbongraek-k/main.do" TargetMode="External" Id="rId226" /><Relationship Type="http://schemas.openxmlformats.org/officeDocument/2006/relationships/hyperlink" Target="http://school.busanedu.net/gangdong-k" TargetMode="External" Id="rId227" /><Relationship Type="http://schemas.openxmlformats.org/officeDocument/2006/relationships/hyperlink" Target="http://school.busanedu.net/goeun-k" TargetMode="External" Id="rId228" /><Relationship Type="http://schemas.openxmlformats.org/officeDocument/2006/relationships/hyperlink" Target="http://school.busanedu.net/Dae-Dong-k/main.do" TargetMode="External" Id="rId229" /><Relationship Type="http://schemas.openxmlformats.org/officeDocument/2006/relationships/hyperlink" Target="http://school.busanedu.net/daelimlove-k" TargetMode="External" Id="rId230" /><Relationship Type="http://schemas.openxmlformats.org/officeDocument/2006/relationships/hyperlink" Target="https://school.busanedu.net/thepurun-k" TargetMode="External" Id="rId231" /><Relationship Type="http://schemas.openxmlformats.org/officeDocument/2006/relationships/hyperlink" Target="https://school.busanedu.net/dpckinder-k" TargetMode="External" Id="rId232" /><Relationship Type="http://schemas.openxmlformats.org/officeDocument/2006/relationships/hyperlink" Target="http://school.busanedu.net/dongsung-k" TargetMode="External" Id="rId233" /><Relationship Type="http://schemas.openxmlformats.org/officeDocument/2006/relationships/hyperlink" Target="http://school.busanedu.net/marina-k" TargetMode="External" Id="rId234" /><Relationship Type="http://schemas.openxmlformats.org/officeDocument/2006/relationships/hyperlink" Target="http://www.bansan.es.kr" TargetMode="External" Id="rId235" /><Relationship Type="http://schemas.openxmlformats.org/officeDocument/2006/relationships/hyperlink" Target="http://school.busanedu.net/banyeo-k" TargetMode="External" Id="rId236" /><Relationship Type="http://schemas.openxmlformats.org/officeDocument/2006/relationships/hyperlink" Target="http://school.busanedu.net/beodnae-k" TargetMode="External" Id="rId237" /><Relationship Type="http://schemas.openxmlformats.org/officeDocument/2006/relationships/hyperlink" Target="http://school.busanedu.net/petiteforet-k/main.do" TargetMode="External" Id="rId238" /><Relationship Type="http://schemas.openxmlformats.org/officeDocument/2006/relationships/hyperlink" Target="https://school.busanedu.net/centumkid-k" TargetMode="External" Id="rId239" /><Relationship Type="http://schemas.openxmlformats.org/officeDocument/2006/relationships/hyperlink" Target="http://school.busanedu.net/centumhangdo-k" TargetMode="External" Id="rId240" /><Relationship Type="http://schemas.openxmlformats.org/officeDocument/2006/relationships/hyperlink" Target="http://school.busanedu.net/wooju-k/main.do" TargetMode="External" Id="rId241" /><Relationship Type="http://schemas.openxmlformats.org/officeDocument/2006/relationships/hyperlink" Target="http://school.busanedu.net/songsu-k/main.do" TargetMode="External" Id="rId242" /><Relationship Type="http://schemas.openxmlformats.org/officeDocument/2006/relationships/hyperlink" Target="http://school.busanedu.net/iwill-k/main.do" TargetMode="External" Id="rId243" /><Relationship Type="http://schemas.openxmlformats.org/officeDocument/2006/relationships/hyperlink" Target="http://school.busanedu.net/yangun-k" TargetMode="External" Id="rId244" /><Relationship Type="http://schemas.openxmlformats.org/officeDocument/2006/relationships/hyperlink" Target="http://school.busanedu.net/ymk-k" TargetMode="External" Id="rId245" /><Relationship Type="http://schemas.openxmlformats.org/officeDocument/2006/relationships/hyperlink" Target="http://school.busanedu.net/ppschool-k/main.do" TargetMode="External" Id="rId246" /><Relationship Type="http://schemas.openxmlformats.org/officeDocument/2006/relationships/hyperlink" Target="http://school.busanedu.net/unbong-k/main.do" TargetMode="External" Id="rId247" /><Relationship Type="http://schemas.openxmlformats.org/officeDocument/2006/relationships/hyperlink" Target="http://school.busanedu.net/h-inchon-k/main.do" TargetMode="External" Id="rId248" /><Relationship Type="http://schemas.openxmlformats.org/officeDocument/2006/relationships/hyperlink" Target="http://school.busanedu.net/jaesong-k/main.do" TargetMode="External" Id="rId249" /><Relationship Type="http://schemas.openxmlformats.org/officeDocument/2006/relationships/hyperlink" Target="http://school.busanedu.net/jwadong-k/main.do" TargetMode="External" Id="rId250" /><Relationship Type="http://schemas.openxmlformats.org/officeDocument/2006/relationships/hyperlink" Target="http://school.busanedu.net/joongil-k" TargetMode="External" Id="rId251" /><Relationship Type="http://schemas.openxmlformats.org/officeDocument/2006/relationships/hyperlink" Target="https://cafe.daum.net/vnfRhcdbcldnjs" TargetMode="External" Id="rId252" /><Relationship Type="http://schemas.openxmlformats.org/officeDocument/2006/relationships/hyperlink" Target="http://lucky.kidspann.net" TargetMode="External" Id="rId253" /><Relationship Type="http://schemas.openxmlformats.org/officeDocument/2006/relationships/hyperlink" Target="https://school.busanedu.net/haesungkids-k" TargetMode="External" Id="rId254" /><Relationship Type="http://schemas.openxmlformats.org/officeDocument/2006/relationships/hyperlink" Target="https://m.cafe.naver.com/ca-fe/gangseodaon" TargetMode="External" Id="rId255" /><Relationship Type="http://schemas.openxmlformats.org/officeDocument/2006/relationships/hyperlink" Target="http://jg8514@hanmail.net" TargetMode="External" Id="rId256" /><Relationship Type="http://schemas.openxmlformats.org/officeDocument/2006/relationships/hyperlink" Target="https://www.instagram.com/ddc_s2" TargetMode="External" Id="rId257" /><Relationship Type="http://schemas.openxmlformats.org/officeDocument/2006/relationships/hyperlink" Target="http://www.ndswc.or.kr" TargetMode="External" Id="rId258" /><Relationship Type="http://schemas.openxmlformats.org/officeDocument/2006/relationships/hyperlink" Target="http://blog.naver.com/bskslottecastle" TargetMode="External" Id="rId259" /><Relationship Type="http://schemas.openxmlformats.org/officeDocument/2006/relationships/hyperlink" Target="https://booyoung1.kidsnote.ac/home/main" TargetMode="External" Id="rId260" /><Relationship Type="http://schemas.openxmlformats.org/officeDocument/2006/relationships/hyperlink" Target="https://blog.naver.com/pmww333" TargetMode="External" Id="rId261" /><Relationship Type="http://schemas.openxmlformats.org/officeDocument/2006/relationships/hyperlink" Target="https://cafe.naver.com/samjeongkids" TargetMode="External" Id="rId262" /><Relationship Type="http://schemas.openxmlformats.org/officeDocument/2006/relationships/hyperlink" Target="http://www.puruni.com/busanbank3" TargetMode="External" Id="rId263" /><Relationship Type="http://schemas.openxmlformats.org/officeDocument/2006/relationships/hyperlink" Target="https://www.instagram.com/haeya_kid" TargetMode="External" Id="rId264" /><Relationship Type="http://schemas.openxmlformats.org/officeDocument/2006/relationships/hyperlink" Target="http://cafe.naver.com/geumsaem4846" TargetMode="External" Id="rId265" /><Relationship Type="http://schemas.openxmlformats.org/officeDocument/2006/relationships/hyperlink" Target="http://osjjlove@hanmail.net" TargetMode="External" Id="rId266" /><Relationship Type="http://schemas.openxmlformats.org/officeDocument/2006/relationships/hyperlink" Target="http://ktp://cafe.naver.com/dreamlovechildren" TargetMode="External" Id="rId267" /><Relationship Type="http://schemas.openxmlformats.org/officeDocument/2006/relationships/hyperlink" Target="http://cafe.daum.net/baby0959" TargetMode="External" Id="rId268" /><Relationship Type="http://schemas.openxmlformats.org/officeDocument/2006/relationships/hyperlink" Target="http://cafe.naver.com/dongramicare" TargetMode="External" Id="rId269" /><Relationship Type="http://schemas.openxmlformats.org/officeDocument/2006/relationships/hyperlink" Target="http://a8225@hanmail.net" TargetMode="External" Id="rId270" /><Relationship Type="http://schemas.openxmlformats.org/officeDocument/2006/relationships/hyperlink" Target="http://dla3319@hanmail.net" TargetMode="External" Id="rId271" /><Relationship Type="http://schemas.openxmlformats.org/officeDocument/2006/relationships/hyperlink" Target="http://ecochild.pusan.ac.kr/" TargetMode="External" Id="rId272" /><Relationship Type="http://schemas.openxmlformats.org/officeDocument/2006/relationships/hyperlink" Target="http://cafe.naver.com/seodong0818" TargetMode="External" Id="rId273" /><Relationship Type="http://schemas.openxmlformats.org/officeDocument/2006/relationships/hyperlink" Target="https://blog.naver.com/seokhwa_kids" TargetMode="External" Id="rId274" /><Relationship Type="http://schemas.openxmlformats.org/officeDocument/2006/relationships/hyperlink" Target="http://www.sooyun.co.kr" TargetMode="External" Id="rId275" /><Relationship Type="http://schemas.openxmlformats.org/officeDocument/2006/relationships/hyperlink" Target="http://ch6188@naver.com" TargetMode="External" Id="rId276" /><Relationship Type="http://schemas.openxmlformats.org/officeDocument/2006/relationships/hyperlink" Target="http://cafe.naver.com/01034224133" TargetMode="External" Id="rId277" /><Relationship Type="http://schemas.openxmlformats.org/officeDocument/2006/relationships/hyperlink" Target="http://5815838@hanmai&#12643;.net" TargetMode="External" Id="rId278" /><Relationship Type="http://schemas.openxmlformats.org/officeDocument/2006/relationships/hyperlink" Target="https://blog.naver.com/sunnykids7130" TargetMode="External" Id="rId279" /><Relationship Type="http://schemas.openxmlformats.org/officeDocument/2006/relationships/hyperlink" Target="http://www.kidsnote.com" TargetMode="External" Id="rId280" /><Relationship Type="http://schemas.openxmlformats.org/officeDocument/2006/relationships/hyperlink" Target="http://pegasusmw@naver.com" TargetMode="External" Id="rId281" /><Relationship Type="http://schemas.openxmlformats.org/officeDocument/2006/relationships/hyperlink" Target="https://instagram.com/love.kid.dw?igshid=YmMyMTA2M2Y=" TargetMode="External" Id="rId282" /><Relationship Type="http://schemas.openxmlformats.org/officeDocument/2006/relationships/hyperlink" Target="http://mylee7698@naver.com" TargetMode="External" Id="rId283" /><Relationship Type="http://schemas.openxmlformats.org/officeDocument/2006/relationships/hyperlink" Target="https://www.instagram.com/littleharvard.official/" TargetMode="External" Id="rId284" /><Relationship Type="http://schemas.openxmlformats.org/officeDocument/2006/relationships/hyperlink" Target="http://threefairy@naver.com" TargetMode="External" Id="rId285" /><Relationship Type="http://schemas.openxmlformats.org/officeDocument/2006/relationships/hyperlink" Target="https://blog.naver.com/samdong5085233" TargetMode="External" Id="rId286" /><Relationship Type="http://schemas.openxmlformats.org/officeDocument/2006/relationships/hyperlink" Target="http://chjs0659 @hanmail.net" TargetMode="External" Id="rId287" /><Relationship Type="http://schemas.openxmlformats.org/officeDocument/2006/relationships/hyperlink" Target="https://blog.naver.com/somang724" TargetMode="External" Id="rId288" /><Relationship Type="http://schemas.openxmlformats.org/officeDocument/2006/relationships/hyperlink" Target="https://m.blog.naver.com/forestlandkids" TargetMode="External" Id="rId289" /><Relationship Type="http://schemas.openxmlformats.org/officeDocument/2006/relationships/hyperlink" Target="https://www.instagram.com/p/Cb7EgpqLeG8/?igsh=MTRqbTdqZWFydXk3MQ==" TargetMode="External" Id="rId290" /><Relationship Type="http://schemas.openxmlformats.org/officeDocument/2006/relationships/hyperlink" Target="https://www.instagram.com/ilgwang_eg2_foreon?igsh=MWJ2YWN2NmYxZXlpNQ==" TargetMode="External" Id="rId291" /><Relationship Type="http://schemas.openxmlformats.org/officeDocument/2006/relationships/hyperlink" Target="http://jang-an@hanmail.net" TargetMode="External" Id="rId292" /><Relationship Type="http://schemas.openxmlformats.org/officeDocument/2006/relationships/hyperlink" Target="https://www.instagram.com/jeong_gwan_7?igsh=MWVuYTJlbzR1aWdxaQ%3D%3D&amp;utm_source=qr" TargetMode="External" Id="rId293" /><Relationship Type="http://schemas.openxmlformats.org/officeDocument/2006/relationships/hyperlink" Target="http://http//good-mom.co.kr/1love" TargetMode="External" Id="rId294" /><Relationship Type="http://schemas.openxmlformats.org/officeDocument/2006/relationships/hyperlink" Target="http://cafe.naver.com/orangeb9b01" TargetMode="External" Id="rId295" /><Relationship Type="http://schemas.openxmlformats.org/officeDocument/2006/relationships/hyperlink" Target="https://www.instagram.com/chulma_serassam/" TargetMode="External" Id="rId296" /><Relationship Type="http://schemas.openxmlformats.org/officeDocument/2006/relationships/hyperlink" Target="http://chfhr.happyihome.com" TargetMode="External" Id="rId297" /><Relationship Type="http://schemas.openxmlformats.org/officeDocument/2006/relationships/hyperlink" Target="http://khnpchild.co.kr" TargetMode="External" Id="rId298" /><Relationship Type="http://schemas.openxmlformats.org/officeDocument/2006/relationships/hyperlink" Target="http://cafe.daum.net//hyundae5659" TargetMode="External" Id="rId299" /><Relationship Type="http://schemas.openxmlformats.org/officeDocument/2006/relationships/hyperlink" Target="http://cafe.daum.net/guyeonchildren?" TargetMode="External" Id="rId300" /><Relationship Type="http://schemas.openxmlformats.org/officeDocument/2006/relationships/hyperlink" Target="https://www.puruni.com/bifc2" TargetMode="External" Id="rId301" /><Relationship Type="http://schemas.openxmlformats.org/officeDocument/2006/relationships/hyperlink" Target="http://www.puruni.com/hf" TargetMode="External" Id="rId302" /><Relationship Type="http://schemas.openxmlformats.org/officeDocument/2006/relationships/hyperlink" Target="http://cafe.naver.com/gammankid" TargetMode="External" Id="rId303" /><Relationship Type="http://schemas.openxmlformats.org/officeDocument/2006/relationships/hyperlink" Target="http://kskids@naver.com" TargetMode="External" Id="rId304" /><Relationship Type="http://schemas.openxmlformats.org/officeDocument/2006/relationships/hyperlink" Target="http://cafe.naver.com/dreamspring2014" TargetMode="External" Id="rId305" /><Relationship Type="http://schemas.openxmlformats.org/officeDocument/2006/relationships/hyperlink" Target="http://icecoffee10@naver.com" TargetMode="External" Id="rId306" /><Relationship Type="http://schemas.openxmlformats.org/officeDocument/2006/relationships/hyperlink" Target="http://mp.blueweb.co.kr/sunju6166/" TargetMode="External" Id="rId307" /><Relationship Type="http://schemas.openxmlformats.org/officeDocument/2006/relationships/hyperlink" Target="http://chy41183@naver.com" TargetMode="External" Id="rId308" /><Relationship Type="http://schemas.openxmlformats.org/officeDocument/2006/relationships/hyperlink" Target="http://songlim0363.net" TargetMode="External" Id="rId309" /><Relationship Type="http://schemas.openxmlformats.org/officeDocument/2006/relationships/hyperlink" Target="http://www.addy.kr" TargetMode="External" Id="rId310" /><Relationship Type="http://schemas.openxmlformats.org/officeDocument/2006/relationships/hyperlink" Target="http://kids.yongho.or.kr" TargetMode="External" Id="rId311" /><Relationship Type="http://schemas.openxmlformats.org/officeDocument/2006/relationships/hyperlink" Target="https://cafe.daum.net/yhhanvit" TargetMode="External" Id="rId312" /><Relationship Type="http://schemas.openxmlformats.org/officeDocument/2006/relationships/hyperlink" Target="http://sim12080@naver.com" TargetMode="External" Id="rId313" /><Relationship Type="http://schemas.openxmlformats.org/officeDocument/2006/relationships/hyperlink" Target="http://sokook1@naver.com" TargetMode="External" Id="rId314" /><Relationship Type="http://schemas.openxmlformats.org/officeDocument/2006/relationships/hyperlink" Target="http://www.puruni.com/gklb" TargetMode="External" Id="rId315" /><Relationship Type="http://schemas.openxmlformats.org/officeDocument/2006/relationships/hyperlink" Target="https://www.ibkkids.net/" TargetMode="External" Id="rId316" /><Relationship Type="http://schemas.openxmlformats.org/officeDocument/2006/relationships/hyperlink" Target="http://blog.naver.com/leaderqueen11" TargetMode="External" Id="rId317" /><Relationship Type="http://schemas.openxmlformats.org/officeDocument/2006/relationships/hyperlink" Target="https://www.instagram.com/dg_dodamdodam?igshid=MmIzYWVlNDQ5Yg==" TargetMode="External" Id="rId318" /><Relationship Type="http://schemas.openxmlformats.org/officeDocument/2006/relationships/hyperlink" Target="http://cafe.naver.com/soo4" TargetMode="External" Id="rId319" /><Relationship Type="http://schemas.openxmlformats.org/officeDocument/2006/relationships/hyperlink" Target="http://cafe.daum.net/sujung5dong" TargetMode="External" Id="rId320" /><Relationship Type="http://schemas.openxmlformats.org/officeDocument/2006/relationships/hyperlink" Target="http://cafe.naver.com/nature5250.cafe" TargetMode="External" Id="rId321" /><Relationship Type="http://schemas.openxmlformats.org/officeDocument/2006/relationships/hyperlink" Target="http://www.puruni.com/hibs" TargetMode="External" Id="rId322" /><Relationship Type="http://schemas.openxmlformats.org/officeDocument/2006/relationships/hyperlink" Target="http://BR&#49828;&#53224;&#50612;&#47536;&#51060;&#51665;.COM" TargetMode="External" Id="rId323" /><Relationship Type="http://schemas.openxmlformats.org/officeDocument/2006/relationships/hyperlink" Target="https://www.instagram.com/kids_dongil" TargetMode="External" Id="rId324" /><Relationship Type="http://schemas.openxmlformats.org/officeDocument/2006/relationships/hyperlink" Target="https://blog.naver.com/a5240067" TargetMode="External" Id="rId325" /><Relationship Type="http://schemas.openxmlformats.org/officeDocument/2006/relationships/hyperlink" Target="http://www.navercafe.com/mr6601" TargetMode="External" Id="rId326" /><Relationship Type="http://schemas.openxmlformats.org/officeDocument/2006/relationships/hyperlink" Target="http://cafe.naver.com/mjyd2462" TargetMode="External" Id="rId327" /><Relationship Type="http://schemas.openxmlformats.org/officeDocument/2006/relationships/hyperlink" Target="http://kmh0686@naver.com" TargetMode="External" Id="rId328" /><Relationship Type="http://schemas.openxmlformats.org/officeDocument/2006/relationships/hyperlink" Target="http://sm5552492@naver.com" TargetMode="External" Id="rId329" /><Relationship Type="http://schemas.openxmlformats.org/officeDocument/2006/relationships/hyperlink" Target="http://cafe.daum.net/bsyangduk" TargetMode="External" Id="rId330" /><Relationship Type="http://schemas.openxmlformats.org/officeDocument/2006/relationships/hyperlink" Target="http://wooridlehappy.co.kr/" TargetMode="External" Id="rId331" /><Relationship Type="http://schemas.openxmlformats.org/officeDocument/2006/relationships/hyperlink" Target="http://cafe.daum.net/woori-kids" TargetMode="External" Id="rId332" /><Relationship Type="http://schemas.openxmlformats.org/officeDocument/2006/relationships/hyperlink" Target="http://www.youtube.com/@&#44608;&#50628;&#51648;&#52377;" TargetMode="External" Id="rId333" /><Relationship Type="http://schemas.openxmlformats.org/officeDocument/2006/relationships/hyperlink" Target="http://dotmfkdls@hanmail.net" TargetMode="External" Id="rId334" /><Relationship Type="http://schemas.openxmlformats.org/officeDocument/2006/relationships/hyperlink" Target="http://cafe.daum.net/changeuichild" TargetMode="External" Id="rId335" /><Relationship Type="http://schemas.openxmlformats.org/officeDocument/2006/relationships/hyperlink" Target="http://blog.naver.com/pogutree1" TargetMode="External" Id="rId336" /><Relationship Type="http://schemas.openxmlformats.org/officeDocument/2006/relationships/hyperlink" Target="https://band.naver.com" TargetMode="External" Id="rId337" /><Relationship Type="http://schemas.openxmlformats.org/officeDocument/2006/relationships/hyperlink" Target="http://lovsoona@hanmail.net" TargetMode="External" Id="rId338" /><Relationship Type="http://schemas.openxmlformats.org/officeDocument/2006/relationships/hyperlink" Target="http://hana5361@hammail.net" TargetMode="External" Id="rId339" /><Relationship Type="http://schemas.openxmlformats.org/officeDocument/2006/relationships/hyperlink" Target="http://www.hye-hwa.com" TargetMode="External" Id="rId340" /><Relationship Type="http://schemas.openxmlformats.org/officeDocument/2006/relationships/hyperlink" Target="http://cafe.daum.net/inhumansia" TargetMode="External" Id="rId341" /><Relationship Type="http://schemas.openxmlformats.org/officeDocument/2006/relationships/hyperlink" Target="http://cafe.daum.net/hillstatemyeongyun" TargetMode="External" Id="rId342" /><Relationship Type="http://schemas.openxmlformats.org/officeDocument/2006/relationships/hyperlink" Target="http://cafe.daum.net/dasarangkids" TargetMode="External" Id="rId343" /><Relationship Type="http://schemas.openxmlformats.org/officeDocument/2006/relationships/hyperlink" Target="https://cafe.naver.com/dawon8097335" TargetMode="External" Id="rId344" /><Relationship Type="http://schemas.openxmlformats.org/officeDocument/2006/relationships/hyperlink" Target="http://cafe.naver.com/dgnari" TargetMode="External" Id="rId345" /><Relationship Type="http://schemas.openxmlformats.org/officeDocument/2006/relationships/hyperlink" Target="https://www.deu.ac.kr/www/deu-preschool.do" TargetMode="External" Id="rId346" /><Relationship Type="http://schemas.openxmlformats.org/officeDocument/2006/relationships/hyperlink" Target="http://http;//cafe.daum.net/dong-il" TargetMode="External" Id="rId347" /><Relationship Type="http://schemas.openxmlformats.org/officeDocument/2006/relationships/hyperlink" Target="http://cafe.daum.net/Beulnara" TargetMode="External" Id="rId348" /><Relationship Type="http://schemas.openxmlformats.org/officeDocument/2006/relationships/hyperlink" Target="http://www.bskidult.co.kr" TargetMode="External" Id="rId349" /><Relationship Type="http://schemas.openxmlformats.org/officeDocument/2006/relationships/hyperlink" Target="https://blog.naver.com/ywcajingu" TargetMode="External" Id="rId350" /><Relationship Type="http://schemas.openxmlformats.org/officeDocument/2006/relationships/hyperlink" Target="http://cafe.daum.net/sjmkids" TargetMode="External" Id="rId351" /><Relationship Type="http://schemas.openxmlformats.org/officeDocument/2006/relationships/hyperlink" Target="http://yooya1004@hanmail.net" TargetMode="External" Id="rId352" /><Relationship Type="http://schemas.openxmlformats.org/officeDocument/2006/relationships/hyperlink" Target="http://cafe.daum.net/grace1990" TargetMode="External" Id="rId353" /><Relationship Type="http://schemas.openxmlformats.org/officeDocument/2006/relationships/hyperlink" Target="http://www.yjhd.co.kr" TargetMode="External" Id="rId354" /><Relationship Type="http://schemas.openxmlformats.org/officeDocument/2006/relationships/hyperlink" Target="http://cafe.daum.net/bsys1004" TargetMode="External" Id="rId355" /><Relationship Type="http://schemas.openxmlformats.org/officeDocument/2006/relationships/hyperlink" Target="http://blog.naver.com/namok0722" TargetMode="External" Id="rId356" /><Relationship Type="http://schemas.openxmlformats.org/officeDocument/2006/relationships/hyperlink" Target="http://club.cyworld.com/lwsun6091" TargetMode="External" Id="rId357" /><Relationship Type="http://schemas.openxmlformats.org/officeDocument/2006/relationships/hyperlink" Target="http://http;///cafe.naver.co./jhyekids" TargetMode="External" Id="rId358" /><Relationship Type="http://schemas.openxmlformats.org/officeDocument/2006/relationships/hyperlink" Target="http://dmsdud3927@naver.com" TargetMode="External" Id="rId359" /><Relationship Type="http://schemas.openxmlformats.org/officeDocument/2006/relationships/hyperlink" Target="http://www.daum.net/sohyunkidgarden" TargetMode="External" Id="rId360" /><Relationship Type="http://schemas.openxmlformats.org/officeDocument/2006/relationships/hyperlink" Target="https://cafe.naver.com/kmkungkung" TargetMode="External" Id="rId361" /><Relationship Type="http://schemas.openxmlformats.org/officeDocument/2006/relationships/hyperlink" Target="http://www.puruni.com/korailpusan" TargetMode="External" Id="rId362" /><Relationship Type="http://schemas.openxmlformats.org/officeDocument/2006/relationships/hyperlink" Target="http://http;//www.kmj830857@naver.com" TargetMode="External" Id="rId363" /><Relationship Type="http://schemas.openxmlformats.org/officeDocument/2006/relationships/hyperlink" Target="http://cafe.naver.com/gidrl8952345" TargetMode="External" Id="rId364" /><Relationship Type="http://schemas.openxmlformats.org/officeDocument/2006/relationships/hyperlink" Target="http://cafe.daum.net/dream5009" TargetMode="External" Id="rId365" /><Relationship Type="http://schemas.openxmlformats.org/officeDocument/2006/relationships/hyperlink" Target="https://cafe.naver.com/newwellcitykids" TargetMode="External" Id="rId366" /><Relationship Type="http://schemas.openxmlformats.org/officeDocument/2006/relationships/hyperlink" Target="https://www.instagram.com/goldwindow_2018" TargetMode="External" Id="rId367" /><Relationship Type="http://schemas.openxmlformats.org/officeDocument/2006/relationships/hyperlink" Target="http://cafe.naver.com/qkraltnr1117" TargetMode="External" Id="rId368" /><Relationship Type="http://schemas.openxmlformats.org/officeDocument/2006/relationships/hyperlink" Target="http://cafe.daum.net/nobellkid" TargetMode="External" Id="rId369" /><Relationship Type="http://schemas.openxmlformats.org/officeDocument/2006/relationships/hyperlink" Target="http://cafe.daum.net/bomground" TargetMode="External" Id="rId370" /><Relationship Type="http://schemas.openxmlformats.org/officeDocument/2006/relationships/hyperlink" Target="http://cafe.daum.net/Littlekaiser" TargetMode="External" Id="rId371" /><Relationship Type="http://schemas.openxmlformats.org/officeDocument/2006/relationships/hyperlink" Target="http://cafe.naver.com/mdchild81" TargetMode="External" Id="rId372" /><Relationship Type="http://schemas.openxmlformats.org/officeDocument/2006/relationships/hyperlink" Target="http://miraeart.or.kr" TargetMode="External" Id="rId373" /><Relationship Type="http://schemas.openxmlformats.org/officeDocument/2006/relationships/hyperlink" Target="https://hansol-bsbbpolice.kidsnote.ac" TargetMode="External" Id="rId374" /><Relationship Type="http://schemas.openxmlformats.org/officeDocument/2006/relationships/hyperlink" Target="http://goun5559@hanmail.net" TargetMode="External" Id="rId375" /><Relationship Type="http://schemas.openxmlformats.org/officeDocument/2006/relationships/hyperlink" Target="http://bek2474hanmail.net" TargetMode="External" Id="rId376" /><Relationship Type="http://schemas.openxmlformats.org/officeDocument/2006/relationships/hyperlink" Target="http://cafe.daum.net/sansae001" TargetMode="External" Id="rId377" /><Relationship Type="http://schemas.openxmlformats.org/officeDocument/2006/relationships/hyperlink" Target="http://www.saemteo.kg.kr." TargetMode="External" Id="rId378" /><Relationship Type="http://schemas.openxmlformats.org/officeDocument/2006/relationships/hyperlink" Target="http://cafe.naver.com" TargetMode="External" Id="rId379" /><Relationship Type="http://schemas.openxmlformats.org/officeDocument/2006/relationships/hyperlink" Target="http://jangsh0410@hanmail.net" TargetMode="External" Id="rId380" /><Relationship Type="http://schemas.openxmlformats.org/officeDocument/2006/relationships/hyperlink" Target="http://jangsun.kg.kr" TargetMode="External" Id="rId381" /><Relationship Type="http://schemas.openxmlformats.org/officeDocument/2006/relationships/hyperlink" Target="https://kungkungkids.modoo.at/" TargetMode="External" Id="rId382" /><Relationship Type="http://schemas.openxmlformats.org/officeDocument/2006/relationships/hyperlink" Target="http://cafe.daum.net/taekyung77" TargetMode="External" Id="rId383" /><Relationship Type="http://schemas.openxmlformats.org/officeDocument/2006/relationships/hyperlink" Target="http://beakminhee@hanmail.net" TargetMode="External" Id="rId384" /><Relationship Type="http://schemas.openxmlformats.org/officeDocument/2006/relationships/hyperlink" Target="https://cafe.daum.net/hansol3653838" TargetMode="External" Id="rId385" /><Relationship Type="http://schemas.openxmlformats.org/officeDocument/2006/relationships/hyperlink" Target="http://cafe.naver.com/haein8677" TargetMode="External" Id="rId386" /><Relationship Type="http://schemas.openxmlformats.org/officeDocument/2006/relationships/hyperlink" Target="http://cafe.daum.net/sunfullkid" TargetMode="External" Id="rId387" /><Relationship Type="http://schemas.openxmlformats.org/officeDocument/2006/relationships/hyperlink" Target="http://(2013.9.1)&#45824;&#54364;&#51088;&#48320;&#44221;" TargetMode="External" Id="rId388" /><Relationship Type="http://schemas.openxmlformats.org/officeDocument/2006/relationships/hyperlink" Target="https://www.comwel.or.kr/kids/busan/intro.do" TargetMode="External" Id="rId389" /><Relationship Type="http://schemas.openxmlformats.org/officeDocument/2006/relationships/hyperlink" Target="https://blog.naver.com/kkomnala" TargetMode="External" Id="rId390" /><Relationship Type="http://schemas.openxmlformats.org/officeDocument/2006/relationships/hyperlink" Target="http://suklgsuklg@naver.com" TargetMode="External" Id="rId391" /><Relationship Type="http://schemas.openxmlformats.org/officeDocument/2006/relationships/hyperlink" Target="https://cafe.naver.com/dasom3277919" TargetMode="External" Id="rId392" /><Relationship Type="http://schemas.openxmlformats.org/officeDocument/2006/relationships/hyperlink" Target="http://www.dodamkids.net" TargetMode="External" Id="rId393" /><Relationship Type="http://schemas.openxmlformats.org/officeDocument/2006/relationships/hyperlink" Target="https://blog.naver.com/dongsung7120" TargetMode="External" Id="rId394" /><Relationship Type="http://schemas.openxmlformats.org/officeDocument/2006/relationships/hyperlink" Target="http://cafe.daum.net/qntksehfo" TargetMode="External" Id="rId395" /><Relationship Type="http://schemas.openxmlformats.org/officeDocument/2006/relationships/hyperlink" Target="https://blog.naver.com/md_child" TargetMode="External" Id="rId396" /><Relationship Type="http://schemas.openxmlformats.org/officeDocument/2006/relationships/hyperlink" Target="http://cafe.daum.net/imomslove" TargetMode="External" Id="rId397" /><Relationship Type="http://schemas.openxmlformats.org/officeDocument/2006/relationships/hyperlink" Target="http://www.cyworld.com/cjdrndjaakths" TargetMode="External" Id="rId398" /><Relationship Type="http://schemas.openxmlformats.org/officeDocument/2006/relationships/hyperlink" Target="http://42878@hanmail.net" TargetMode="External" Id="rId399" /><Relationship Type="http://schemas.openxmlformats.org/officeDocument/2006/relationships/hyperlink" Target="https://cafe.daum.net/jrchorong" TargetMode="External" Id="rId400" /><Relationship Type="http://schemas.openxmlformats.org/officeDocument/2006/relationships/hyperlink" Target="https://www.instagram.com/hj3164017" TargetMode="External" Id="rId401" /><Relationship Type="http://schemas.openxmlformats.org/officeDocument/2006/relationships/hyperlink" Target="http://dm971000@naver.com" TargetMode="External" Id="rId402" /><Relationship Type="http://schemas.openxmlformats.org/officeDocument/2006/relationships/hyperlink" Target="http://cafe.daum.net/gcn0330" TargetMode="External" Id="rId403" /><Relationship Type="http://schemas.openxmlformats.org/officeDocument/2006/relationships/hyperlink" Target="http://www.naewon.molun.org" TargetMode="External" Id="rId404" /><Relationship Type="http://schemas.openxmlformats.org/officeDocument/2006/relationships/hyperlink" Target="http://cafe.daum.net/dochiwadulli" TargetMode="External" Id="rId405" /><Relationship Type="http://schemas.openxmlformats.org/officeDocument/2006/relationships/hyperlink" Target="http://www.cyworld.com/lotte265" TargetMode="External" Id="rId406" /><Relationship Type="http://schemas.openxmlformats.org/officeDocument/2006/relationships/hyperlink" Target="https://blog.naver.com/mgh7817" TargetMode="External" Id="rId407" /><Relationship Type="http://schemas.openxmlformats.org/officeDocument/2006/relationships/hyperlink" Target="http:////blog.naver.com/bori2910858" TargetMode="External" Id="rId408" /><Relationship Type="http://schemas.openxmlformats.org/officeDocument/2006/relationships/hyperlink" Target="https://blog.naver.com/yalee9051" TargetMode="External" Id="rId409" /><Relationship Type="http://schemas.openxmlformats.org/officeDocument/2006/relationships/hyperlink" Target="http://hnkids.co.kr" TargetMode="External" Id="rId410" /><Relationship Type="http://schemas.openxmlformats.org/officeDocument/2006/relationships/hyperlink" Target="http://o1004.net" TargetMode="External" Id="rId411" /><Relationship Type="http://schemas.openxmlformats.org/officeDocument/2006/relationships/hyperlink" Target="http://toaanf2004@daum.net" TargetMode="External" Id="rId412" /><Relationship Type="http://schemas.openxmlformats.org/officeDocument/2006/relationships/hyperlink" Target="https://blog.naver.com/hyunjoo790315" TargetMode="External" Id="rId413" /><Relationship Type="http://schemas.openxmlformats.org/officeDocument/2006/relationships/hyperlink" Target="https://www.instagram.com/skk_4112/" TargetMode="External" Id="rId414" /><Relationship Type="http://schemas.openxmlformats.org/officeDocument/2006/relationships/hyperlink" Target="https://www.instagram.com/gimminyeong95294" TargetMode="External" Id="rId415" /><Relationship Type="http://schemas.openxmlformats.org/officeDocument/2006/relationships/hyperlink" Target="http://hidonga1234@naver.com" TargetMode="External" Id="rId416" /><Relationship Type="http://schemas.openxmlformats.org/officeDocument/2006/relationships/hyperlink" Target="http://cafe.daum.net/isaackids" TargetMode="External" Id="rId417" /><Relationship Type="http://schemas.openxmlformats.org/officeDocument/2006/relationships/hyperlink" Target="http://www.instagram.com/jongdalsae6100" TargetMode="External" Id="rId418" /><Relationship Type="http://schemas.openxmlformats.org/officeDocument/2006/relationships/hyperlink" Target="http://www.jinsungi.co.kr" TargetMode="External" Id="rId419" /><Relationship Type="http://schemas.openxmlformats.org/officeDocument/2006/relationships/hyperlink" Target="http://cafe.daum.net." TargetMode="External" Id="rId420" /><Relationship Type="http://schemas.openxmlformats.org/officeDocument/2006/relationships/hyperlink" Target="http://cafe.daum.net/cchungsol" TargetMode="External" Id="rId421" /><Relationship Type="http://schemas.openxmlformats.org/officeDocument/2006/relationships/hyperlink" Target="https://blog.naver.com/hanvitkids-dadae" TargetMode="External" Id="rId422" /><Relationship Type="http://schemas.openxmlformats.org/officeDocument/2006/relationships/hyperlink" Target="http://club.cyworld.com/ccomadongne" TargetMode="External" Id="rId423" /><Relationship Type="http://schemas.openxmlformats.org/officeDocument/2006/relationships/hyperlink" Target="http://cafe.daum.net/daesinkids" TargetMode="External" Id="rId424" /><Relationship Type="http://schemas.openxmlformats.org/officeDocument/2006/relationships/hyperlink" Target="https://blog.naver.com/keon0927" TargetMode="External" Id="rId425" /><Relationship Type="http://schemas.openxmlformats.org/officeDocument/2006/relationships/hyperlink" Target="http://cafe.naver.com/iesup" TargetMode="External" Id="rId426" /><Relationship Type="http://schemas.openxmlformats.org/officeDocument/2006/relationships/hyperlink" Target="https://cafe.naver.com/2473539" TargetMode="External" Id="rId427" /><Relationship Type="http://schemas.openxmlformats.org/officeDocument/2006/relationships/hyperlink" Target="https://blog.naver.com/bscheonma3779" TargetMode="External" Id="rId428" /><Relationship Type="http://schemas.openxmlformats.org/officeDocument/2006/relationships/hyperlink" Target="https://cafe.daum.net/1004castle/erLE/21" TargetMode="External" Id="rId429" /><Relationship Type="http://schemas.openxmlformats.org/officeDocument/2006/relationships/hyperlink" Target="http://cafe.naver.com/pulipkids" TargetMode="External" Id="rId430" /><Relationship Type="http://schemas.openxmlformats.org/officeDocument/2006/relationships/hyperlink" Target="http://cafe.daum.net/hupluskid" TargetMode="External" Id="rId431" /><Relationship Type="http://schemas.openxmlformats.org/officeDocument/2006/relationships/hyperlink" Target="http://thhp://cafa.naver.com/gukran" TargetMode="External" Id="rId432" /><Relationship Type="http://schemas.openxmlformats.org/officeDocument/2006/relationships/hyperlink" Target="http://suyeongdongsan.com" TargetMode="External" Id="rId433" /><Relationship Type="http://schemas.openxmlformats.org/officeDocument/2006/relationships/hyperlink" Target="http://www.ejoongang1004.or.kr" TargetMode="External" Id="rId434" /><Relationship Type="http://schemas.openxmlformats.org/officeDocument/2006/relationships/hyperlink" Target="http://cafe.naver.com/sungmo9820" TargetMode="External" Id="rId435" /><Relationship Type="http://schemas.openxmlformats.org/officeDocument/2006/relationships/hyperlink" Target="http://cafe.daum.net/SLkid" TargetMode="External" Id="rId436" /><Relationship Type="http://schemas.openxmlformats.org/officeDocument/2006/relationships/hyperlink" Target="http://cafe.naver.com/centumvista2kids" TargetMode="External" Id="rId437" /><Relationship Type="http://schemas.openxmlformats.org/officeDocument/2006/relationships/hyperlink" Target="http://cafe.daum.net/newsooanyounge" TargetMode="External" Id="rId438" /><Relationship Type="http://schemas.openxmlformats.org/officeDocument/2006/relationships/hyperlink" Target="http://kid.bulgukto.or.kr" TargetMode="External" Id="rId439" /><Relationship Type="http://schemas.openxmlformats.org/officeDocument/2006/relationships/hyperlink" Target="https://blog.naver.com/eunsol2662" TargetMode="External" Id="rId440" /><Relationship Type="http://schemas.openxmlformats.org/officeDocument/2006/relationships/hyperlink" Target="http://cafe.daum.net/0517520866" TargetMode="External" Id="rId441" /><Relationship Type="http://schemas.openxmlformats.org/officeDocument/2006/relationships/hyperlink" Target="http://cafe.daum.net/hansol/7516048" TargetMode="External" Id="rId442" /><Relationship Type="http://schemas.openxmlformats.org/officeDocument/2006/relationships/hyperlink" Target="https://instagram.com/hyeseung2294?igshid=YmMyMTA2M2Y=" TargetMode="External" Id="rId443" /><Relationship Type="http://schemas.openxmlformats.org/officeDocument/2006/relationships/hyperlink" Target="http://http//cafe.daum.net/7942abc" TargetMode="External" Id="rId444" /><Relationship Type="http://schemas.openxmlformats.org/officeDocument/2006/relationships/hyperlink" Target="https://cafe.daum.net/geojedreamkid" TargetMode="External" Id="rId445" /><Relationship Type="http://schemas.openxmlformats.org/officeDocument/2006/relationships/hyperlink" Target="http://cafe.daum.net/5042234" TargetMode="External" Id="rId446" /><Relationship Type="http://schemas.openxmlformats.org/officeDocument/2006/relationships/hyperlink" Target="http://cafe.naver.com/baghapdaycarecenter" TargetMode="External" Id="rId447" /><Relationship Type="http://schemas.openxmlformats.org/officeDocument/2006/relationships/hyperlink" Target="http://www.ecocourtchild.or.kr" TargetMode="External" Id="rId448" /><Relationship Type="http://schemas.openxmlformats.org/officeDocument/2006/relationships/hyperlink" Target="https://cafe.daum.net/GeojeCentralCH" TargetMode="External" Id="rId449" /><Relationship Type="http://schemas.openxmlformats.org/officeDocument/2006/relationships/hyperlink" Target="https://youtu.be/dnivk-4E0gs?si=tAY4lt2DBL24amsj" TargetMode="External" Id="rId450" /><Relationship Type="http://schemas.openxmlformats.org/officeDocument/2006/relationships/hyperlink" Target="http://cafe.daum.net/goldfore" TargetMode="External" Id="rId451" /><Relationship Type="http://schemas.openxmlformats.org/officeDocument/2006/relationships/hyperlink" Target="http://brownstoneyj@daum.net" TargetMode="External" Id="rId452" /><Relationship Type="http://schemas.openxmlformats.org/officeDocument/2006/relationships/hyperlink" Target="https://cafe.naver.com/wv12" TargetMode="External" Id="rId453" /><Relationship Type="http://schemas.openxmlformats.org/officeDocument/2006/relationships/hyperlink" Target="http://8665166@daum.net" TargetMode="External" Id="rId454" /><Relationship Type="http://schemas.openxmlformats.org/officeDocument/2006/relationships/hyperlink" Target="https://instagram.com/yeoncheon_1020?igshid=YmMyMTA2M2Y=" TargetMode="External" Id="rId455" /><Relationship Type="http://schemas.openxmlformats.org/officeDocument/2006/relationships/hyperlink" Target="http://www.instagram.com/js8670660" TargetMode="External" Id="rId456" /><Relationship Type="http://schemas.openxmlformats.org/officeDocument/2006/relationships/hyperlink" Target="http://phmjw1234@naver.com" TargetMode="External" Id="rId457" /><Relationship Type="http://schemas.openxmlformats.org/officeDocument/2006/relationships/hyperlink" Target="http://cafe.daum.net/rc2011" TargetMode="External" Id="rId458" /><Relationship Type="http://schemas.openxmlformats.org/officeDocument/2006/relationships/hyperlink" Target="http://cafe.daum.net/kids-hj" TargetMode="External" Id="rId459" /><Relationship Type="http://schemas.openxmlformats.org/officeDocument/2006/relationships/hyperlink" Target="http://." TargetMode="External" Id="rId460" /><Relationship Type="http://schemas.openxmlformats.org/officeDocument/2006/relationships/hyperlink" Target="https://cafe.daum.net/dongsamja" TargetMode="External" Id="rId461" /><Relationship Type="http://schemas.openxmlformats.org/officeDocument/2006/relationships/hyperlink" Target="https://m.blog.naver.com/ds4167707   https://www.instagram.com/dongsim__kids/" TargetMode="External" Id="rId462" /><Relationship Type="http://schemas.openxmlformats.org/officeDocument/2006/relationships/hyperlink" Target="https://cafe.naver.com/4135008" TargetMode="External" Id="rId463" /><Relationship Type="http://schemas.openxmlformats.org/officeDocument/2006/relationships/hyperlink" Target="https://blog.naver.com/ys4963_" TargetMode="External" Id="rId464" /><Relationship Type="http://schemas.openxmlformats.org/officeDocument/2006/relationships/hyperlink" Target="http://&#50689;&#51648;&#50612;&#47536;&#51060;&#51665;.kr" TargetMode="External" Id="rId465" /><Relationship Type="http://schemas.openxmlformats.org/officeDocument/2006/relationships/hyperlink" Target="https://www.instagram.com/wachii.kids" TargetMode="External" Id="rId466" /><Relationship Type="http://schemas.openxmlformats.org/officeDocument/2006/relationships/hyperlink" Target="http://www.jy.or.kr" TargetMode="External" Id="rId467" /><Relationship Type="http://schemas.openxmlformats.org/officeDocument/2006/relationships/hyperlink" Target="http://cafe.naver.com/4057404" TargetMode="External" Id="rId468" /><Relationship Type="http://schemas.openxmlformats.org/officeDocument/2006/relationships/hyperlink" Target="http://haezzang5389@hanmail.net" TargetMode="External" Id="rId469" /><Relationship Type="http://schemas.openxmlformats.org/officeDocument/2006/relationships/hyperlink" Target="http://cafe.daum.net/ntdbusan" TargetMode="External" Id="rId470" /><Relationship Type="http://schemas.openxmlformats.org/officeDocument/2006/relationships/hyperlink" Target="http://instagram.com/dasarang2455076" TargetMode="External" Id="rId471" /><Relationship Type="http://schemas.openxmlformats.org/officeDocument/2006/relationships/hyperlink" Target="http://cafe.daum.net/2443362" TargetMode="External" Id="rId472" /><Relationship Type="http://schemas.openxmlformats.org/officeDocument/2006/relationships/hyperlink" Target="http://www.puruni.com/busanbank2" TargetMode="External" Id="rId473" /><Relationship Type="http://schemas.openxmlformats.org/officeDocument/2006/relationships/hyperlink" Target="http://eq9202@hanmail.net" TargetMode="External" Id="rId474" /><Relationship Type="http://schemas.openxmlformats.org/officeDocument/2006/relationships/hyperlink" Target="http://lgsummerhill@nate.com" TargetMode="External" Id="rId475" /><Relationship Type="http://schemas.openxmlformats.org/officeDocument/2006/relationships/hyperlink" Target="http://kdc6784@hanmail.net" TargetMode="External" Id="rId476" /><Relationship Type="http://schemas.openxmlformats.org/officeDocument/2006/relationships/hyperlink" Target="http://cafe.daum.net/busanRhcakddnf" TargetMode="External" Id="rId477" /><Relationship Type="http://schemas.openxmlformats.org/officeDocument/2006/relationships/hyperlink" Target="http://cafe.daum.net/lovely-babies" TargetMode="External" Id="rId478" /><Relationship Type="http://schemas.openxmlformats.org/officeDocument/2006/relationships/hyperlink" Target="http://www.&#54392;&#47480;&#50612;&#47536;&#51060;&#51665;.com" TargetMode="External" Id="rId479" /><Relationship Type="http://schemas.openxmlformats.org/officeDocument/2006/relationships/hyperlink" Target="http://cyworld / ckj-rainbow@yahoo.co.kr" TargetMode="External" Id="rId480" /><Relationship Type="http://schemas.openxmlformats.org/officeDocument/2006/relationships/hyperlink" Target="http://cafe.daum.net/dasol8768" TargetMode="External" Id="rId481" /><Relationship Type="http://schemas.openxmlformats.org/officeDocument/2006/relationships/hyperlink" Target="http://www.kids.kg.kr" TargetMode="External" Id="rId482" /><Relationship Type="http://schemas.openxmlformats.org/officeDocument/2006/relationships/hyperlink" Target="http://cafe.daum.net/hdong100" TargetMode="External" Id="rId483" /><Relationship Type="http://schemas.openxmlformats.org/officeDocument/2006/relationships/hyperlink" Target="https://blog.naver.com/dongbumirae25" TargetMode="External" Id="rId484" /><Relationship Type="http://schemas.openxmlformats.org/officeDocument/2006/relationships/hyperlink" Target="http://cafe.daum.net/donghaelike" TargetMode="External" Id="rId485" /><Relationship Type="http://schemas.openxmlformats.org/officeDocument/2006/relationships/hyperlink" Target="http://hae9102@hanmail.net" TargetMode="External" Id="rId486" /><Relationship Type="http://schemas.openxmlformats.org/officeDocument/2006/relationships/hyperlink" Target="http://lottejoeun.modoo.at" TargetMode="External" Id="rId487" /><Relationship Type="http://schemas.openxmlformats.org/officeDocument/2006/relationships/hyperlink" Target="http://hhj9452@naver.com" TargetMode="External" Id="rId488" /><Relationship Type="http://schemas.openxmlformats.org/officeDocument/2006/relationships/hyperlink" Target="http://bansong-3d@hanmail.net" TargetMode="External" Id="rId489" /><Relationship Type="http://schemas.openxmlformats.org/officeDocument/2006/relationships/hyperlink" Target="https://blog.naver.com/ban_yeo2" TargetMode="External" Id="rId490" /><Relationship Type="http://schemas.openxmlformats.org/officeDocument/2006/relationships/hyperlink" Target="http://cafe.daum.net/appletree6195" TargetMode="External" Id="rId491" /><Relationship Type="http://schemas.openxmlformats.org/officeDocument/2006/relationships/hyperlink" Target="https://blog.naver.com/cg2633" TargetMode="External" Id="rId492" /><Relationship Type="http://schemas.openxmlformats.org/officeDocument/2006/relationships/hyperlink" Target="https://blog.naver.com/centum_blue/224076768150" TargetMode="External" Id="rId493" /><Relationship Type="http://schemas.openxmlformats.org/officeDocument/2006/relationships/hyperlink" Target="https://www.instagram.com/songjeongheasong_1465/profilecard/?igsh=MWg2a3Q0Njd1bmU5YQ==" TargetMode="External" Id="rId494" /><Relationship Type="http://schemas.openxmlformats.org/officeDocument/2006/relationships/hyperlink" Target="http://www.puruni.com" TargetMode="External" Id="rId495" /><Relationship Type="http://schemas.openxmlformats.org/officeDocument/2006/relationships/hyperlink" Target="http://mijungp8415@hanmail.net" TargetMode="External" Id="rId496" /><Relationship Type="http://schemas.openxmlformats.org/officeDocument/2006/relationships/hyperlink" Target="http://www.yejin.or.kr" TargetMode="External" Id="rId497" /><Relationship Type="http://schemas.openxmlformats.org/officeDocument/2006/relationships/hyperlink" Target="http://orion8816@naver.com" TargetMode="External" Id="rId498" /><Relationship Type="http://schemas.openxmlformats.org/officeDocument/2006/relationships/hyperlink" Target="http://cafe.daum.net/ajh6682" TargetMode="External" Id="rId499" /><Relationship Type="http://schemas.openxmlformats.org/officeDocument/2006/relationships/hyperlink" Target="https://blog.naver.com/hij7443" TargetMode="External" Id="rId500" /><Relationship Type="http://schemas.openxmlformats.org/officeDocument/2006/relationships/hyperlink" Target="http://interk11 @hanmail.net" TargetMode="External" Id="rId501" /><Relationship Type="http://schemas.openxmlformats.org/officeDocument/2006/relationships/hyperlink" Target="https://cafe.naver.com/xi2ecokid" TargetMode="External" Id="rId502" /><Relationship Type="http://schemas.openxmlformats.org/officeDocument/2006/relationships/hyperlink" Target="http://sungnyeo0401@hanmail.net" TargetMode="External" Id="rId503" /><Relationship Type="http://schemas.openxmlformats.org/officeDocument/2006/relationships/hyperlink" Target="http://cafe.naver.com/happykids1009" TargetMode="External" Id="rId504" /><Relationship Type="http://schemas.openxmlformats.org/officeDocument/2006/relationships/hyperlink" Target="http://www.sungsil.or.kr/" TargetMode="External" Id="rId505" /><Relationship Type="http://schemas.openxmlformats.org/officeDocument/2006/relationships/hyperlink" Target="http://www.ne79.com" TargetMode="External" Id="rId506" /><Relationship Type="http://schemas.openxmlformats.org/officeDocument/2006/relationships/hyperlink" Target="https://www.instagram.com/hyowonkid/" TargetMode="External" Id="rId507" /><Relationship Type="http://schemas.openxmlformats.org/officeDocument/2006/relationships/hyperlink" Target="http://school.busanedu.net/garak-e/main.do" TargetMode="External" Id="rId508" /><Relationship Type="http://schemas.openxmlformats.org/officeDocument/2006/relationships/hyperlink" Target="http://gangseoe.es.kr" TargetMode="External" Id="rId509" /><Relationship Type="http://schemas.openxmlformats.org/officeDocument/2006/relationships/hyperlink" Target="http://nam-myeong.es.kr/" TargetMode="External" Id="rId510" /><Relationship Type="http://schemas.openxmlformats.org/officeDocument/2006/relationships/hyperlink" Target="http://nokmng.es.kr" TargetMode="External" Id="rId511" /><Relationship Type="http://schemas.openxmlformats.org/officeDocument/2006/relationships/hyperlink" Target="http://noksan.es.kr/" TargetMode="External" Id="rId512" /><Relationship Type="http://schemas.openxmlformats.org/officeDocument/2006/relationships/hyperlink" Target="http://psdaesa.es.kr" TargetMode="External" Id="rId513" /><Relationship Type="http://schemas.openxmlformats.org/officeDocument/2006/relationships/hyperlink" Target="http://daesang.es.kr" TargetMode="External" Id="rId514" /><Relationship Type="http://schemas.openxmlformats.org/officeDocument/2006/relationships/hyperlink" Target="http://school.busanedu.net/dj-joongang-e/main.do" TargetMode="External" Id="rId515" /><Relationship Type="http://schemas.openxmlformats.org/officeDocument/2006/relationships/hyperlink" Target="http://daejeo.es.kr" TargetMode="External" Id="rId516" /><Relationship Type="http://schemas.openxmlformats.org/officeDocument/2006/relationships/hyperlink" Target="http://www.deokdu.es.kr/" TargetMode="External" Id="rId517" /><Relationship Type="http://schemas.openxmlformats.org/officeDocument/2006/relationships/hyperlink" Target="http://myeongmun.es.kr" TargetMode="External" Id="rId518" /><Relationship Type="http://schemas.openxmlformats.org/officeDocument/2006/relationships/hyperlink" Target="http://school.busanedu.net/myoungwon-e/main.do" TargetMode="External" Id="rId519" /><Relationship Type="http://schemas.openxmlformats.org/officeDocument/2006/relationships/hyperlink" Target="http://myeong1.es.kr" TargetMode="External" Id="rId520" /><Relationship Type="http://schemas.openxmlformats.org/officeDocument/2006/relationships/hyperlink" Target="http://www.myungji.es.kr" TargetMode="External" Id="rId521" /><Relationship Type="http://schemas.openxmlformats.org/officeDocument/2006/relationships/hyperlink" Target="http://school.busanedu.net/myungho-e" TargetMode="External" Id="rId522" /><Relationship Type="http://schemas.openxmlformats.org/officeDocument/2006/relationships/hyperlink" Target="http://baeyeong.es.kr" TargetMode="External" Id="rId523" /><Relationship Type="http://schemas.openxmlformats.org/officeDocument/2006/relationships/hyperlink" Target="http://pssongjung.es.kr/" TargetMode="External" Id="rId524" /><Relationship Type="http://schemas.openxmlformats.org/officeDocument/2006/relationships/hyperlink" Target="http://bssm.es.kr" TargetMode="External" Id="rId525" /><Relationship Type="http://schemas.openxmlformats.org/officeDocument/2006/relationships/hyperlink" Target="http://www.shinho.es.kr" TargetMode="External" Id="rId526" /><Relationship Type="http://schemas.openxmlformats.org/officeDocument/2006/relationships/hyperlink" Target="http://ocean.es.kr" TargetMode="External" Id="rId527" /><Relationship Type="http://schemas.openxmlformats.org/officeDocument/2006/relationships/hyperlink" Target="http://www.chunga.es.kr" TargetMode="External" Id="rId528" /><Relationship Type="http://schemas.openxmlformats.org/officeDocument/2006/relationships/hyperlink" Target="http://www.kongduk.es.kr" TargetMode="External" Id="rId529" /><Relationship Type="http://schemas.openxmlformats.org/officeDocument/2006/relationships/hyperlink" Target="http://www.kuseo.es.kr" TargetMode="External" Id="rId530" /><Relationship Type="http://schemas.openxmlformats.org/officeDocument/2006/relationships/hyperlink" Target="http://www.gbit.es.kr" TargetMode="External" Id="rId531" /><Relationship Type="http://schemas.openxmlformats.org/officeDocument/2006/relationships/hyperlink" Target="http://www.kumsa.es.kr" TargetMode="External" Id="rId532" /><Relationship Type="http://schemas.openxmlformats.org/officeDocument/2006/relationships/hyperlink" Target="http://www.geumsaem.es.kr" TargetMode="External" Id="rId533" /><Relationship Type="http://schemas.openxmlformats.org/officeDocument/2006/relationships/hyperlink" Target="http://school.busanedu.net/gumseang-e" TargetMode="External" Id="rId534" /><Relationship Type="http://schemas.openxmlformats.org/officeDocument/2006/relationships/hyperlink" Target="http://www.kumyang.es.kr" TargetMode="External" Id="rId535" /><Relationship Type="http://schemas.openxmlformats.org/officeDocument/2006/relationships/hyperlink" Target="http://www.gumjeong.es.kr" TargetMode="External" Id="rId536" /><Relationship Type="http://schemas.openxmlformats.org/officeDocument/2006/relationships/hyperlink" Target="http://www.pusannamsan.es.kr" TargetMode="External" Id="rId537" /><Relationship Type="http://schemas.openxmlformats.org/officeDocument/2006/relationships/hyperlink" Target="http://www.dongrae.es.kr/" TargetMode="External" Id="rId538" /><Relationship Type="http://schemas.openxmlformats.org/officeDocument/2006/relationships/hyperlink" Target="http://dongsang.es.kr" TargetMode="External" Id="rId539" /><Relationship Type="http://schemas.openxmlformats.org/officeDocument/2006/relationships/hyperlink" Target="http://bs-donghyun.es.kr" TargetMode="External" Id="rId540" /><Relationship Type="http://schemas.openxmlformats.org/officeDocument/2006/relationships/hyperlink" Target="http://www.dusil.es.kr" TargetMode="External" Id="rId541" /><Relationship Type="http://schemas.openxmlformats.org/officeDocument/2006/relationships/hyperlink" Target="http://www.pugok.es.kr" TargetMode="External" Id="rId542" /><Relationship Type="http://schemas.openxmlformats.org/officeDocument/2006/relationships/hyperlink" Target="https://school.busanedu.net/bs36-e/main.do" TargetMode="External" Id="rId543" /><Relationship Type="http://schemas.openxmlformats.org/officeDocument/2006/relationships/hyperlink" Target="http://www.seodong.es.kr" TargetMode="External" Id="rId544" /><Relationship Type="http://schemas.openxmlformats.org/officeDocument/2006/relationships/hyperlink" Target="http://www.seomyeong.es.kr" TargetMode="External" Id="rId545" /><Relationship Type="http://schemas.openxmlformats.org/officeDocument/2006/relationships/hyperlink" Target="http://www.jangseo.es.kr/" TargetMode="External" Id="rId546" /><Relationship Type="http://schemas.openxmlformats.org/officeDocument/2006/relationships/hyperlink" Target="http://www.jangjeon.es.kr" TargetMode="External" Id="rId547" /><Relationship Type="http://schemas.openxmlformats.org/officeDocument/2006/relationships/hyperlink" Target="http://www.cheongryong.es.kr/" TargetMode="External" Id="rId548" /><Relationship Type="http://schemas.openxmlformats.org/officeDocument/2006/relationships/hyperlink" Target="https://school.busanedu.net/hyungok-e" TargetMode="External" Id="rId549" /><Relationship Type="http://schemas.openxmlformats.org/officeDocument/2006/relationships/hyperlink" Target="http://ga-dong.es.kr" TargetMode="External" Id="rId550" /><Relationship Type="http://schemas.openxmlformats.org/officeDocument/2006/relationships/hyperlink" Target="http://gyori.es.kr" TargetMode="External" Id="rId551" /><Relationship Type="http://schemas.openxmlformats.org/officeDocument/2006/relationships/hyperlink" Target="http://gijang.es.kr/" TargetMode="External" Id="rId552" /><Relationship Type="http://schemas.openxmlformats.org/officeDocument/2006/relationships/hyperlink" Target="http://naeri.es.kr" TargetMode="External" Id="rId553" /><Relationship Type="http://schemas.openxmlformats.org/officeDocument/2006/relationships/hyperlink" Target="http://bsdalsan.es.kr" TargetMode="External" Id="rId554" /><Relationship Type="http://schemas.openxmlformats.org/officeDocument/2006/relationships/hyperlink" Target="http://www.daechung.es.kr/" TargetMode="External" Id="rId555" /><Relationship Type="http://schemas.openxmlformats.org/officeDocument/2006/relationships/hyperlink" Target="http://bsmojeon.es.kr" TargetMode="External" Id="rId556" /><Relationship Type="http://schemas.openxmlformats.org/officeDocument/2006/relationships/hyperlink" Target="http://banggok.es.kr" TargetMode="External" Id="rId557" /><Relationship Type="http://schemas.openxmlformats.org/officeDocument/2006/relationships/hyperlink" Target="http://sinjeong.kr" TargetMode="External" Id="rId558" /><Relationship Type="http://schemas.openxmlformats.org/officeDocument/2006/relationships/hyperlink" Target="http://school.busanedu.net/sinjin-e/main.do" TargetMode="External" Id="rId559" /><Relationship Type="http://schemas.openxmlformats.org/officeDocument/2006/relationships/hyperlink" Target="http://www.yongam.es.kr" TargetMode="External" Id="rId560" /><Relationship Type="http://schemas.openxmlformats.org/officeDocument/2006/relationships/hyperlink" Target="http://www.wollae.es.kr" TargetMode="External" Id="rId561" /><Relationship Type="http://schemas.openxmlformats.org/officeDocument/2006/relationships/hyperlink" Target="http://www.bswp.es.kr" TargetMode="External" Id="rId562" /><Relationship Type="http://schemas.openxmlformats.org/officeDocument/2006/relationships/hyperlink" Target="http://school.busanedu.net/ilgwang-e/main.do" TargetMode="External" Id="rId563" /><Relationship Type="http://schemas.openxmlformats.org/officeDocument/2006/relationships/hyperlink" Target="http://www.jangancho.es.kr" TargetMode="External" Id="rId564" /><Relationship Type="http://schemas.openxmlformats.org/officeDocument/2006/relationships/hyperlink" Target="http://www.jungkwan.es.kr/" TargetMode="External" Id="rId565" /><Relationship Type="http://schemas.openxmlformats.org/officeDocument/2006/relationships/hyperlink" Target="http://jeongwon.es.kr" TargetMode="External" Id="rId566" /><Relationship Type="http://schemas.openxmlformats.org/officeDocument/2006/relationships/hyperlink" Target="http://www.jwacheon.es.kr" TargetMode="External" Id="rId567" /><Relationship Type="http://schemas.openxmlformats.org/officeDocument/2006/relationships/hyperlink" Target="http://www.jukseong.es.kr" TargetMode="External" Id="rId568" /><Relationship Type="http://schemas.openxmlformats.org/officeDocument/2006/relationships/hyperlink" Target="http://chulma.es.kr/" TargetMode="External" Id="rId569" /><Relationship Type="http://schemas.openxmlformats.org/officeDocument/2006/relationships/hyperlink" Target="http://www.chilam.es.kr" TargetMode="External" Id="rId570" /><Relationship Type="http://schemas.openxmlformats.org/officeDocument/2006/relationships/hyperlink" Target="http://haebit.es.kr" TargetMode="External" Id="rId571" /><Relationship Type="http://schemas.openxmlformats.org/officeDocument/2006/relationships/hyperlink" Target="http://daenam.es.kr/" TargetMode="External" Id="rId572" /><Relationship Type="http://schemas.openxmlformats.org/officeDocument/2006/relationships/hyperlink" Target="http://www.daeyeon.es.kr" TargetMode="External" Id="rId573" /><Relationship Type="http://schemas.openxmlformats.org/officeDocument/2006/relationships/hyperlink" Target="http://www.daechon.es.kr" TargetMode="External" Id="rId574" /><Relationship Type="http://schemas.openxmlformats.org/officeDocument/2006/relationships/hyperlink" Target="https://school.busanedu.net/dong-cheon-e/main.do" TargetMode="External" Id="rId575" /><Relationship Type="http://schemas.openxmlformats.org/officeDocument/2006/relationships/hyperlink" Target="http://donghang.es.kr" TargetMode="External" Id="rId576" /><Relationship Type="http://schemas.openxmlformats.org/officeDocument/2006/relationships/hyperlink" Target="https://school.busanedu.net/moonhyun-e" TargetMode="External" Id="rId577" /><Relationship Type="http://schemas.openxmlformats.org/officeDocument/2006/relationships/hyperlink" Target="https://school.busanedu.net/baekwoon-e" TargetMode="External" Id="rId578" /><Relationship Type="http://schemas.openxmlformats.org/officeDocument/2006/relationships/hyperlink" Target="http://www.bunpo.es.kr" TargetMode="External" Id="rId579" /><Relationship Type="http://schemas.openxmlformats.org/officeDocument/2006/relationships/hyperlink" Target="http://www.sukpo.es.kr" TargetMode="External" Id="rId580" /><Relationship Type="http://schemas.openxmlformats.org/officeDocument/2006/relationships/hyperlink" Target="http://www.esungdong.es.kr" TargetMode="External" Id="rId581" /><Relationship Type="http://schemas.openxmlformats.org/officeDocument/2006/relationships/hyperlink" Target="http://www.sungchun.es.kr" TargetMode="External" Id="rId582" /><Relationship Type="http://schemas.openxmlformats.org/officeDocument/2006/relationships/hyperlink" Target="http://www.sinyeon.es.kr/" TargetMode="External" Id="rId583" /><Relationship Type="http://schemas.openxmlformats.org/officeDocument/2006/relationships/hyperlink" Target="http://yeonpo.es.kr" TargetMode="External" Id="rId584" /><Relationship Type="http://schemas.openxmlformats.org/officeDocument/2006/relationships/hyperlink" Target="http://www.oryukdo.es.kr/" TargetMode="External" Id="rId585" /><Relationship Type="http://schemas.openxmlformats.org/officeDocument/2006/relationships/hyperlink" Target="http://yongdang.es.kr/" TargetMode="External" Id="rId586" /><Relationship Type="http://schemas.openxmlformats.org/officeDocument/2006/relationships/hyperlink" Target="http://yong-mun.es.kr/" TargetMode="External" Id="rId587" /><Relationship Type="http://schemas.openxmlformats.org/officeDocument/2006/relationships/hyperlink" Target="http://school.busanedu.net/yong-san-e/main.do" TargetMode="External" Id="rId588" /><Relationship Type="http://schemas.openxmlformats.org/officeDocument/2006/relationships/hyperlink" Target="http://yong-so.es.kr/" TargetMode="External" Id="rId589" /><Relationship Type="http://schemas.openxmlformats.org/officeDocument/2006/relationships/hyperlink" Target="http://yh.es.kr/" TargetMode="External" Id="rId590" /><Relationship Type="http://schemas.openxmlformats.org/officeDocument/2006/relationships/hyperlink" Target="http://www.uambusan.es.kr/" TargetMode="External" Id="rId591" /><Relationship Type="http://schemas.openxmlformats.org/officeDocument/2006/relationships/hyperlink" Target="http://www.unsan.es.kr" TargetMode="External" Id="rId592" /><Relationship Type="http://schemas.openxmlformats.org/officeDocument/2006/relationships/hyperlink" Target="http://dongiljungang.es.kr/" TargetMode="External" Id="rId593" /><Relationship Type="http://schemas.openxmlformats.org/officeDocument/2006/relationships/hyperlink" Target="http://beom-il.es.kr" TargetMode="External" Id="rId594" /><Relationship Type="http://schemas.openxmlformats.org/officeDocument/2006/relationships/hyperlink" Target="https://school.busanedu.net/pusansungnam-e" TargetMode="External" Id="rId595" /><Relationship Type="http://schemas.openxmlformats.org/officeDocument/2006/relationships/hyperlink" Target="http://suseong.es.kr" TargetMode="External" Id="rId596" /><Relationship Type="http://schemas.openxmlformats.org/officeDocument/2006/relationships/hyperlink" Target="http://www.bsujeong.es.kr/" TargetMode="External" Id="rId597" /><Relationship Type="http://schemas.openxmlformats.org/officeDocument/2006/relationships/hyperlink" Target="https://school.busanedu.net/chogyo-e" TargetMode="External" Id="rId598" /><Relationship Type="http://schemas.openxmlformats.org/officeDocument/2006/relationships/hyperlink" Target="http://www.kd.es.kr" TargetMode="External" Id="rId599" /><Relationship Type="http://schemas.openxmlformats.org/officeDocument/2006/relationships/hyperlink" Target="http://www.geumgang.es.kr/" TargetMode="External" Id="rId600" /><Relationship Type="http://schemas.openxmlformats.org/officeDocument/2006/relationships/hyperlink" Target="http://nakmin.es.kr" TargetMode="External" Id="rId601" /><Relationship Type="http://schemas.openxmlformats.org/officeDocument/2006/relationships/hyperlink" Target="http://www.naesan.es.kr" TargetMode="External" Id="rId602" /><Relationship Type="http://schemas.openxmlformats.org/officeDocument/2006/relationships/hyperlink" Target="http://www.naesung.es.kr" TargetMode="External" Id="rId603" /><Relationship Type="http://schemas.openxmlformats.org/officeDocument/2006/relationships/hyperlink" Target="http://www.dalbuk.es.kr" TargetMode="External" Id="rId604" /><Relationship Type="http://schemas.openxmlformats.org/officeDocument/2006/relationships/hyperlink" Target="http://www.mdong.es.kr" TargetMode="External" Id="rId605" /><Relationship Type="http://schemas.openxmlformats.org/officeDocument/2006/relationships/hyperlink" Target="http://school.busanedu.net/myeongryun-e/main.do" TargetMode="External" Id="rId606" /><Relationship Type="http://schemas.openxmlformats.org/officeDocument/2006/relationships/hyperlink" Target="http://www.myongseo.es.kr" TargetMode="External" Id="rId607" /><Relationship Type="http://schemas.openxmlformats.org/officeDocument/2006/relationships/hyperlink" Target="http://myungjang.es.kr" TargetMode="External" Id="rId608" /><Relationship Type="http://schemas.openxmlformats.org/officeDocument/2006/relationships/hyperlink" Target="http://minam.es.kr/" TargetMode="External" Id="rId609" /><Relationship Type="http://schemas.openxmlformats.org/officeDocument/2006/relationships/hyperlink" Target="http://www.sajik.es.kr" TargetMode="External" Id="rId610" /><Relationship Type="http://schemas.openxmlformats.org/officeDocument/2006/relationships/hyperlink" Target="http://suan.es.kr" TargetMode="External" Id="rId611" /><Relationship Type="http://schemas.openxmlformats.org/officeDocument/2006/relationships/hyperlink" Target="http://annam.es.kr" TargetMode="External" Id="rId612" /><Relationship Type="http://schemas.openxmlformats.org/officeDocument/2006/relationships/hyperlink" Target="http://anrak.es.kr" TargetMode="External" Id="rId613" /><Relationship Type="http://schemas.openxmlformats.org/officeDocument/2006/relationships/hyperlink" Target="http://www.anmin.es.kr/" TargetMode="External" Id="rId614" /><Relationship Type="http://schemas.openxmlformats.org/officeDocument/2006/relationships/hyperlink" Target="http://anjin.es.kr" TargetMode="External" Id="rId615" /><Relationship Type="http://schemas.openxmlformats.org/officeDocument/2006/relationships/hyperlink" Target="http://www.yeogo.es.kr" TargetMode="External" Id="rId616" /><Relationship Type="http://schemas.openxmlformats.org/officeDocument/2006/relationships/hyperlink" Target="http://www.yewon.es.kr" TargetMode="External" Id="rId617" /><Relationship Type="http://schemas.openxmlformats.org/officeDocument/2006/relationships/hyperlink" Target="http://www.onsaem.es.kr" TargetMode="External" Id="rId618" /><Relationship Type="http://schemas.openxmlformats.org/officeDocument/2006/relationships/hyperlink" Target="http://www.onchun.es.kr/" TargetMode="External" Id="rId619" /><Relationship Type="http://schemas.openxmlformats.org/officeDocument/2006/relationships/hyperlink" Target="http://www.pscr.es.kr" TargetMode="External" Id="rId620" /><Relationship Type="http://schemas.openxmlformats.org/officeDocument/2006/relationships/hyperlink" Target="http://www.hyehwa.es.kr" TargetMode="External" Id="rId621" /><Relationship Type="http://schemas.openxmlformats.org/officeDocument/2006/relationships/hyperlink" Target="http://www.ga-nam.es.kr" TargetMode="External" Id="rId622" /><Relationship Type="http://schemas.openxmlformats.org/officeDocument/2006/relationships/hyperlink" Target="http://www.ka-ya.es.kr" TargetMode="External" Id="rId623" /><Relationship Type="http://schemas.openxmlformats.org/officeDocument/2006/relationships/hyperlink" Target="http://school.busanedu.net/busangapyeong-e/main.do" TargetMode="External" Id="rId624" /><Relationship Type="http://schemas.openxmlformats.org/officeDocument/2006/relationships/hyperlink" Target="http://kaegum.es.kr/" TargetMode="External" Id="rId625" /><Relationship Type="http://schemas.openxmlformats.org/officeDocument/2006/relationships/hyperlink" Target="http://kaewone.es.kr" TargetMode="External" Id="rId626" /><Relationship Type="http://schemas.openxmlformats.org/officeDocument/2006/relationships/hyperlink" Target="http://www.gaepo.es.kr" TargetMode="External" Id="rId627" /><Relationship Type="http://schemas.openxmlformats.org/officeDocument/2006/relationships/hyperlink" Target="http://www.kae-hwa.es.kr" TargetMode="External" Id="rId628" /><Relationship Type="http://schemas.openxmlformats.org/officeDocument/2006/relationships/hyperlink" Target="http://www.danggam.es.kr" TargetMode="External" Id="rId629" /><Relationship Type="http://schemas.openxmlformats.org/officeDocument/2006/relationships/hyperlink" Target="http://www.dangpyung.es.kr" TargetMode="External" Id="rId630" /><Relationship Type="http://schemas.openxmlformats.org/officeDocument/2006/relationships/hyperlink" Target="https://school.busanedu.net/ds-e" TargetMode="External" Id="rId631" /><Relationship Type="http://schemas.openxmlformats.org/officeDocument/2006/relationships/hyperlink" Target="http://school.busanedu.net/dong-yang-e/main.do" TargetMode="External" Id="rId632" /><Relationship Type="http://schemas.openxmlformats.org/officeDocument/2006/relationships/hyperlink" Target="http://www.pdw.es.kr" TargetMode="External" Id="rId633" /><Relationship Type="http://schemas.openxmlformats.org/officeDocument/2006/relationships/hyperlink" Target="http://dongpyeong.es.kr" TargetMode="External" Id="rId634" /><Relationship Type="http://schemas.openxmlformats.org/officeDocument/2006/relationships/hyperlink" Target="http://pusanjin.es.kr" TargetMode="External" Id="rId635" /><Relationship Type="http://schemas.openxmlformats.org/officeDocument/2006/relationships/hyperlink" Target="http://www.buam.es.kr" TargetMode="External" Id="rId636" /><Relationship Type="http://schemas.openxmlformats.org/officeDocument/2006/relationships/hyperlink" Target="https://school.busanedu.net/pspujun-e/main.do#" TargetMode="External" Id="rId637" /><Relationship Type="http://schemas.openxmlformats.org/officeDocument/2006/relationships/hyperlink" Target="http://sunam.es.kr" TargetMode="External" Id="rId638" /><Relationship Type="http://schemas.openxmlformats.org/officeDocument/2006/relationships/hyperlink" Target="https://school.busanedu.net/seongbuk-e/" TargetMode="External" Id="rId639" /><Relationship Type="http://schemas.openxmlformats.org/officeDocument/2006/relationships/hyperlink" Target="http://www.sungso.es.kr" TargetMode="External" Id="rId640" /><Relationship Type="http://schemas.openxmlformats.org/officeDocument/2006/relationships/hyperlink" Target="http://www.sungjeun.es.kr/" TargetMode="External" Id="rId641" /><Relationship Type="http://schemas.openxmlformats.org/officeDocument/2006/relationships/hyperlink" Target="http://www.sungji.es.kr" TargetMode="External" Id="rId642" /><Relationship Type="http://schemas.openxmlformats.org/officeDocument/2006/relationships/hyperlink" Target="http://www.yangdong.es.kr/" TargetMode="External" Id="rId643" /><Relationship Type="http://schemas.openxmlformats.org/officeDocument/2006/relationships/hyperlink" Target="http://yangsung.es.kr" TargetMode="External" Id="rId644" /><Relationship Type="http://schemas.openxmlformats.org/officeDocument/2006/relationships/hyperlink" Target="http://www.yj.es.kr" TargetMode="External" Id="rId645" /><Relationship Type="http://schemas.openxmlformats.org/officeDocument/2006/relationships/hyperlink" Target="http://yeonji.es.kr/" TargetMode="External" Id="rId646" /><Relationship Type="http://schemas.openxmlformats.org/officeDocument/2006/relationships/hyperlink" Target="http://www.yeonhak.es.kr" TargetMode="External" Id="rId647" /><Relationship Type="http://schemas.openxmlformats.org/officeDocument/2006/relationships/hyperlink" Target="http://jeonpo.es.kr/" TargetMode="External" Id="rId648" /><Relationship Type="http://schemas.openxmlformats.org/officeDocument/2006/relationships/hyperlink" Target="http://www.jure.es.kr" TargetMode="External" Id="rId649" /><Relationship Type="http://schemas.openxmlformats.org/officeDocument/2006/relationships/hyperlink" Target="http://www.choup.es.kr" TargetMode="External" Id="rId650" /><Relationship Type="http://schemas.openxmlformats.org/officeDocument/2006/relationships/hyperlink" Target="http://kunam.es.kr" TargetMode="External" Id="rId651" /><Relationship Type="http://schemas.openxmlformats.org/officeDocument/2006/relationships/hyperlink" Target="http://school.busanedu.net/gupo-e" TargetMode="External" Id="rId652" /><Relationship Type="http://schemas.openxmlformats.org/officeDocument/2006/relationships/hyperlink" Target="http://www.geumgok.es.kr/" TargetMode="External" Id="rId653" /><Relationship Type="http://schemas.openxmlformats.org/officeDocument/2006/relationships/hyperlink" Target="https://school.busanedu.net/geummyeong-e/" TargetMode="External" Id="rId654" /><Relationship Type="http://schemas.openxmlformats.org/officeDocument/2006/relationships/hyperlink" Target="http://www.geumchang.es.kr" TargetMode="External" Id="rId655" /><Relationship Type="http://schemas.openxmlformats.org/officeDocument/2006/relationships/hyperlink" Target="http://www.daechunlee.es.kr" TargetMode="External" Id="rId656" /><Relationship Type="http://schemas.openxmlformats.org/officeDocument/2006/relationships/hyperlink" Target="http://school.busanedu.net/dsedu-e" TargetMode="External" Id="rId657" /><Relationship Type="http://schemas.openxmlformats.org/officeDocument/2006/relationships/hyperlink" Target="http://deokyang.es.kr" TargetMode="External" Id="rId658" /><Relationship Type="http://schemas.openxmlformats.org/officeDocument/2006/relationships/hyperlink" Target="http://school.busanedu.net/dugchun-e/main.do" TargetMode="External" Id="rId659" /><Relationship Type="http://schemas.openxmlformats.org/officeDocument/2006/relationships/hyperlink" Target="http://manduk.or.kr" TargetMode="External" Id="rId660" /><Relationship Type="http://schemas.openxmlformats.org/officeDocument/2006/relationships/hyperlink" Target="http://myd.es.kr" TargetMode="External" Id="rId661" /><Relationship Type="http://schemas.openxmlformats.org/officeDocument/2006/relationships/hyperlink" Target="http://myungjin.es.kr" TargetMode="External" Id="rId662" /><Relationship Type="http://schemas.openxmlformats.org/officeDocument/2006/relationships/hyperlink" Target="http://www.baeksan.es.kr" TargetMode="External" Id="rId663" /><Relationship Type="http://schemas.openxmlformats.org/officeDocument/2006/relationships/hyperlink" Target="http://baekyang.es.kr/" TargetMode="External" Id="rId664" /><Relationship Type="http://schemas.openxmlformats.org/officeDocument/2006/relationships/hyperlink" Target="http://www.sanghak.es.kr/" TargetMode="External" Id="rId665" /><Relationship Type="http://schemas.openxmlformats.org/officeDocument/2006/relationships/hyperlink" Target="http://www.sinkum.es.kr" TargetMode="External" Id="rId666" /><Relationship Type="http://schemas.openxmlformats.org/officeDocument/2006/relationships/hyperlink" Target="http://sinduk.es.kr" TargetMode="External" Id="rId667" /><Relationship Type="http://schemas.openxmlformats.org/officeDocument/2006/relationships/hyperlink" Target="http://psc.es.kr" TargetMode="External" Id="rId668" /><Relationship Type="http://schemas.openxmlformats.org/officeDocument/2006/relationships/hyperlink" Target="https://school.busanedu.net/yangduk-e/main.do" TargetMode="External" Id="rId669" /><Relationship Type="http://schemas.openxmlformats.org/officeDocument/2006/relationships/hyperlink" Target="http://busanyangchun.es.kr" TargetMode="External" Id="rId670" /><Relationship Type="http://schemas.openxmlformats.org/officeDocument/2006/relationships/hyperlink" Target="http://waseok.es.kr" TargetMode="External" Id="rId671" /><Relationship Type="http://schemas.openxmlformats.org/officeDocument/2006/relationships/hyperlink" Target="https://school.busanedu.net/yongsu-e/main.do" TargetMode="External" Id="rId672" /><Relationship Type="http://schemas.openxmlformats.org/officeDocument/2006/relationships/hyperlink" Target="http://pochen.es.kr" TargetMode="External" Id="rId673" /><Relationship Type="http://schemas.openxmlformats.org/officeDocument/2006/relationships/hyperlink" Target="http://school.busanedu.net/haksa-e" TargetMode="External" Id="rId674" /><Relationship Type="http://schemas.openxmlformats.org/officeDocument/2006/relationships/hyperlink" Target="http://hwamyong.es.kr" TargetMode="External" Id="rId675" /><Relationship Type="http://schemas.openxmlformats.org/officeDocument/2006/relationships/hyperlink" Target="http://hwajam.es.kr" TargetMode="External" Id="rId676" /><Relationship Type="http://schemas.openxmlformats.org/officeDocument/2006/relationships/hyperlink" Target="http://www.bshj.es.kr" TargetMode="External" Id="rId677" /><Relationship Type="http://schemas.openxmlformats.org/officeDocument/2006/relationships/hyperlink" Target="http://gamjeon.es.kr" TargetMode="External" Id="rId678" /><Relationship Type="http://schemas.openxmlformats.org/officeDocument/2006/relationships/hyperlink" Target="http://www.guhag.es.kr" TargetMode="External" Id="rId679" /><Relationship Type="http://schemas.openxmlformats.org/officeDocument/2006/relationships/hyperlink" Target="http://school.busanedu.net/deoksang-e" TargetMode="External" Id="rId680" /><Relationship Type="http://schemas.openxmlformats.org/officeDocument/2006/relationships/hyperlink" Target="http://www.deokpo.es.kr" TargetMode="External" Id="rId681" /><Relationship Type="http://schemas.openxmlformats.org/officeDocument/2006/relationships/hyperlink" Target="http://www.donggung.es.kr" TargetMode="External" Id="rId682" /><Relationship Type="http://schemas.openxmlformats.org/officeDocument/2006/relationships/hyperlink" Target="http://dongju.es.kr" TargetMode="External" Id="rId683" /><Relationship Type="http://schemas.openxmlformats.org/officeDocument/2006/relationships/hyperlink" Target="http://school.busanedu.net/modeok-e" TargetMode="External" Id="rId684" /><Relationship Type="http://schemas.openxmlformats.org/officeDocument/2006/relationships/hyperlink" Target="http://modong2.es.kr" TargetMode="External" Id="rId685" /><Relationship Type="http://schemas.openxmlformats.org/officeDocument/2006/relationships/hyperlink" Target="http://www.mora.es.kr/" TargetMode="External" Id="rId686" /><Relationship Type="http://schemas.openxmlformats.org/officeDocument/2006/relationships/hyperlink" Target="http://sasang.es.kr/" TargetMode="External" Id="rId687" /><Relationship Type="http://schemas.openxmlformats.org/officeDocument/2006/relationships/hyperlink" Target="http://www.samdok.es.kr" TargetMode="External" Id="rId688" /><Relationship Type="http://schemas.openxmlformats.org/officeDocument/2006/relationships/hyperlink" Target="http://seogam.es.kr/" TargetMode="External" Id="rId689" /><Relationship Type="http://schemas.openxmlformats.org/officeDocument/2006/relationships/hyperlink" Target="http://www.omgung.es.kr/" TargetMode="External" Id="rId690" /><Relationship Type="http://schemas.openxmlformats.org/officeDocument/2006/relationships/hyperlink" Target="http://www.jugam.es.kr" TargetMode="External" Id="rId691" /><Relationship Type="http://schemas.openxmlformats.org/officeDocument/2006/relationships/hyperlink" Target="http://www.juyang.es.kr/" TargetMode="External" Id="rId692" /><Relationship Type="http://schemas.openxmlformats.org/officeDocument/2006/relationships/hyperlink" Target="http://www.juhak.es.kr" TargetMode="External" Id="rId693" /><Relationship Type="http://schemas.openxmlformats.org/officeDocument/2006/relationships/hyperlink" Target="http://www.changjin.es.kr/" TargetMode="External" Id="rId694" /><Relationship Type="http://schemas.openxmlformats.org/officeDocument/2006/relationships/hyperlink" Target="http://www.hakjang.es.kr/" TargetMode="External" Id="rId695" /><Relationship Type="http://schemas.openxmlformats.org/officeDocument/2006/relationships/hyperlink" Target="http://school.busanedu.net/hakjin-e" TargetMode="External" Id="rId696" /><Relationship Type="http://schemas.openxmlformats.org/officeDocument/2006/relationships/hyperlink" Target="http://www.gam.es.kr" TargetMode="External" Id="rId697" /><Relationship Type="http://schemas.openxmlformats.org/officeDocument/2006/relationships/hyperlink" Target="https://school.busanedu.net/koejeong-e/main.do" TargetMode="External" Id="rId698" /><Relationship Type="http://schemas.openxmlformats.org/officeDocument/2006/relationships/hyperlink" Target="http://www.gupyong.es.kr" TargetMode="External" Id="rId699" /><Relationship Type="http://schemas.openxmlformats.org/officeDocument/2006/relationships/hyperlink" Target="http://www.nakdong.es.kr" TargetMode="External" Id="rId700" /><Relationship Type="http://schemas.openxmlformats.org/officeDocument/2006/relationships/hyperlink" Target="http://dadae.es.kr" TargetMode="External" Id="rId701" /><Relationship Type="http://schemas.openxmlformats.org/officeDocument/2006/relationships/hyperlink" Target="http://dasun.es.kr" TargetMode="External" Id="rId702" /><Relationship Type="http://schemas.openxmlformats.org/officeDocument/2006/relationships/hyperlink" Target="http://www.dasong.es.kr" TargetMode="External" Id="rId703" /><Relationship Type="http://schemas.openxmlformats.org/officeDocument/2006/relationships/hyperlink" Target="http://www.dangni.es.kr" TargetMode="External" Id="rId704" /><Relationship Type="http://schemas.openxmlformats.org/officeDocument/2006/relationships/hyperlink" Target="http://morundae.es.kr/" TargetMode="External" Id="rId705" /><Relationship Type="http://schemas.openxmlformats.org/officeDocument/2006/relationships/hyperlink" Target="http://school.busanedu.net/borim-e" TargetMode="External" Id="rId706" /><Relationship Type="http://schemas.openxmlformats.org/officeDocument/2006/relationships/hyperlink" Target="http://sanam.es.kr" TargetMode="External" Id="rId707" /><Relationship Type="http://schemas.openxmlformats.org/officeDocument/2006/relationships/hyperlink" Target="https://school.busanedu.net/psadong-e/main.do" TargetMode="External" Id="rId708" /><Relationship Type="http://schemas.openxmlformats.org/officeDocument/2006/relationships/hyperlink" Target="http://www.saha.es.kr" TargetMode="External" Id="rId709" /><Relationship Type="http://schemas.openxmlformats.org/officeDocument/2006/relationships/hyperlink" Target="http://seocheon.es.kr" TargetMode="External" Id="rId710" /><Relationship Type="http://schemas.openxmlformats.org/officeDocument/2006/relationships/hyperlink" Target="http://seunghak.es.kr" TargetMode="External" Id="rId711" /><Relationship Type="http://schemas.openxmlformats.org/officeDocument/2006/relationships/hyperlink" Target="http://www.sinnam.es.kr" TargetMode="External" Id="rId712" /><Relationship Type="http://schemas.openxmlformats.org/officeDocument/2006/relationships/hyperlink" Target="http://www.shinchon.es.kr" TargetMode="External" Id="rId713" /><Relationship Type="http://schemas.openxmlformats.org/officeDocument/2006/relationships/hyperlink" Target="http://www.sinpyeong.es.kr" TargetMode="External" Id="rId714" /><Relationship Type="http://schemas.openxmlformats.org/officeDocument/2006/relationships/hyperlink" Target="http://okchun.es.kr" TargetMode="External" Id="rId715" /><Relationship Type="http://schemas.openxmlformats.org/officeDocument/2006/relationships/hyperlink" Target="http://www.eulsukdo.es.kr" TargetMode="External" Id="rId716" /><Relationship Type="http://schemas.openxmlformats.org/officeDocument/2006/relationships/hyperlink" Target="http://eungbong.es.kr" TargetMode="External" Id="rId717" /><Relationship Type="http://schemas.openxmlformats.org/officeDocument/2006/relationships/hyperlink" Target="http://jangrim.es.kr" TargetMode="External" Id="rId718" /><Relationship Type="http://schemas.openxmlformats.org/officeDocument/2006/relationships/hyperlink" Target="http://junghyun.es.kr" TargetMode="External" Id="rId719" /><Relationship Type="http://schemas.openxmlformats.org/officeDocument/2006/relationships/hyperlink" Target="http://www.hanam.es.kr" TargetMode="External" Id="rId720" /><Relationship Type="http://schemas.openxmlformats.org/officeDocument/2006/relationships/hyperlink" Target="http://www.hadan.es.kr" TargetMode="External" Id="rId721" /><Relationship Type="http://schemas.openxmlformats.org/officeDocument/2006/relationships/hyperlink" Target="http://hyorim.es.kr" TargetMode="External" Id="rId722" /><Relationship Type="http://schemas.openxmlformats.org/officeDocument/2006/relationships/hyperlink" Target="http://gudeok.es.kr/" TargetMode="External" Id="rId723" /><Relationship Type="http://schemas.openxmlformats.org/officeDocument/2006/relationships/hyperlink" Target="http://www.nambumin.es.kr" TargetMode="External" Id="rId724" /><Relationship Type="http://schemas.openxmlformats.org/officeDocument/2006/relationships/hyperlink" Target="http://daesin.es.kr" TargetMode="External" Id="rId725" /><Relationship Type="http://schemas.openxmlformats.org/officeDocument/2006/relationships/hyperlink" Target="http://www.dongsin.es.kr" TargetMode="External" Id="rId726" /><Relationship Type="http://schemas.openxmlformats.org/officeDocument/2006/relationships/hyperlink" Target="http://www.bumin.es.kr/" TargetMode="External" Id="rId727" /><Relationship Type="http://schemas.openxmlformats.org/officeDocument/2006/relationships/hyperlink" Target="http://www.aloysius-bs.es.kr" TargetMode="External" Id="rId728" /><Relationship Type="http://schemas.openxmlformats.org/officeDocument/2006/relationships/hyperlink" Target="http://songdo.es.kr/" TargetMode="External" Id="rId729" /><Relationship Type="http://schemas.openxmlformats.org/officeDocument/2006/relationships/hyperlink" Target="http://ami.es.kr/" TargetMode="External" Id="rId730" /><Relationship Type="http://schemas.openxmlformats.org/officeDocument/2006/relationships/hyperlink" Target="http://www.chunma.es.kr" TargetMode="External" Id="rId731" /><Relationship Type="http://schemas.openxmlformats.org/officeDocument/2006/relationships/hyperlink" Target="http://toseong.es.kr" TargetMode="External" Id="rId732" /><Relationship Type="http://schemas.openxmlformats.org/officeDocument/2006/relationships/hyperlink" Target="http://www.hwarang.es.kr" TargetMode="External" Id="rId733" /><Relationship Type="http://schemas.openxmlformats.org/officeDocument/2006/relationships/hyperlink" Target="http://gwangnam.es.kr/" TargetMode="External" Id="rId734" /><Relationship Type="http://schemas.openxmlformats.org/officeDocument/2006/relationships/hyperlink" Target="http://www.kwangan.es.kr" TargetMode="External" Id="rId735" /><Relationship Type="http://schemas.openxmlformats.org/officeDocument/2006/relationships/hyperlink" Target="http://www.namcheon.es.kr" TargetMode="External" Id="rId736" /><Relationship Type="http://schemas.openxmlformats.org/officeDocument/2006/relationships/hyperlink" Target="http://school.busanedu.net/mangmi-e" TargetMode="External" Id="rId737" /><Relationship Type="http://schemas.openxmlformats.org/officeDocument/2006/relationships/hyperlink" Target="http://minlak.es.kr" TargetMode="External" Id="rId738" /><Relationship Type="http://schemas.openxmlformats.org/officeDocument/2006/relationships/hyperlink" Target="http://minan.es.kr" TargetMode="External" Id="rId739" /><Relationship Type="http://schemas.openxmlformats.org/officeDocument/2006/relationships/hyperlink" Target="http://www.baesan.es.kr" TargetMode="External" Id="rId740" /><Relationship Type="http://schemas.openxmlformats.org/officeDocument/2006/relationships/hyperlink" Target="http://www.sumi.es.kr/" TargetMode="External" Id="rId741" /><Relationship Type="http://schemas.openxmlformats.org/officeDocument/2006/relationships/hyperlink" Target="http://suyoung.es.kr/" TargetMode="External" Id="rId742" /><Relationship Type="http://schemas.openxmlformats.org/officeDocument/2006/relationships/hyperlink" Target="http://www.hoam.es.kr" TargetMode="External" Id="rId743" /><Relationship Type="http://schemas.openxmlformats.org/officeDocument/2006/relationships/hyperlink" Target="http://www.gue-je.es.kr" TargetMode="External" Id="rId744" /><Relationship Type="http://schemas.openxmlformats.org/officeDocument/2006/relationships/hyperlink" Target="http://www.geohak.es.kr" TargetMode="External" Id="rId745" /><Relationship Type="http://schemas.openxmlformats.org/officeDocument/2006/relationships/hyperlink" Target="http://www.kwajung.es.kr" TargetMode="External" Id="rId746" /><Relationship Type="http://schemas.openxmlformats.org/officeDocument/2006/relationships/hyperlink" Target="http://nammun.es.kr" TargetMode="External" Id="rId747" /><Relationship Type="http://schemas.openxmlformats.org/officeDocument/2006/relationships/hyperlink" Target="http://www.dongmyung.es.kr" TargetMode="External" Id="rId748" /><Relationship Type="http://schemas.openxmlformats.org/officeDocument/2006/relationships/hyperlink" Target="http://es.bnue.ac.kr" TargetMode="External" Id="rId749" /><Relationship Type="http://schemas.openxmlformats.org/officeDocument/2006/relationships/hyperlink" Target="http://yondong.es.kr" TargetMode="External" Id="rId750" /><Relationship Type="http://schemas.openxmlformats.org/officeDocument/2006/relationships/hyperlink" Target="http://www.yeunmi.es.kr" TargetMode="External" Id="rId751" /><Relationship Type="http://schemas.openxmlformats.org/officeDocument/2006/relationships/hyperlink" Target="http://www.yonsan.es.kr" TargetMode="External" Id="rId752" /><Relationship Type="http://schemas.openxmlformats.org/officeDocument/2006/relationships/hyperlink" Target="http://school.busanedu.net/yeonseo-e/main.do" TargetMode="External" Id="rId753" /><Relationship Type="http://schemas.openxmlformats.org/officeDocument/2006/relationships/hyperlink" Target="http://www.yonsin.es.kr" TargetMode="External" Id="rId754" /><Relationship Type="http://schemas.openxmlformats.org/officeDocument/2006/relationships/hyperlink" Target="http://www.yonil.es.kr" TargetMode="External" Id="rId755" /><Relationship Type="http://schemas.openxmlformats.org/officeDocument/2006/relationships/hyperlink" Target="http://www.yeonje.es.kr" TargetMode="External" Id="rId756" /><Relationship Type="http://schemas.openxmlformats.org/officeDocument/2006/relationships/hyperlink" Target="https://school.busanedu.net/yonchon-e/main.do" TargetMode="External" Id="rId757" /><Relationship Type="http://schemas.openxmlformats.org/officeDocument/2006/relationships/hyperlink" Target="http://www.changshin.es.kr" TargetMode="External" Id="rId758" /><Relationship Type="http://schemas.openxmlformats.org/officeDocument/2006/relationships/hyperlink" Target="http://www.tohyeon.es.kr" TargetMode="External" Id="rId759" /><Relationship Type="http://schemas.openxmlformats.org/officeDocument/2006/relationships/hyperlink" Target="http://namhang.es.kr/" TargetMode="External" Id="rId760" /><Relationship Type="http://schemas.openxmlformats.org/officeDocument/2006/relationships/hyperlink" Target="http://daegyo.es.kr" TargetMode="External" Id="rId761" /><Relationship Type="http://schemas.openxmlformats.org/officeDocument/2006/relationships/hyperlink" Target="https://school.busanedu.net/daepyung-e/main.do" TargetMode="External" Id="rId762" /><Relationship Type="http://schemas.openxmlformats.org/officeDocument/2006/relationships/hyperlink" Target="http://school.busanedu.net/dongsam-e/main.do" TargetMode="External" Id="rId763" /><Relationship Type="http://schemas.openxmlformats.org/officeDocument/2006/relationships/hyperlink" Target="http://bonghak.es.kr/" TargetMode="External" Id="rId764" /><Relationship Type="http://schemas.openxmlformats.org/officeDocument/2006/relationships/hyperlink" Target="http://ses.es.kr" TargetMode="External" Id="rId765" /><Relationship Type="http://schemas.openxmlformats.org/officeDocument/2006/relationships/hyperlink" Target="http://school.busanedu.net/yeongdo-e/" TargetMode="External" Id="rId766" /><Relationship Type="http://schemas.openxmlformats.org/officeDocument/2006/relationships/hyperlink" Target="http://jeolyeong.es.kr" TargetMode="External" Id="rId767" /><Relationship Type="http://schemas.openxmlformats.org/officeDocument/2006/relationships/hyperlink" Target="http://joonglee.es.kr" TargetMode="External" Id="rId768" /><Relationship Type="http://schemas.openxmlformats.org/officeDocument/2006/relationships/hyperlink" Target="http://school.busanedu.net/chungdong-e" TargetMode="External" Id="rId769" /><Relationship Type="http://schemas.openxmlformats.org/officeDocument/2006/relationships/hyperlink" Target="http://www.cheonghak.es.kr" TargetMode="External" Id="rId770" /><Relationship Type="http://schemas.openxmlformats.org/officeDocument/2006/relationships/hyperlink" Target="http://www.taejongdae.es.kr" TargetMode="External" Id="rId771" /><Relationship Type="http://schemas.openxmlformats.org/officeDocument/2006/relationships/hyperlink" Target="http://www.gwangil.es.kr" TargetMode="External" Id="rId772" /><Relationship Type="http://schemas.openxmlformats.org/officeDocument/2006/relationships/hyperlink" Target="http://www.nisb.kr" TargetMode="External" Id="rId773" /><Relationship Type="http://schemas.openxmlformats.org/officeDocument/2006/relationships/hyperlink" Target="http://bosu.es.kr/" TargetMode="External" Id="rId774" /><Relationship Type="http://schemas.openxmlformats.org/officeDocument/2006/relationships/hyperlink" Target="http://pusanbongrae.es.kr/" TargetMode="External" Id="rId775" /><Relationship Type="http://schemas.openxmlformats.org/officeDocument/2006/relationships/hyperlink" Target="http://www.pusangangdong.es.kr/" TargetMode="External" Id="rId776" /><Relationship Type="http://schemas.openxmlformats.org/officeDocument/2006/relationships/hyperlink" Target="http://dongbaek.es.kr" TargetMode="External" Id="rId777" /><Relationship Type="http://schemas.openxmlformats.org/officeDocument/2006/relationships/hyperlink" Target="http://www.bsmj.es.kr" TargetMode="External" Id="rId778" /><Relationship Type="http://schemas.openxmlformats.org/officeDocument/2006/relationships/hyperlink" Target="http://www.bansan.es.kr/" TargetMode="External" Id="rId779" /><Relationship Type="http://schemas.openxmlformats.org/officeDocument/2006/relationships/hyperlink" Target="http://bansuk.es.kr" TargetMode="External" Id="rId780" /><Relationship Type="http://schemas.openxmlformats.org/officeDocument/2006/relationships/hyperlink" Target="http://www.bansong.es.kr" TargetMode="External" Id="rId781" /><Relationship Type="http://schemas.openxmlformats.org/officeDocument/2006/relationships/hyperlink" Target="http://www.banan.es.kr" TargetMode="External" Id="rId782" /><Relationship Type="http://schemas.openxmlformats.org/officeDocument/2006/relationships/hyperlink" Target="http://www.banyeo.es.kr" TargetMode="External" Id="rId783" /><Relationship Type="http://schemas.openxmlformats.org/officeDocument/2006/relationships/hyperlink" Target="http://www.buhung.es.kr" TargetMode="External" Id="rId784" /><Relationship Type="http://schemas.openxmlformats.org/officeDocument/2006/relationships/hyperlink" Target="http://sameo.es.kr" TargetMode="External" Id="rId785" /><Relationship Type="http://schemas.openxmlformats.org/officeDocument/2006/relationships/hyperlink" Target="http://sangdang.es.kr/" TargetMode="External" Id="rId786" /><Relationship Type="http://schemas.openxmlformats.org/officeDocument/2006/relationships/hyperlink" Target="http://www.centum.es.kr" TargetMode="External" Id="rId787" /><Relationship Type="http://schemas.openxmlformats.org/officeDocument/2006/relationships/hyperlink" Target="http://www.songsu.es.kr" TargetMode="External" Id="rId788" /><Relationship Type="http://schemas.openxmlformats.org/officeDocument/2006/relationships/hyperlink" Target="http://songun.es.kr" TargetMode="External" Id="rId789" /><Relationship Type="http://schemas.openxmlformats.org/officeDocument/2006/relationships/hyperlink" Target="http://www.hudsj.es.kr/" TargetMode="External" Id="rId790" /><Relationship Type="http://schemas.openxmlformats.org/officeDocument/2006/relationships/hyperlink" Target="http://www.singok.es.kr" TargetMode="External" Id="rId791" /><Relationship Type="http://schemas.openxmlformats.org/officeDocument/2006/relationships/hyperlink" Target="http://sin-do.es.kr/" TargetMode="External" Id="rId792" /><Relationship Type="http://schemas.openxmlformats.org/officeDocument/2006/relationships/hyperlink" Target="http://www.sinjae.es.kr" TargetMode="External" Id="rId793" /><Relationship Type="http://schemas.openxmlformats.org/officeDocument/2006/relationships/hyperlink" Target="http://www.yangun.es.kr/" TargetMode="External" Id="rId794" /><Relationship Type="http://schemas.openxmlformats.org/officeDocument/2006/relationships/hyperlink" Target="http://www.unbong.es.kr" TargetMode="External" Id="rId795" /><Relationship Type="http://schemas.openxmlformats.org/officeDocument/2006/relationships/hyperlink" Target="http://woonsong.es.kr" TargetMode="External" Id="rId796" /><Relationship Type="http://schemas.openxmlformats.org/officeDocument/2006/relationships/hyperlink" Target="http://www.ij.es.kr" TargetMode="External" Id="rId797" /><Relationship Type="http://schemas.openxmlformats.org/officeDocument/2006/relationships/hyperlink" Target="http://www.jangsan.es.kr" TargetMode="External" Id="rId798" /><Relationship Type="http://schemas.openxmlformats.org/officeDocument/2006/relationships/hyperlink" Target="http://www.jaesong.es.kr" TargetMode="External" Id="rId799" /><Relationship Type="http://schemas.openxmlformats.org/officeDocument/2006/relationships/hyperlink" Target="https://school.busanedu.net/jwadong-e/main.do" TargetMode="External" Id="rId800" /><Relationship Type="http://schemas.openxmlformats.org/officeDocument/2006/relationships/hyperlink" Target="http://www.jwasan.es.kr/" TargetMode="External" Id="rId801" /><Relationship Type="http://schemas.openxmlformats.org/officeDocument/2006/relationships/hyperlink" Target="http://www.haegang.es.kr" TargetMode="External" Id="rId802" /><Relationship Type="http://schemas.openxmlformats.org/officeDocument/2006/relationships/hyperlink" Target="http://www.haedong.es.kr/" TargetMode="External" Id="rId803" /><Relationship Type="http://schemas.openxmlformats.org/officeDocument/2006/relationships/hyperlink" Target="http://www.haerim.es.kr" TargetMode="External" Id="rId804" /><Relationship Type="http://schemas.openxmlformats.org/officeDocument/2006/relationships/hyperlink" Target="http://haesong.es.kr/" TargetMode="External" Id="rId805" /><Relationship Type="http://schemas.openxmlformats.org/officeDocument/2006/relationships/hyperlink" Target="http://www.haeundae.es.kr" TargetMode="External" Id="rId806" /><Relationship Type="http://schemas.openxmlformats.org/officeDocument/2006/relationships/hyperlink" Target="http://haewon.es.kr" TargetMode="External" Id="rId807" /><Relationship Type="http://schemas.openxmlformats.org/officeDocument/2006/relationships/hyperlink" Target="http://www.nulcha.es.kr" TargetMode="External" Id="rId808" /><Relationship Type="http://schemas.openxmlformats.org/officeDocument/2006/relationships/hyperlink" Target="http://www.djjang.es.kr" TargetMode="External" Id="rId809" /><Relationship Type="http://schemas.openxmlformats.org/officeDocument/2006/relationships/hyperlink" Target="http://dukdo.es.kr" TargetMode="External" Id="rId810" /><Relationship Type="http://schemas.openxmlformats.org/officeDocument/2006/relationships/hyperlink" Target="http://samkwang.es.kr" TargetMode="External" Id="rId811" /><Relationship Type="http://schemas.openxmlformats.org/officeDocument/2006/relationships/hyperlink" Target="http://www.sesan.es.kr" TargetMode="External" Id="rId812" /><Relationship Type="http://schemas.openxmlformats.org/officeDocument/2006/relationships/hyperlink" Target="http://www.pssongjung.es.kr/" TargetMode="External" Id="rId813" /><Relationship Type="http://schemas.openxmlformats.org/officeDocument/2006/relationships/hyperlink" Target="http://ps-seogok.es.kr" TargetMode="External" Id="rId814" /><Relationship Type="http://schemas.openxmlformats.org/officeDocument/2006/relationships/hyperlink" Target="http://hoedong.es.kr/" TargetMode="External" Id="rId815" /><Relationship Type="http://schemas.openxmlformats.org/officeDocument/2006/relationships/hyperlink" Target="http://www.ilgwang.es.kr" TargetMode="External" Id="rId816" /><Relationship Type="http://schemas.openxmlformats.org/officeDocument/2006/relationships/hyperlink" Target="http://school.busanedu.net/jwasung-e/intro.do" TargetMode="External" Id="rId817" /><Relationship Type="http://schemas.openxmlformats.org/officeDocument/2006/relationships/hyperlink" Target="http://www.joachun.es.kr" TargetMode="External" Id="rId818" /><Relationship Type="http://schemas.openxmlformats.org/officeDocument/2006/relationships/hyperlink" Target="http://pusangasan.es.kr" TargetMode="External" Id="rId819" /><Relationship Type="http://schemas.openxmlformats.org/officeDocument/2006/relationships/hyperlink" Target="http://juwon.es.kr" TargetMode="External" Id="rId820" /><Relationship Type="http://schemas.openxmlformats.org/officeDocument/2006/relationships/hyperlink" Target="http://gwaebeop.es.kr" TargetMode="External" Id="rId821" /><Relationship Type="http://schemas.openxmlformats.org/officeDocument/2006/relationships/hyperlink" Target="http://gamjung.es.kr/" TargetMode="External" Id="rId822" /><Relationship Type="http://schemas.openxmlformats.org/officeDocument/2006/relationships/hyperlink" Target="http://bongsam.es.kr" TargetMode="External" Id="rId823" /><Relationship Type="http://schemas.openxmlformats.org/officeDocument/2006/relationships/hyperlink" Target="http://www.sinseon.es.kr/" TargetMode="External" Id="rId824" /><Relationship Type="http://schemas.openxmlformats.org/officeDocument/2006/relationships/hyperlink" Target="http://we.es.kr" TargetMode="External" Id="rId825" /></Relationships>
</file>

<file path=xl/worksheets/_rels/sheet4.xml.rels><Relationships xmlns="http://schemas.openxmlformats.org/package/2006/relationships"><Relationship Type="http://schemas.openxmlformats.org/officeDocument/2006/relationships/hyperlink" Target="http://school.busanedu.net/garak-k/main.do" TargetMode="External" Id="rId1" /><Relationship Type="http://schemas.openxmlformats.org/officeDocument/2006/relationships/hyperlink" Target="https://school.busanedu.net/gangseo-k" TargetMode="External" Id="rId2" /><Relationship Type="http://schemas.openxmlformats.org/officeDocument/2006/relationships/hyperlink" Target="https://school.busanedu.net/girin-k/" TargetMode="External" Id="rId3" /><Relationship Type="http://schemas.openxmlformats.org/officeDocument/2006/relationships/hyperlink" Target="http://school.busanedu.net/nammyeong-k" TargetMode="External" Id="rId4" /><Relationship Type="http://schemas.openxmlformats.org/officeDocument/2006/relationships/hyperlink" Target="http://school.busanedu.net/noksan-k/" TargetMode="External" Id="rId5" /><Relationship Type="http://schemas.openxmlformats.org/officeDocument/2006/relationships/hyperlink" Target="https://school.busanedu.net/Daejeo-k" TargetMode="External" Id="rId6" /><Relationship Type="http://schemas.openxmlformats.org/officeDocument/2006/relationships/hyperlink" Target="http://school.busanedu.net/myoungwon-k" TargetMode="External" Id="rId7" /><Relationship Type="http://schemas.openxmlformats.org/officeDocument/2006/relationships/hyperlink" Target="https://school.busanedu.net/myeong1-k" TargetMode="External" Id="rId8" /><Relationship Type="http://schemas.openxmlformats.org/officeDocument/2006/relationships/hyperlink" Target="https://school.busanedu.net/myeongjigaon-k/main.do" TargetMode="External" Id="rId9" /><Relationship Type="http://schemas.openxmlformats.org/officeDocument/2006/relationships/hyperlink" Target="https://school.busanedu.net/myungjidream-k/main.do" TargetMode="External" Id="rId10" /><Relationship Type="http://schemas.openxmlformats.org/officeDocument/2006/relationships/hyperlink" Target="https://school.busanedu.net/mjbaewha-k" TargetMode="External" Id="rId11" /><Relationship Type="http://schemas.openxmlformats.org/officeDocument/2006/relationships/hyperlink" Target="http://school.busanedu.net/myungji-k/main.do" TargetMode="External" Id="rId12" /><Relationship Type="http://schemas.openxmlformats.org/officeDocument/2006/relationships/hyperlink" Target="http://school.busanedu.net/myungho-k/main.do" TargetMode="External" Id="rId13" /><Relationship Type="http://schemas.openxmlformats.org/officeDocument/2006/relationships/hyperlink" Target="http://school.busanedu.net/BoGwang-k" TargetMode="External" Id="rId14" /><Relationship Type="http://schemas.openxmlformats.org/officeDocument/2006/relationships/hyperlink" Target="https://school.busanedu.net/saegyeol-k/main.do" TargetMode="External" Id="rId15" /><Relationship Type="http://schemas.openxmlformats.org/officeDocument/2006/relationships/hyperlink" Target="http://school.busanedu.net/sjkids-k" TargetMode="External" Id="rId16" /><Relationship Type="http://schemas.openxmlformats.org/officeDocument/2006/relationships/hyperlink" Target="http://school.busanedu.net/smkids-k/main.do" TargetMode="External" Id="rId17" /><Relationship Type="http://schemas.openxmlformats.org/officeDocument/2006/relationships/hyperlink" Target="http://school.busanedu.net/shinho-k/main.do" TargetMode="External" Id="rId18" /><Relationship Type="http://schemas.openxmlformats.org/officeDocument/2006/relationships/hyperlink" Target="https://school.busanedu.net/yeoul-k/main.do" TargetMode="External" Id="rId19" /><Relationship Type="http://schemas.openxmlformats.org/officeDocument/2006/relationships/hyperlink" Target="http://school.busanedu.net/oceankids-k/main.do" TargetMode="External" Id="rId20" /><Relationship Type="http://schemas.openxmlformats.org/officeDocument/2006/relationships/hyperlink" Target="https://school.busanedu.net/chunga-k" TargetMode="External" Id="rId21" /><Relationship Type="http://schemas.openxmlformats.org/officeDocument/2006/relationships/hyperlink" Target="http://school.busanedu.net/kuseo-k/" TargetMode="External" Id="rId22" /><Relationship Type="http://schemas.openxmlformats.org/officeDocument/2006/relationships/hyperlink" Target="http://school.busanedu.net/kumsa-k" TargetMode="External" Id="rId23" /><Relationship Type="http://schemas.openxmlformats.org/officeDocument/2006/relationships/hyperlink" Target="https://school.busanedu.net/geumsaem-k" TargetMode="External" Id="rId24" /><Relationship Type="http://schemas.openxmlformats.org/officeDocument/2006/relationships/hyperlink" Target="http://school.busanedu.net/guemjung-k" TargetMode="External" Id="rId25" /><Relationship Type="http://schemas.openxmlformats.org/officeDocument/2006/relationships/hyperlink" Target="http://school.busanedu.net/deawu-k" TargetMode="External" Id="rId26" /><Relationship Type="http://schemas.openxmlformats.org/officeDocument/2006/relationships/hyperlink" Target="https://school.busanedu.net/dongraekg-k/main.do" TargetMode="External" Id="rId27" /><Relationship Type="http://schemas.openxmlformats.org/officeDocument/2006/relationships/hyperlink" Target="http://www.cafe.daum.net/db0610" TargetMode="External" Id="rId28" /><Relationship Type="http://schemas.openxmlformats.org/officeDocument/2006/relationships/hyperlink" Target="http://school.busanedu.net/kwangmyoung-k" TargetMode="External" Id="rId29" /><Relationship Type="http://schemas.openxmlformats.org/officeDocument/2006/relationships/hyperlink" Target="http://school.busanedu.net/seomyeong-k" TargetMode="External" Id="rId30" /><Relationship Type="http://schemas.openxmlformats.org/officeDocument/2006/relationships/hyperlink" Target="http://school.busanedu.net/sosim-k" TargetMode="External" Id="rId31" /><Relationship Type="http://schemas.openxmlformats.org/officeDocument/2006/relationships/hyperlink" Target="https://school.busanedu.net/ain-k/main.do" TargetMode="External" Id="rId32" /><Relationship Type="http://schemas.openxmlformats.org/officeDocument/2006/relationships/hyperlink" Target="http://school.busanedu.net/cheongryong-k/" TargetMode="External" Id="rId33" /><Relationship Type="http://schemas.openxmlformats.org/officeDocument/2006/relationships/hyperlink" Target="http://cafe.daum.net/tntnhappy" TargetMode="External" Id="rId34" /><Relationship Type="http://schemas.openxmlformats.org/officeDocument/2006/relationships/hyperlink" Target="http://parangsae.or.kr" TargetMode="External" Id="rId35" /><Relationship Type="http://schemas.openxmlformats.org/officeDocument/2006/relationships/hyperlink" Target="http://cafe.naver.com/hanakids9792" TargetMode="External" Id="rId36" /><Relationship Type="http://schemas.openxmlformats.org/officeDocument/2006/relationships/hyperlink" Target="http://school.busanedu.net/gadong-k" TargetMode="External" Id="rId37" /><Relationship Type="http://schemas.openxmlformats.org/officeDocument/2006/relationships/hyperlink" Target="https://school.busanedu.net/gyori-k/main.do" TargetMode="External" Id="rId38" /><Relationship Type="http://schemas.openxmlformats.org/officeDocument/2006/relationships/hyperlink" Target="http://school.busanedu.net/gijang-k/main.do" TargetMode="External" Id="rId39" /><Relationship Type="http://schemas.openxmlformats.org/officeDocument/2006/relationships/hyperlink" Target="http://school.busanedu.net/naeri-k" TargetMode="External" Id="rId40" /><Relationship Type="http://schemas.openxmlformats.org/officeDocument/2006/relationships/hyperlink" Target="http://school.busanedu.net/dalsan-k" TargetMode="External" Id="rId41" /><Relationship Type="http://schemas.openxmlformats.org/officeDocument/2006/relationships/hyperlink" Target="https://school.busanedu.net/bsmojeon-k" TargetMode="External" Id="rId42" /><Relationship Type="http://schemas.openxmlformats.org/officeDocument/2006/relationships/hyperlink" Target="http://school.busanedu.net/kbanggok-k/main.do" TargetMode="External" Id="rId43" /><Relationship Type="http://schemas.openxmlformats.org/officeDocument/2006/relationships/hyperlink" Target="http://school.busanedu.net/sehwa-k/" TargetMode="External" Id="rId44" /><Relationship Type="http://schemas.openxmlformats.org/officeDocument/2006/relationships/hyperlink" Target="https://blog.naver.com/inthewoodkids" TargetMode="External" Id="rId45" /><Relationship Type="http://schemas.openxmlformats.org/officeDocument/2006/relationships/hyperlink" Target="http://school.busanedu.net/sinjin-k" TargetMode="External" Id="rId46" /><Relationship Type="http://schemas.openxmlformats.org/officeDocument/2006/relationships/hyperlink" Target="http://wollae.es.kr/" TargetMode="External" Id="rId47" /><Relationship Type="http://schemas.openxmlformats.org/officeDocument/2006/relationships/hyperlink" Target="http://bswp.es.kr/" TargetMode="External" Id="rId48" /><Relationship Type="http://schemas.openxmlformats.org/officeDocument/2006/relationships/hyperlink" Target="https://school.busanedu.net/ilgwang42-k/" TargetMode="External" Id="rId49" /><Relationship Type="http://schemas.openxmlformats.org/officeDocument/2006/relationships/hyperlink" Target="http://jangancho.es.kr/" TargetMode="External" Id="rId50" /><Relationship Type="http://schemas.openxmlformats.org/officeDocument/2006/relationships/hyperlink" Target="http://school.busanedu.net/jgBerkeley-k" TargetMode="External" Id="rId51" /><Relationship Type="http://schemas.openxmlformats.org/officeDocument/2006/relationships/hyperlink" Target="http://school.busanedu.net/jkschool-k" TargetMode="External" Id="rId52" /><Relationship Type="http://schemas.openxmlformats.org/officeDocument/2006/relationships/hyperlink" Target="http://school.busanedu.net/piola-k" TargetMode="External" Id="rId53" /><Relationship Type="http://schemas.openxmlformats.org/officeDocument/2006/relationships/hyperlink" Target="http://school.busanedu.net/jeongwon-k" TargetMode="External" Id="rId54" /><Relationship Type="http://schemas.openxmlformats.org/officeDocument/2006/relationships/hyperlink" Target="https://school.busanedu.net/jwacheon-k/main.do" TargetMode="External" Id="rId55" /><Relationship Type="http://schemas.openxmlformats.org/officeDocument/2006/relationships/hyperlink" Target="http://jukseong.es.kr/" TargetMode="External" Id="rId56" /><Relationship Type="http://schemas.openxmlformats.org/officeDocument/2006/relationships/hyperlink" Target="http://school.busanedu.net/chulma-k/main.do" TargetMode="External" Id="rId57" /><Relationship Type="http://schemas.openxmlformats.org/officeDocument/2006/relationships/hyperlink" Target="http://www.chilam.es.kr" TargetMode="External" Id="rId58" /><Relationship Type="http://schemas.openxmlformats.org/officeDocument/2006/relationships/hyperlink" Target="https://school.busanedu.net/hansol-k" TargetMode="External" Id="rId59" /><Relationship Type="http://schemas.openxmlformats.org/officeDocument/2006/relationships/hyperlink" Target="http://school.busanedu.net/heanuri-k/main.do" TargetMode="External" Id="rId60" /><Relationship Type="http://schemas.openxmlformats.org/officeDocument/2006/relationships/hyperlink" Target="http://school.busanedu.net/haebitkg-k/" TargetMode="External" Id="rId61" /><Relationship Type="http://schemas.openxmlformats.org/officeDocument/2006/relationships/hyperlink" Target="http://school.busanedu.net/haebit-k" TargetMode="External" Id="rId62" /><Relationship Type="http://schemas.openxmlformats.org/officeDocument/2006/relationships/hyperlink" Target="http://school.busanedu.net/lgmetrocity-k" TargetMode="External" Id="rId63" /><Relationship Type="http://schemas.openxmlformats.org/officeDocument/2006/relationships/hyperlink" Target="http://moonhyun.es.kr/" TargetMode="External" Id="rId64" /><Relationship Type="http://schemas.openxmlformats.org/officeDocument/2006/relationships/hyperlink" Target="https://school.busanedu.net/daeyeon-k" TargetMode="External" Id="rId65" /><Relationship Type="http://schemas.openxmlformats.org/officeDocument/2006/relationships/hyperlink" Target="http://home.saebusan.modukids.com" TargetMode="External" Id="rId66" /><Relationship Type="http://schemas.openxmlformats.org/officeDocument/2006/relationships/hyperlink" Target="http://school.busanedu.net/esungdong-k/main.do" TargetMode="External" Id="rId67" /><Relationship Type="http://schemas.openxmlformats.org/officeDocument/2006/relationships/hyperlink" Target="http://school.busanedu.net/sungsin-k" TargetMode="External" Id="rId68" /><Relationship Type="http://schemas.openxmlformats.org/officeDocument/2006/relationships/hyperlink" Target="http://school.busanedu.net/sol-k" TargetMode="External" Id="rId69" /><Relationship Type="http://schemas.openxmlformats.org/officeDocument/2006/relationships/hyperlink" Target="http://school.busanedu.net/yonpo-k/main.do" TargetMode="External" Id="rId70" /><Relationship Type="http://schemas.openxmlformats.org/officeDocument/2006/relationships/hyperlink" Target="http://school.busanedu.net/yong-san-k/main.do" TargetMode="External" Id="rId71" /><Relationship Type="http://schemas.openxmlformats.org/officeDocument/2006/relationships/hyperlink" Target="http://school.busanedu.net/yong-so-k/main.do" TargetMode="External" Id="rId72" /><Relationship Type="http://schemas.openxmlformats.org/officeDocument/2006/relationships/hyperlink" Target="http://school.busanedu.net/uambusan-k" TargetMode="External" Id="rId73" /><Relationship Type="http://schemas.openxmlformats.org/officeDocument/2006/relationships/hyperlink" Target="http://school.busanedu.net/eunha-k/main.do" TargetMode="External" Id="rId74" /><Relationship Type="http://schemas.openxmlformats.org/officeDocument/2006/relationships/hyperlink" Target="https://school.busanedu.net/haemalkeun-k" TargetMode="External" Id="rId75" /><Relationship Type="http://schemas.openxmlformats.org/officeDocument/2006/relationships/hyperlink" Target="http://school.busanedu.net/dongilkid-k" TargetMode="External" Id="rId76" /><Relationship Type="http://schemas.openxmlformats.org/officeDocument/2006/relationships/hyperlink" Target="http://beom-il.es.kr" TargetMode="External" Id="rId77" /><Relationship Type="http://schemas.openxmlformats.org/officeDocument/2006/relationships/hyperlink" Target="http://school.busanedu.net/pusansungnam-k" TargetMode="External" Id="rId78" /><Relationship Type="http://schemas.openxmlformats.org/officeDocument/2006/relationships/hyperlink" Target="http://suseong.es.kr" TargetMode="External" Id="rId79" /><Relationship Type="http://schemas.openxmlformats.org/officeDocument/2006/relationships/hyperlink" Target="http://school.busanedu.net/hanlim-k" TargetMode="External" Id="rId80" /><Relationship Type="http://schemas.openxmlformats.org/officeDocument/2006/relationships/hyperlink" Target="http://school.busanedu.net/kd-k/main.do" TargetMode="External" Id="rId81" /><Relationship Type="http://schemas.openxmlformats.org/officeDocument/2006/relationships/hyperlink" Target="http://school.busanedu.net/nakmin-k/main.do" TargetMode="External" Id="rId82" /><Relationship Type="http://schemas.openxmlformats.org/officeDocument/2006/relationships/hyperlink" Target="https://school.busanedu.net/naesung-k" TargetMode="External" Id="rId83" /><Relationship Type="http://schemas.openxmlformats.org/officeDocument/2006/relationships/hyperlink" Target="https://school.busanedu.net/dongnae-k/main.do" TargetMode="External" Id="rId84" /><Relationship Type="http://schemas.openxmlformats.org/officeDocument/2006/relationships/hyperlink" Target="http://cafe.daum.net/mindulekids" TargetMode="External" Id="rId85" /><Relationship Type="http://schemas.openxmlformats.org/officeDocument/2006/relationships/hyperlink" Target="https://school.busanedu.net/pupryun-k" TargetMode="External" Id="rId86" /><Relationship Type="http://schemas.openxmlformats.org/officeDocument/2006/relationships/hyperlink" Target="https://school.busanedu.net/sajik-k" TargetMode="External" Id="rId87" /><Relationship Type="http://schemas.openxmlformats.org/officeDocument/2006/relationships/hyperlink" Target="http://school.busanedu.net/sajik6677-k/main.do" TargetMode="External" Id="rId88" /><Relationship Type="http://schemas.openxmlformats.org/officeDocument/2006/relationships/hyperlink" Target="http://school.busanedu.net/suan-k" TargetMode="External" Id="rId89" /><Relationship Type="http://schemas.openxmlformats.org/officeDocument/2006/relationships/hyperlink" Target="http://anrak.es.kr/" TargetMode="External" Id="rId90" /><Relationship Type="http://schemas.openxmlformats.org/officeDocument/2006/relationships/hyperlink" Target="https://school.busanedu.net/anjin-k/main.do" TargetMode="External" Id="rId91" /><Relationship Type="http://schemas.openxmlformats.org/officeDocument/2006/relationships/hyperlink" Target="https://www.yeogo.co.kr" TargetMode="External" Id="rId92" /><Relationship Type="http://schemas.openxmlformats.org/officeDocument/2006/relationships/hyperlink" Target="https://school.busanedu.net/yeinkid-k/main.do" TargetMode="External" Id="rId93" /><Relationship Type="http://schemas.openxmlformats.org/officeDocument/2006/relationships/hyperlink" Target="http://school.busanedu.net/onsaem-k/main.do" TargetMode="External" Id="rId94" /><Relationship Type="http://schemas.openxmlformats.org/officeDocument/2006/relationships/hyperlink" Target="http://cafe.daum.net/hannuri2207" TargetMode="External" Id="rId95" /><Relationship Type="http://schemas.openxmlformats.org/officeDocument/2006/relationships/hyperlink" Target="https://school.busanedu.net/hyehwa-k" TargetMode="External" Id="rId96" /><Relationship Type="http://schemas.openxmlformats.org/officeDocument/2006/relationships/hyperlink" Target="http://school.busanedu.net/HongikKindergarten-k" TargetMode="External" Id="rId97" /><Relationship Type="http://schemas.openxmlformats.org/officeDocument/2006/relationships/hyperlink" Target="http://school.busanedu.net/gaerim-k" TargetMode="External" Id="rId98" /><Relationship Type="http://schemas.openxmlformats.org/officeDocument/2006/relationships/hyperlink" Target="http://school.busanedu.net/gaepo-k" TargetMode="External" Id="rId99" /><Relationship Type="http://schemas.openxmlformats.org/officeDocument/2006/relationships/hyperlink" Target="http://school.busanedu.net/nuelpureun-k/main.do" TargetMode="External" Id="rId100" /><Relationship Type="http://schemas.openxmlformats.org/officeDocument/2006/relationships/hyperlink" Target="https://cafe.naver.com/dawon8097335" TargetMode="External" Id="rId101" /><Relationship Type="http://schemas.openxmlformats.org/officeDocument/2006/relationships/hyperlink" Target="http://school.busanedu.net/danggam-k" TargetMode="External" Id="rId102" /><Relationship Type="http://schemas.openxmlformats.org/officeDocument/2006/relationships/hyperlink" Target="http://school.busanedu.net/dangpyung-k" TargetMode="External" Id="rId103" /><Relationship Type="http://schemas.openxmlformats.org/officeDocument/2006/relationships/hyperlink" Target="https://school.busanedu.net/dongsungkids-k" TargetMode="External" Id="rId104" /><Relationship Type="http://schemas.openxmlformats.org/officeDocument/2006/relationships/hyperlink" Target="http://kids.bwc.ac.kr" TargetMode="External" Id="rId105" /><Relationship Type="http://schemas.openxmlformats.org/officeDocument/2006/relationships/hyperlink" Target="http://school.busanedu.net/busanjin-k/" TargetMode="External" Id="rId106" /><Relationship Type="http://schemas.openxmlformats.org/officeDocument/2006/relationships/hyperlink" Target="http://school.busanedu.net/pspujun-k" TargetMode="External" Id="rId107" /><Relationship Type="http://schemas.openxmlformats.org/officeDocument/2006/relationships/hyperlink" Target="http://school.busanedu.net/sunam-k" TargetMode="External" Id="rId108" /><Relationship Type="http://schemas.openxmlformats.org/officeDocument/2006/relationships/hyperlink" Target="https://school.busanedu.net/seongbuk-k/main.do" TargetMode="External" Id="rId109" /><Relationship Type="http://schemas.openxmlformats.org/officeDocument/2006/relationships/hyperlink" Target="https://school.busanedu.net/sungji-e/main.do" TargetMode="External" Id="rId110" /><Relationship Type="http://schemas.openxmlformats.org/officeDocument/2006/relationships/hyperlink" Target="https://school.busanedu.net/lgkid7002-k/main.do" TargetMode="External" Id="rId111" /><Relationship Type="http://schemas.openxmlformats.org/officeDocument/2006/relationships/hyperlink" Target="https://school.busanedu.net/yejong-k" TargetMode="External" Id="rId112" /><Relationship Type="http://schemas.openxmlformats.org/officeDocument/2006/relationships/hyperlink" Target="http://school.busanedu.net/jeonpoyu-k" TargetMode="External" Id="rId113" /><Relationship Type="http://schemas.openxmlformats.org/officeDocument/2006/relationships/hyperlink" Target="https://school.busanedu.net/jure-k/" TargetMode="External" Id="rId114" /><Relationship Type="http://schemas.openxmlformats.org/officeDocument/2006/relationships/hyperlink" Target="https://school.busanedu.net/hansalang-k" TargetMode="External" Id="rId115" /><Relationship Type="http://schemas.openxmlformats.org/officeDocument/2006/relationships/hyperlink" Target="http://dabuler.github.io/5400/" TargetMode="External" Id="rId116" /><Relationship Type="http://schemas.openxmlformats.org/officeDocument/2006/relationships/hyperlink" Target="https://school.busanedu.net/21c5200-k" TargetMode="External" Id="rId117" /><Relationship Type="http://schemas.openxmlformats.org/officeDocument/2006/relationships/hyperlink" Target="https://school.busanedu.net/kunam-k/main.do" TargetMode="External" Id="rId118" /><Relationship Type="http://schemas.openxmlformats.org/officeDocument/2006/relationships/hyperlink" Target="http://school.busanedu.net/greencore-k/main.do" TargetMode="External" Id="rId119" /><Relationship Type="http://schemas.openxmlformats.org/officeDocument/2006/relationships/hyperlink" Target="http://school.busanedu.net/gnr-k/main.do" TargetMode="External" Id="rId120" /><Relationship Type="http://schemas.openxmlformats.org/officeDocument/2006/relationships/hyperlink" Target="http://school.busanedu.net/geummyeong-k" TargetMode="External" Id="rId121" /><Relationship Type="http://schemas.openxmlformats.org/officeDocument/2006/relationships/hyperlink" Target="http://school.busanedu.net/geumchang-k/" TargetMode="External" Id="rId122" /><Relationship Type="http://schemas.openxmlformats.org/officeDocument/2006/relationships/hyperlink" Target="https://school.busanedu.net/daechunlee-k" TargetMode="External" Id="rId123" /><Relationship Type="http://schemas.openxmlformats.org/officeDocument/2006/relationships/hyperlink" Target="http://dsedu.es.kr" TargetMode="External" Id="rId124" /><Relationship Type="http://schemas.openxmlformats.org/officeDocument/2006/relationships/hyperlink" Target="https://school.busanedu.net/dukyang-k/main.do" TargetMode="External" Id="rId125" /><Relationship Type="http://schemas.openxmlformats.org/officeDocument/2006/relationships/hyperlink" Target="http://school.busanedu.net/dck99-k/main.do" TargetMode="External" Id="rId126" /><Relationship Type="http://schemas.openxmlformats.org/officeDocument/2006/relationships/hyperlink" Target="http://school.busanedu.net/kiser-k/main.do" TargetMode="External" Id="rId127" /><Relationship Type="http://schemas.openxmlformats.org/officeDocument/2006/relationships/hyperlink" Target="http://school.busanedu.net/myd-k" TargetMode="External" Id="rId128" /><Relationship Type="http://schemas.openxmlformats.org/officeDocument/2006/relationships/hyperlink" Target="http://myungjin.es.kr/" TargetMode="External" Id="rId129" /><Relationship Type="http://schemas.openxmlformats.org/officeDocument/2006/relationships/hyperlink" Target="https://school.busanedu.net/baekyang-k/main.do" TargetMode="External" Id="rId130" /><Relationship Type="http://schemas.openxmlformats.org/officeDocument/2006/relationships/hyperlink" Target="https://school.busanedu.net/bjmm-k" TargetMode="External" Id="rId131" /><Relationship Type="http://schemas.openxmlformats.org/officeDocument/2006/relationships/hyperlink" Target="https://m.blog.naver.com/PostList.naver?blogId=eunsung567-" TargetMode="External" Id="rId132" /><Relationship Type="http://schemas.openxmlformats.org/officeDocument/2006/relationships/hyperlink" Target="http://school.busanedu.net/sinkum-k/main.do" TargetMode="External" Id="rId133" /><Relationship Type="http://schemas.openxmlformats.org/officeDocument/2006/relationships/hyperlink" Target="http://school.busanedu.net/sinduk-k/main.do" TargetMode="External" Id="rId134" /><Relationship Type="http://schemas.openxmlformats.org/officeDocument/2006/relationships/hyperlink" Target="http://school.busanedu.net/waseok-k/" TargetMode="External" Id="rId135" /><Relationship Type="http://schemas.openxmlformats.org/officeDocument/2006/relationships/hyperlink" Target="https://school.busanedu.net/yongsu-k" TargetMode="External" Id="rId136" /><Relationship Type="http://schemas.openxmlformats.org/officeDocument/2006/relationships/hyperlink" Target="https://school.busanedu.net/wonhyojungsa-k/main.do" TargetMode="External" Id="rId137" /><Relationship Type="http://schemas.openxmlformats.org/officeDocument/2006/relationships/hyperlink" Target="http://school.busanedu.net/pochen-k/main.do" TargetMode="External" Id="rId138" /><Relationship Type="http://schemas.openxmlformats.org/officeDocument/2006/relationships/hyperlink" Target="http://school.busanedu.net/sunlight-k" TargetMode="External" Id="rId139" /><Relationship Type="http://schemas.openxmlformats.org/officeDocument/2006/relationships/hyperlink" Target="http://school.busanedu.net/hyundaiyeoulim-k" TargetMode="External" Id="rId140" /><Relationship Type="http://schemas.openxmlformats.org/officeDocument/2006/relationships/hyperlink" Target="http://school.busanedu.net/hwamyeongkkum-k/" TargetMode="External" Id="rId141" /><Relationship Type="http://schemas.openxmlformats.org/officeDocument/2006/relationships/hyperlink" Target="http://school.busanedu.net/hwajam-k/" TargetMode="External" Id="rId142" /><Relationship Type="http://schemas.openxmlformats.org/officeDocument/2006/relationships/hyperlink" Target="https://school.busanedu.net/hyorim-k" TargetMode="External" Id="rId143" /><Relationship Type="http://schemas.openxmlformats.org/officeDocument/2006/relationships/hyperlink" Target="https://school.busanedu.net/karam-k/main.do" TargetMode="External" Id="rId144" /><Relationship Type="http://schemas.openxmlformats.org/officeDocument/2006/relationships/hyperlink" Target="https://school.busanedu.net/gamjeon-k" TargetMode="External" Id="rId145" /><Relationship Type="http://schemas.openxmlformats.org/officeDocument/2006/relationships/hyperlink" Target="http://www.kidkit.kg.kr/" TargetMode="External" Id="rId146" /><Relationship Type="http://schemas.openxmlformats.org/officeDocument/2006/relationships/hyperlink" Target="http://school.busanedu.net/gwaebeophanshin-k/main.do" TargetMode="External" Id="rId147" /><Relationship Type="http://schemas.openxmlformats.org/officeDocument/2006/relationships/hyperlink" Target="http://school.busanedu.net/noa-k" TargetMode="External" Id="rId148" /><Relationship Type="http://schemas.openxmlformats.org/officeDocument/2006/relationships/hyperlink" Target="http://school.busanedu.net/dphansaem-k/main.do" TargetMode="External" Id="rId149" /><Relationship Type="http://schemas.openxmlformats.org/officeDocument/2006/relationships/hyperlink" Target="http://school.busanedu.net/luckyds-k" TargetMode="External" Id="rId150" /><Relationship Type="http://schemas.openxmlformats.org/officeDocument/2006/relationships/hyperlink" Target="http://school.busanedu.net/moduk-k" TargetMode="External" Id="rId151" /><Relationship Type="http://schemas.openxmlformats.org/officeDocument/2006/relationships/hyperlink" Target="http://school.busanedu.net/modeok-k/" TargetMode="External" Id="rId152" /><Relationship Type="http://schemas.openxmlformats.org/officeDocument/2006/relationships/hyperlink" Target="https://school.busanedu.net/modong2-k" TargetMode="External" Id="rId153" /><Relationship Type="http://schemas.openxmlformats.org/officeDocument/2006/relationships/hyperlink" Target="https://school.busanedu.net/mudeok-k/main.do" TargetMode="External" Id="rId154" /><Relationship Type="http://schemas.openxmlformats.org/officeDocument/2006/relationships/hyperlink" Target="http://school.busanedu.net/berkeley-m-m-k" TargetMode="External" Id="rId155" /><Relationship Type="http://schemas.openxmlformats.org/officeDocument/2006/relationships/hyperlink" Target="https://school.busanedu.net/sarang9600-k" TargetMode="External" Id="rId156" /><Relationship Type="http://schemas.openxmlformats.org/officeDocument/2006/relationships/hyperlink" Target="https://school.busanedu.net/sasang-k" TargetMode="External" Id="rId157" /><Relationship Type="http://schemas.openxmlformats.org/officeDocument/2006/relationships/hyperlink" Target="https://school.busanedu.net/samdok-k/main.do" TargetMode="External" Id="rId158" /><Relationship Type="http://schemas.openxmlformats.org/officeDocument/2006/relationships/hyperlink" Target="http://school.busanedu.net/seogam-k" TargetMode="External" Id="rId159" /><Relationship Type="http://schemas.openxmlformats.org/officeDocument/2006/relationships/hyperlink" Target="http://school.busanedu.net/eomgungnuri-k/main.do" TargetMode="External" Id="rId160" /><Relationship Type="http://schemas.openxmlformats.org/officeDocument/2006/relationships/hyperlink" Target="http://school.busanedu.net/emgunghanshin-k/main.do" TargetMode="External" Id="rId161" /><Relationship Type="http://schemas.openxmlformats.org/officeDocument/2006/relationships/hyperlink" Target="https://school.busanedu.net/euddeum-k" TargetMode="External" Id="rId162" /><Relationship Type="http://schemas.openxmlformats.org/officeDocument/2006/relationships/hyperlink" Target="https://school.busanedu.net/jugam-k" TargetMode="External" Id="rId163" /><Relationship Type="http://schemas.openxmlformats.org/officeDocument/2006/relationships/hyperlink" Target="https://school.busanedu.net/hanbit7017-k" TargetMode="External" Id="rId164" /><Relationship Type="http://schemas.openxmlformats.org/officeDocument/2006/relationships/hyperlink" Target="http://school.busanedu.net/gam-k/" TargetMode="External" Id="rId165" /><Relationship Type="http://schemas.openxmlformats.org/officeDocument/2006/relationships/hyperlink" Target="http://blog.naver.com/talent6?Redirect=Log&amp;amp;amp;logNo=40202612577" TargetMode="External" Id="rId166" /><Relationship Type="http://schemas.openxmlformats.org/officeDocument/2006/relationships/hyperlink" Target="https://school.busanedu.net/dasun-k/main.do" TargetMode="External" Id="rId167" /><Relationship Type="http://schemas.openxmlformats.org/officeDocument/2006/relationships/hyperlink" Target="http://school.busanedu.net/dasong-k" TargetMode="External" Id="rId168" /><Relationship Type="http://schemas.openxmlformats.org/officeDocument/2006/relationships/hyperlink" Target="http://school.busanedu.net/hlgarak-k" TargetMode="External" Id="rId169" /><Relationship Type="http://schemas.openxmlformats.org/officeDocument/2006/relationships/hyperlink" Target="http://school.busanedu.net/dangni-k/main.do" TargetMode="External" Id="rId170" /><Relationship Type="http://schemas.openxmlformats.org/officeDocument/2006/relationships/hyperlink" Target="https://school.busanedu.net/thegreen-k/main.do" TargetMode="External" Id="rId171" /><Relationship Type="http://schemas.openxmlformats.org/officeDocument/2006/relationships/hyperlink" Target="https://school.busanedu.net/lotteCastle-k/main.do" TargetMode="External" Id="rId172" /><Relationship Type="http://schemas.openxmlformats.org/officeDocument/2006/relationships/hyperlink" Target="http://maple.kkmom.com/" TargetMode="External" Id="rId173" /><Relationship Type="http://schemas.openxmlformats.org/officeDocument/2006/relationships/hyperlink" Target="http://school.busanedu.net/morundae-k/main.do" TargetMode="External" Id="rId174" /><Relationship Type="http://schemas.openxmlformats.org/officeDocument/2006/relationships/hyperlink" Target="http://school.busanedu.net/psadong-k/main.do" TargetMode="External" Id="rId175" /><Relationship Type="http://schemas.openxmlformats.org/officeDocument/2006/relationships/hyperlink" Target="http://school.busanedu.net/sinik-k/main.do" TargetMode="External" Id="rId176" /><Relationship Type="http://schemas.openxmlformats.org/officeDocument/2006/relationships/hyperlink" Target="http://school.busanedu.net/okchun-k/main.do" TargetMode="External" Id="rId177" /><Relationship Type="http://schemas.openxmlformats.org/officeDocument/2006/relationships/hyperlink" Target="http://school.busanedu.net/jangrim-k" TargetMode="External" Id="rId178" /><Relationship Type="http://schemas.openxmlformats.org/officeDocument/2006/relationships/hyperlink" Target="https://school.busanedu.net/junghyun-k" TargetMode="External" Id="rId179" /><Relationship Type="http://schemas.openxmlformats.org/officeDocument/2006/relationships/hyperlink" Target="https://school.busanedu.net/kinderluda-k" TargetMode="External" Id="rId180" /><Relationship Type="http://schemas.openxmlformats.org/officeDocument/2006/relationships/hyperlink" Target="https://school.busanedu.net/jisan-k" TargetMode="External" Id="rId181" /><Relationship Type="http://schemas.openxmlformats.org/officeDocument/2006/relationships/hyperlink" Target="http://school.busanedu.net/ichamsarang-k/main.do" TargetMode="External" Id="rId182" /><Relationship Type="http://schemas.openxmlformats.org/officeDocument/2006/relationships/hyperlink" Target="http://school.busanedu.net/hanam-k/main.do" TargetMode="External" Id="rId183" /><Relationship Type="http://schemas.openxmlformats.org/officeDocument/2006/relationships/hyperlink" Target="http://skyflower.kidis.co.kr" TargetMode="External" Id="rId184" /><Relationship Type="http://schemas.openxmlformats.org/officeDocument/2006/relationships/hyperlink" Target="http://school.busanedu.net" TargetMode="External" Id="rId185" /><Relationship Type="http://schemas.openxmlformats.org/officeDocument/2006/relationships/hyperlink" Target="http://cafe.daum.net/sunshin" TargetMode="External" Id="rId186" /><Relationship Type="http://schemas.openxmlformats.org/officeDocument/2006/relationships/hyperlink" Target="http://school.busanedu.net/hodol-k/main.do" TargetMode="External" Id="rId187" /><Relationship Type="http://schemas.openxmlformats.org/officeDocument/2006/relationships/hyperlink" Target="http://school.busanedu.net/nambumin-k/main.do" TargetMode="External" Id="rId188" /><Relationship Type="http://schemas.openxmlformats.org/officeDocument/2006/relationships/hyperlink" Target="http://www.naewon.co.kr" TargetMode="External" Id="rId189" /><Relationship Type="http://schemas.openxmlformats.org/officeDocument/2006/relationships/hyperlink" Target="http://school.busanedu.net/notredame-k/main.do" TargetMode="External" Id="rId190" /><Relationship Type="http://schemas.openxmlformats.org/officeDocument/2006/relationships/hyperlink" Target="https://school.busanedu.net/dongsin-k" TargetMode="External" Id="rId191" /><Relationship Type="http://schemas.openxmlformats.org/officeDocument/2006/relationships/hyperlink" Target="https://school.busanedu.net/maria-k/" TargetMode="External" Id="rId192" /><Relationship Type="http://schemas.openxmlformats.org/officeDocument/2006/relationships/hyperlink" Target="http://school.busanedu.net/ami-k/main.do" TargetMode="External" Id="rId193" /><Relationship Type="http://schemas.openxmlformats.org/officeDocument/2006/relationships/hyperlink" Target="http://toseong.es.kr/" TargetMode="External" Id="rId194" /><Relationship Type="http://schemas.openxmlformats.org/officeDocument/2006/relationships/hyperlink" Target="http://school.busanedu.net/blue-k/main.do" TargetMode="External" Id="rId195" /><Relationship Type="http://schemas.openxmlformats.org/officeDocument/2006/relationships/hyperlink" Target="http://school.busanedu.net/gwangnam-k/main.do" TargetMode="External" Id="rId196" /><Relationship Type="http://schemas.openxmlformats.org/officeDocument/2006/relationships/hyperlink" Target="http://school.busanedu.net/gwangan-k/main.do" TargetMode="External" Id="rId197" /><Relationship Type="http://schemas.openxmlformats.org/officeDocument/2006/relationships/hyperlink" Target="https://school.busanedu.net/kumryun-k" TargetMode="External" Id="rId198" /><Relationship Type="http://schemas.openxmlformats.org/officeDocument/2006/relationships/hyperlink" Target="https://school.busanedu.net/namcheon-k" TargetMode="External" Id="rId199" /><Relationship Type="http://schemas.openxmlformats.org/officeDocument/2006/relationships/hyperlink" Target="https://school.busanedu.net/minlak-k/" TargetMode="External" Id="rId200" /><Relationship Type="http://schemas.openxmlformats.org/officeDocument/2006/relationships/hyperlink" Target="https://busanbundo.com" TargetMode="External" Id="rId201" /><Relationship Type="http://schemas.openxmlformats.org/officeDocument/2006/relationships/hyperlink" Target="http://cafe.daum.net/samsung1277" TargetMode="External" Id="rId202" /><Relationship Type="http://schemas.openxmlformats.org/officeDocument/2006/relationships/hyperlink" Target="http://school.busanedu.net/syrlovej-k/main.do" TargetMode="External" Id="rId203" /><Relationship Type="http://schemas.openxmlformats.org/officeDocument/2006/relationships/hyperlink" Target="http://suyoung.es.kr" TargetMode="External" Id="rId204" /><Relationship Type="http://schemas.openxmlformats.org/officeDocument/2006/relationships/hyperlink" Target="http://school.busanedu.net/okyeon-k/" TargetMode="External" Id="rId205" /><Relationship Type="http://schemas.openxmlformats.org/officeDocument/2006/relationships/hyperlink" Target="http://school.busanedu.net/chunsa-k" TargetMode="External" Id="rId206" /><Relationship Type="http://schemas.openxmlformats.org/officeDocument/2006/relationships/hyperlink" Target="http://school.busanedu.net/peace-k/main.do" TargetMode="External" Id="rId207" /><Relationship Type="http://schemas.openxmlformats.org/officeDocument/2006/relationships/hyperlink" Target="https://school.busanedu.net/gue-je-k" TargetMode="External" Id="rId208" /><Relationship Type="http://schemas.openxmlformats.org/officeDocument/2006/relationships/hyperlink" Target="http://yc.kidspann.net" TargetMode="External" Id="rId209" /><Relationship Type="http://schemas.openxmlformats.org/officeDocument/2006/relationships/hyperlink" Target="https://school.busanedu.net/bsksk-k/main.do" TargetMode="External" Id="rId210" /><Relationship Type="http://schemas.openxmlformats.org/officeDocument/2006/relationships/hyperlink" Target="http://school.busanedu.net/yangji-k/main.do" TargetMode="External" Id="rId211" /><Relationship Type="http://schemas.openxmlformats.org/officeDocument/2006/relationships/hyperlink" Target="http://school.busanedu.net/yonsan-k/main.do" TargetMode="External" Id="rId212" /><Relationship Type="http://schemas.openxmlformats.org/officeDocument/2006/relationships/hyperlink" Target="https://school.busanedu.net/yeonje-k/main.do" TargetMode="External" Id="rId213" /><Relationship Type="http://schemas.openxmlformats.org/officeDocument/2006/relationships/hyperlink" Target="https://school.busanedu.net/yonchon-k/main.do" TargetMode="External" Id="rId214" /><Relationship Type="http://schemas.openxmlformats.org/officeDocument/2006/relationships/hyperlink" Target="http://school.busanedu.net/changshin-k/main.do" TargetMode="External" Id="rId215" /><Relationship Type="http://schemas.openxmlformats.org/officeDocument/2006/relationships/hyperlink" Target="http://cafe.daum.net/dream--tree" TargetMode="External" Id="rId216" /><Relationship Type="http://schemas.openxmlformats.org/officeDocument/2006/relationships/hyperlink" Target="http://school.busanedu.net/bokja-k" TargetMode="External" Id="rId217" /><Relationship Type="http://schemas.openxmlformats.org/officeDocument/2006/relationships/hyperlink" Target="http://school.busanedu.net/bonghak-k" TargetMode="External" Id="rId218" /><Relationship Type="http://schemas.openxmlformats.org/officeDocument/2006/relationships/hyperlink" Target="http://school.busanedu.net/sunamsa-k/main.do" TargetMode="External" Id="rId219" /><Relationship Type="http://schemas.openxmlformats.org/officeDocument/2006/relationships/hyperlink" Target="http://school.busanedu.net/yeongdojungang-k" TargetMode="External" Id="rId220" /><Relationship Type="http://schemas.openxmlformats.org/officeDocument/2006/relationships/hyperlink" Target="http://school.busanedu.net/ylschool-k" TargetMode="External" Id="rId221" /><Relationship Type="http://schemas.openxmlformats.org/officeDocument/2006/relationships/hyperlink" Target="http://cafe.naver.com/jir6001" TargetMode="External" Id="rId222" /><Relationship Type="http://schemas.openxmlformats.org/officeDocument/2006/relationships/hyperlink" Target="http://school.busanedu.net/taejongdae-k" TargetMode="External" Id="rId223" /><Relationship Type="http://schemas.openxmlformats.org/officeDocument/2006/relationships/hyperlink" Target="http://www.&#54620;&#47560;&#51020;&#50976;&#52824;&#50896;.kr" TargetMode="External" Id="rId224" /><Relationship Type="http://schemas.openxmlformats.org/officeDocument/2006/relationships/hyperlink" Target="http://school.busanedu.net/gwangil-k/main.do" TargetMode="External" Id="rId225" /><Relationship Type="http://schemas.openxmlformats.org/officeDocument/2006/relationships/hyperlink" Target="http://school.busanedu.net/pusanbongraek-k/main.do" TargetMode="External" Id="rId226" /><Relationship Type="http://schemas.openxmlformats.org/officeDocument/2006/relationships/hyperlink" Target="http://school.busanedu.net/gangdong-k" TargetMode="External" Id="rId227" /><Relationship Type="http://schemas.openxmlformats.org/officeDocument/2006/relationships/hyperlink" Target="http://school.busanedu.net/goeun-k" TargetMode="External" Id="rId228" /><Relationship Type="http://schemas.openxmlformats.org/officeDocument/2006/relationships/hyperlink" Target="http://school.busanedu.net/Dae-Dong-k/main.do" TargetMode="External" Id="rId229" /><Relationship Type="http://schemas.openxmlformats.org/officeDocument/2006/relationships/hyperlink" Target="http://school.busanedu.net/daelimlove-k" TargetMode="External" Id="rId230" /><Relationship Type="http://schemas.openxmlformats.org/officeDocument/2006/relationships/hyperlink" Target="https://school.busanedu.net/thepurun-k" TargetMode="External" Id="rId231" /><Relationship Type="http://schemas.openxmlformats.org/officeDocument/2006/relationships/hyperlink" Target="https://school.busanedu.net/dpckinder-k" TargetMode="External" Id="rId232" /><Relationship Type="http://schemas.openxmlformats.org/officeDocument/2006/relationships/hyperlink" Target="http://school.busanedu.net/dongsung-k" TargetMode="External" Id="rId233" /><Relationship Type="http://schemas.openxmlformats.org/officeDocument/2006/relationships/hyperlink" Target="http://school.busanedu.net/marina-k" TargetMode="External" Id="rId234" /><Relationship Type="http://schemas.openxmlformats.org/officeDocument/2006/relationships/hyperlink" Target="http://www.bansan.es.kr" TargetMode="External" Id="rId235" /><Relationship Type="http://schemas.openxmlformats.org/officeDocument/2006/relationships/hyperlink" Target="http://school.busanedu.net/banyeo-k" TargetMode="External" Id="rId236" /><Relationship Type="http://schemas.openxmlformats.org/officeDocument/2006/relationships/hyperlink" Target="http://school.busanedu.net/beodnae-k" TargetMode="External" Id="rId237" /><Relationship Type="http://schemas.openxmlformats.org/officeDocument/2006/relationships/hyperlink" Target="http://school.busanedu.net/petiteforet-k/main.do" TargetMode="External" Id="rId238" /><Relationship Type="http://schemas.openxmlformats.org/officeDocument/2006/relationships/hyperlink" Target="https://school.busanedu.net/centumkid-k" TargetMode="External" Id="rId239" /><Relationship Type="http://schemas.openxmlformats.org/officeDocument/2006/relationships/hyperlink" Target="http://school.busanedu.net/centumhangdo-k" TargetMode="External" Id="rId240" /><Relationship Type="http://schemas.openxmlformats.org/officeDocument/2006/relationships/hyperlink" Target="http://school.busanedu.net/wooju-k/main.do" TargetMode="External" Id="rId241" /><Relationship Type="http://schemas.openxmlformats.org/officeDocument/2006/relationships/hyperlink" Target="http://school.busanedu.net/songsu-k/main.do" TargetMode="External" Id="rId242" /><Relationship Type="http://schemas.openxmlformats.org/officeDocument/2006/relationships/hyperlink" Target="http://school.busanedu.net/iwill-k/main.do" TargetMode="External" Id="rId243" /><Relationship Type="http://schemas.openxmlformats.org/officeDocument/2006/relationships/hyperlink" Target="http://school.busanedu.net/yangun-k" TargetMode="External" Id="rId244" /><Relationship Type="http://schemas.openxmlformats.org/officeDocument/2006/relationships/hyperlink" Target="http://school.busanedu.net/ymk-k" TargetMode="External" Id="rId245" /><Relationship Type="http://schemas.openxmlformats.org/officeDocument/2006/relationships/hyperlink" Target="http://school.busanedu.net/ppschool-k/main.do" TargetMode="External" Id="rId246" /><Relationship Type="http://schemas.openxmlformats.org/officeDocument/2006/relationships/hyperlink" Target="http://school.busanedu.net/unbong-k/main.do" TargetMode="External" Id="rId247" /><Relationship Type="http://schemas.openxmlformats.org/officeDocument/2006/relationships/hyperlink" Target="http://school.busanedu.net/h-inchon-k/main.do" TargetMode="External" Id="rId248" /><Relationship Type="http://schemas.openxmlformats.org/officeDocument/2006/relationships/hyperlink" Target="http://school.busanedu.net/jaesong-k/main.do" TargetMode="External" Id="rId249" /><Relationship Type="http://schemas.openxmlformats.org/officeDocument/2006/relationships/hyperlink" Target="http://school.busanedu.net/jwadong-k/main.do" TargetMode="External" Id="rId250" /><Relationship Type="http://schemas.openxmlformats.org/officeDocument/2006/relationships/hyperlink" Target="http://school.busanedu.net/joongil-k" TargetMode="External" Id="rId251" /><Relationship Type="http://schemas.openxmlformats.org/officeDocument/2006/relationships/hyperlink" Target="https://cafe.daum.net/vnfRhcdbcldnjs" TargetMode="External" Id="rId252" /><Relationship Type="http://schemas.openxmlformats.org/officeDocument/2006/relationships/hyperlink" Target="http://lucky.kidspann.net" TargetMode="External" Id="rId253" /><Relationship Type="http://schemas.openxmlformats.org/officeDocument/2006/relationships/hyperlink" Target="https://school.busanedu.net/haesungkids-k" TargetMode="External" Id="rId254" /></Relationships>
</file>

<file path=xl/worksheets/_rels/sheet5.xml.rels><Relationships xmlns="http://schemas.openxmlformats.org/package/2006/relationships"><Relationship Type="http://schemas.openxmlformats.org/officeDocument/2006/relationships/hyperlink" Target="https://m.cafe.naver.com/ca-fe/gangseodaon" TargetMode="External" Id="rId1" /><Relationship Type="http://schemas.openxmlformats.org/officeDocument/2006/relationships/hyperlink" Target="http://jg8514@hanmail.net" TargetMode="External" Id="rId2" /><Relationship Type="http://schemas.openxmlformats.org/officeDocument/2006/relationships/hyperlink" Target="https://www.instagram.com/ddc_s2" TargetMode="External" Id="rId3" /><Relationship Type="http://schemas.openxmlformats.org/officeDocument/2006/relationships/hyperlink" Target="http://www.ndswc.or.kr" TargetMode="External" Id="rId4" /><Relationship Type="http://schemas.openxmlformats.org/officeDocument/2006/relationships/hyperlink" Target="http://blog.naver.com/bskslottecastle" TargetMode="External" Id="rId5" /><Relationship Type="http://schemas.openxmlformats.org/officeDocument/2006/relationships/hyperlink" Target="https://booyoung1.kidsnote.ac/home/main" TargetMode="External" Id="rId6" /><Relationship Type="http://schemas.openxmlformats.org/officeDocument/2006/relationships/hyperlink" Target="https://blog.naver.com/pmww333" TargetMode="External" Id="rId7" /><Relationship Type="http://schemas.openxmlformats.org/officeDocument/2006/relationships/hyperlink" Target="https://cafe.naver.com/samjeongkids" TargetMode="External" Id="rId8" /><Relationship Type="http://schemas.openxmlformats.org/officeDocument/2006/relationships/hyperlink" Target="http://www.puruni.com/busanbank3" TargetMode="External" Id="rId9" /><Relationship Type="http://schemas.openxmlformats.org/officeDocument/2006/relationships/hyperlink" Target="https://www.instagram.com/haeya_kid" TargetMode="External" Id="rId10" /><Relationship Type="http://schemas.openxmlformats.org/officeDocument/2006/relationships/hyperlink" Target="http://cafe.naver.com/geumsaem4846" TargetMode="External" Id="rId11" /><Relationship Type="http://schemas.openxmlformats.org/officeDocument/2006/relationships/hyperlink" Target="http://osjjlove@hanmail.net" TargetMode="External" Id="rId12" /><Relationship Type="http://schemas.openxmlformats.org/officeDocument/2006/relationships/hyperlink" Target="http://ktp://cafe.naver.com/dreamlovechildren" TargetMode="External" Id="rId13" /><Relationship Type="http://schemas.openxmlformats.org/officeDocument/2006/relationships/hyperlink" Target="http://cafe.daum.net/baby0959" TargetMode="External" Id="rId14" /><Relationship Type="http://schemas.openxmlformats.org/officeDocument/2006/relationships/hyperlink" Target="http://cafe.naver.com/dongramicare" TargetMode="External" Id="rId15" /><Relationship Type="http://schemas.openxmlformats.org/officeDocument/2006/relationships/hyperlink" Target="http://a8225@hanmail.net" TargetMode="External" Id="rId16" /><Relationship Type="http://schemas.openxmlformats.org/officeDocument/2006/relationships/hyperlink" Target="http://dla3319@hanmail.net" TargetMode="External" Id="rId17" /><Relationship Type="http://schemas.openxmlformats.org/officeDocument/2006/relationships/hyperlink" Target="http://ecochild.pusan.ac.kr/" TargetMode="External" Id="rId18" /><Relationship Type="http://schemas.openxmlformats.org/officeDocument/2006/relationships/hyperlink" Target="http://cafe.naver.com/seodong0818" TargetMode="External" Id="rId19" /><Relationship Type="http://schemas.openxmlformats.org/officeDocument/2006/relationships/hyperlink" Target="https://blog.naver.com/seokhwa_kids" TargetMode="External" Id="rId20" /><Relationship Type="http://schemas.openxmlformats.org/officeDocument/2006/relationships/hyperlink" Target="http://www.sooyun.co.kr" TargetMode="External" Id="rId21" /><Relationship Type="http://schemas.openxmlformats.org/officeDocument/2006/relationships/hyperlink" Target="http://ch6188@naver.com" TargetMode="External" Id="rId22" /><Relationship Type="http://schemas.openxmlformats.org/officeDocument/2006/relationships/hyperlink" Target="http://cafe.naver.com/01034224133" TargetMode="External" Id="rId23" /><Relationship Type="http://schemas.openxmlformats.org/officeDocument/2006/relationships/hyperlink" Target="http://5815838@hanmai&#12643;.net" TargetMode="External" Id="rId24" /><Relationship Type="http://schemas.openxmlformats.org/officeDocument/2006/relationships/hyperlink" Target="https://blog.naver.com/sunnykids7130" TargetMode="External" Id="rId25" /><Relationship Type="http://schemas.openxmlformats.org/officeDocument/2006/relationships/hyperlink" Target="http://www.kidsnote.com" TargetMode="External" Id="rId26" /><Relationship Type="http://schemas.openxmlformats.org/officeDocument/2006/relationships/hyperlink" Target="http://pegasusmw@naver.com" TargetMode="External" Id="rId27" /><Relationship Type="http://schemas.openxmlformats.org/officeDocument/2006/relationships/hyperlink" Target="https://instagram.com/love.kid.dw?igshid=YmMyMTA2M2Y=" TargetMode="External" Id="rId28" /><Relationship Type="http://schemas.openxmlformats.org/officeDocument/2006/relationships/hyperlink" Target="http://mylee7698@naver.com" TargetMode="External" Id="rId29" /><Relationship Type="http://schemas.openxmlformats.org/officeDocument/2006/relationships/hyperlink" Target="https://www.instagram.com/littleharvard.official/" TargetMode="External" Id="rId30" /><Relationship Type="http://schemas.openxmlformats.org/officeDocument/2006/relationships/hyperlink" Target="http://threefairy@naver.com" TargetMode="External" Id="rId31" /><Relationship Type="http://schemas.openxmlformats.org/officeDocument/2006/relationships/hyperlink" Target="https://blog.naver.com/samdong5085233" TargetMode="External" Id="rId32" /><Relationship Type="http://schemas.openxmlformats.org/officeDocument/2006/relationships/hyperlink" Target="http://chjs0659 @hanmail.net" TargetMode="External" Id="rId33" /><Relationship Type="http://schemas.openxmlformats.org/officeDocument/2006/relationships/hyperlink" Target="https://blog.naver.com/somang724" TargetMode="External" Id="rId34" /><Relationship Type="http://schemas.openxmlformats.org/officeDocument/2006/relationships/hyperlink" Target="https://m.blog.naver.com/forestlandkids" TargetMode="External" Id="rId35" /><Relationship Type="http://schemas.openxmlformats.org/officeDocument/2006/relationships/hyperlink" Target="https://www.instagram.com/p/Cb7EgpqLeG8/?igsh=MTRqbTdqZWFydXk3MQ==" TargetMode="External" Id="rId36" /><Relationship Type="http://schemas.openxmlformats.org/officeDocument/2006/relationships/hyperlink" Target="https://www.instagram.com/ilgwang_eg2_foreon?igsh=MWJ2YWN2NmYxZXlpNQ==" TargetMode="External" Id="rId37" /><Relationship Type="http://schemas.openxmlformats.org/officeDocument/2006/relationships/hyperlink" Target="http://jang-an@hanmail.net" TargetMode="External" Id="rId38" /><Relationship Type="http://schemas.openxmlformats.org/officeDocument/2006/relationships/hyperlink" Target="https://www.instagram.com/jeong_gwan_7?igsh=MWVuYTJlbzR1aWdxaQ%3D%3D&amp;utm_source=qr" TargetMode="External" Id="rId39" /><Relationship Type="http://schemas.openxmlformats.org/officeDocument/2006/relationships/hyperlink" Target="http://http//good-mom.co.kr/1love" TargetMode="External" Id="rId40" /><Relationship Type="http://schemas.openxmlformats.org/officeDocument/2006/relationships/hyperlink" Target="http://cafe.naver.com/orangeb9b01" TargetMode="External" Id="rId41" /><Relationship Type="http://schemas.openxmlformats.org/officeDocument/2006/relationships/hyperlink" Target="https://www.instagram.com/chulma_serassam/" TargetMode="External" Id="rId42" /><Relationship Type="http://schemas.openxmlformats.org/officeDocument/2006/relationships/hyperlink" Target="http://chfhr.happyihome.com" TargetMode="External" Id="rId43" /><Relationship Type="http://schemas.openxmlformats.org/officeDocument/2006/relationships/hyperlink" Target="http://khnpchild.co.kr" TargetMode="External" Id="rId44" /><Relationship Type="http://schemas.openxmlformats.org/officeDocument/2006/relationships/hyperlink" Target="http://cafe.daum.net//hyundae5659" TargetMode="External" Id="rId45" /><Relationship Type="http://schemas.openxmlformats.org/officeDocument/2006/relationships/hyperlink" Target="http://cafe.daum.net/guyeonchildren?" TargetMode="External" Id="rId46" /><Relationship Type="http://schemas.openxmlformats.org/officeDocument/2006/relationships/hyperlink" Target="https://www.puruni.com/bifc2" TargetMode="External" Id="rId47" /><Relationship Type="http://schemas.openxmlformats.org/officeDocument/2006/relationships/hyperlink" Target="http://www.puruni.com/hf" TargetMode="External" Id="rId48" /><Relationship Type="http://schemas.openxmlformats.org/officeDocument/2006/relationships/hyperlink" Target="http://cafe.naver.com/gammankid" TargetMode="External" Id="rId49" /><Relationship Type="http://schemas.openxmlformats.org/officeDocument/2006/relationships/hyperlink" Target="http://kskids@naver.com" TargetMode="External" Id="rId50" /><Relationship Type="http://schemas.openxmlformats.org/officeDocument/2006/relationships/hyperlink" Target="http://cafe.naver.com/dreamspring2014" TargetMode="External" Id="rId51" /><Relationship Type="http://schemas.openxmlformats.org/officeDocument/2006/relationships/hyperlink" Target="http://icecoffee10@naver.com" TargetMode="External" Id="rId52" /><Relationship Type="http://schemas.openxmlformats.org/officeDocument/2006/relationships/hyperlink" Target="http://mp.blueweb.co.kr/sunju6166/" TargetMode="External" Id="rId53" /><Relationship Type="http://schemas.openxmlformats.org/officeDocument/2006/relationships/hyperlink" Target="http://chy41183@naver.com" TargetMode="External" Id="rId54" /><Relationship Type="http://schemas.openxmlformats.org/officeDocument/2006/relationships/hyperlink" Target="http://songlim0363.net" TargetMode="External" Id="rId55" /><Relationship Type="http://schemas.openxmlformats.org/officeDocument/2006/relationships/hyperlink" Target="http://www.addy.kr" TargetMode="External" Id="rId56" /><Relationship Type="http://schemas.openxmlformats.org/officeDocument/2006/relationships/hyperlink" Target="http://kids.yongho.or.kr" TargetMode="External" Id="rId57" /><Relationship Type="http://schemas.openxmlformats.org/officeDocument/2006/relationships/hyperlink" Target="https://cafe.daum.net/yhhanvit" TargetMode="External" Id="rId58" /><Relationship Type="http://schemas.openxmlformats.org/officeDocument/2006/relationships/hyperlink" Target="http://sim12080@naver.com" TargetMode="External" Id="rId59" /><Relationship Type="http://schemas.openxmlformats.org/officeDocument/2006/relationships/hyperlink" Target="http://sokook1@naver.com" TargetMode="External" Id="rId60" /><Relationship Type="http://schemas.openxmlformats.org/officeDocument/2006/relationships/hyperlink" Target="http://www.puruni.com/gklb" TargetMode="External" Id="rId61" /><Relationship Type="http://schemas.openxmlformats.org/officeDocument/2006/relationships/hyperlink" Target="https://www.ibkkids.net/" TargetMode="External" Id="rId62" /><Relationship Type="http://schemas.openxmlformats.org/officeDocument/2006/relationships/hyperlink" Target="http://blog.naver.com/leaderqueen11" TargetMode="External" Id="rId63" /><Relationship Type="http://schemas.openxmlformats.org/officeDocument/2006/relationships/hyperlink" Target="https://www.instagram.com/dg_dodamdodam?igshid=MmIzYWVlNDQ5Yg==" TargetMode="External" Id="rId64" /><Relationship Type="http://schemas.openxmlformats.org/officeDocument/2006/relationships/hyperlink" Target="http://cafe.naver.com/soo4" TargetMode="External" Id="rId65" /><Relationship Type="http://schemas.openxmlformats.org/officeDocument/2006/relationships/hyperlink" Target="http://cafe.daum.net/sujung5dong" TargetMode="External" Id="rId66" /><Relationship Type="http://schemas.openxmlformats.org/officeDocument/2006/relationships/hyperlink" Target="http://cafe.naver.com/nature5250.cafe" TargetMode="External" Id="rId67" /><Relationship Type="http://schemas.openxmlformats.org/officeDocument/2006/relationships/hyperlink" Target="http://www.puruni.com/hibs" TargetMode="External" Id="rId68" /><Relationship Type="http://schemas.openxmlformats.org/officeDocument/2006/relationships/hyperlink" Target="http://BR&#49828;&#53224;&#50612;&#47536;&#51060;&#51665;.COM" TargetMode="External" Id="rId69" /><Relationship Type="http://schemas.openxmlformats.org/officeDocument/2006/relationships/hyperlink" Target="https://www.instagram.com/kids_dongil" TargetMode="External" Id="rId70" /><Relationship Type="http://schemas.openxmlformats.org/officeDocument/2006/relationships/hyperlink" Target="https://blog.naver.com/a5240067" TargetMode="External" Id="rId71" /><Relationship Type="http://schemas.openxmlformats.org/officeDocument/2006/relationships/hyperlink" Target="http://www.navercafe.com/mr6601" TargetMode="External" Id="rId72" /><Relationship Type="http://schemas.openxmlformats.org/officeDocument/2006/relationships/hyperlink" Target="http://cafe.naver.com/mjyd2462" TargetMode="External" Id="rId73" /><Relationship Type="http://schemas.openxmlformats.org/officeDocument/2006/relationships/hyperlink" Target="http://kmh0686@naver.com" TargetMode="External" Id="rId74" /><Relationship Type="http://schemas.openxmlformats.org/officeDocument/2006/relationships/hyperlink" Target="http://sm5552492@naver.com" TargetMode="External" Id="rId75" /><Relationship Type="http://schemas.openxmlformats.org/officeDocument/2006/relationships/hyperlink" Target="http://cafe.daum.net/bsyangduk" TargetMode="External" Id="rId76" /><Relationship Type="http://schemas.openxmlformats.org/officeDocument/2006/relationships/hyperlink" Target="http://wooridlehappy.co.kr/" TargetMode="External" Id="rId77" /><Relationship Type="http://schemas.openxmlformats.org/officeDocument/2006/relationships/hyperlink" Target="http://cafe.daum.net/woori-kids" TargetMode="External" Id="rId78" /><Relationship Type="http://schemas.openxmlformats.org/officeDocument/2006/relationships/hyperlink" Target="http://www.youtube.com/@&#44608;&#50628;&#51648;&#52377;" TargetMode="External" Id="rId79" /><Relationship Type="http://schemas.openxmlformats.org/officeDocument/2006/relationships/hyperlink" Target="http://dotmfkdls@hanmail.net" TargetMode="External" Id="rId80" /><Relationship Type="http://schemas.openxmlformats.org/officeDocument/2006/relationships/hyperlink" Target="http://cafe.daum.net/changeuichild" TargetMode="External" Id="rId81" /><Relationship Type="http://schemas.openxmlformats.org/officeDocument/2006/relationships/hyperlink" Target="http://blog.naver.com/pogutree1" TargetMode="External" Id="rId82" /><Relationship Type="http://schemas.openxmlformats.org/officeDocument/2006/relationships/hyperlink" Target="https://band.naver.com" TargetMode="External" Id="rId83" /><Relationship Type="http://schemas.openxmlformats.org/officeDocument/2006/relationships/hyperlink" Target="http://lovsoona@hanmail.net" TargetMode="External" Id="rId84" /><Relationship Type="http://schemas.openxmlformats.org/officeDocument/2006/relationships/hyperlink" Target="http://hana5361@hammail.net" TargetMode="External" Id="rId85" /><Relationship Type="http://schemas.openxmlformats.org/officeDocument/2006/relationships/hyperlink" Target="http://www.hye-hwa.com" TargetMode="External" Id="rId86" /><Relationship Type="http://schemas.openxmlformats.org/officeDocument/2006/relationships/hyperlink" Target="http://cafe.daum.net/inhumansia" TargetMode="External" Id="rId87" /><Relationship Type="http://schemas.openxmlformats.org/officeDocument/2006/relationships/hyperlink" Target="http://cafe.daum.net/hillstatemyeongyun" TargetMode="External" Id="rId88" /><Relationship Type="http://schemas.openxmlformats.org/officeDocument/2006/relationships/hyperlink" Target="http://cafe.daum.net/dasarangkids" TargetMode="External" Id="rId89" /><Relationship Type="http://schemas.openxmlformats.org/officeDocument/2006/relationships/hyperlink" Target="https://cafe.naver.com/dawon8097335" TargetMode="External" Id="rId90" /><Relationship Type="http://schemas.openxmlformats.org/officeDocument/2006/relationships/hyperlink" Target="http://cafe.naver.com/dgnari" TargetMode="External" Id="rId91" /><Relationship Type="http://schemas.openxmlformats.org/officeDocument/2006/relationships/hyperlink" Target="https://www.deu.ac.kr/www/deu-preschool.do" TargetMode="External" Id="rId92" /><Relationship Type="http://schemas.openxmlformats.org/officeDocument/2006/relationships/hyperlink" Target="http://http;//cafe.daum.net/dong-il" TargetMode="External" Id="rId93" /><Relationship Type="http://schemas.openxmlformats.org/officeDocument/2006/relationships/hyperlink" Target="http://cafe.daum.net/Beulnara" TargetMode="External" Id="rId94" /><Relationship Type="http://schemas.openxmlformats.org/officeDocument/2006/relationships/hyperlink" Target="http://www.bskidult.co.kr" TargetMode="External" Id="rId95" /><Relationship Type="http://schemas.openxmlformats.org/officeDocument/2006/relationships/hyperlink" Target="https://blog.naver.com/ywcajingu" TargetMode="External" Id="rId96" /><Relationship Type="http://schemas.openxmlformats.org/officeDocument/2006/relationships/hyperlink" Target="http://cafe.daum.net/sjmkids" TargetMode="External" Id="rId97" /><Relationship Type="http://schemas.openxmlformats.org/officeDocument/2006/relationships/hyperlink" Target="http://yooya1004@hanmail.net" TargetMode="External" Id="rId98" /><Relationship Type="http://schemas.openxmlformats.org/officeDocument/2006/relationships/hyperlink" Target="http://cafe.daum.net/grace1990" TargetMode="External" Id="rId99" /><Relationship Type="http://schemas.openxmlformats.org/officeDocument/2006/relationships/hyperlink" Target="http://www.yjhd.co.kr" TargetMode="External" Id="rId100" /><Relationship Type="http://schemas.openxmlformats.org/officeDocument/2006/relationships/hyperlink" Target="http://cafe.daum.net/bsys1004" TargetMode="External" Id="rId101" /><Relationship Type="http://schemas.openxmlformats.org/officeDocument/2006/relationships/hyperlink" Target="http://blog.naver.com/namok0722" TargetMode="External" Id="rId102" /><Relationship Type="http://schemas.openxmlformats.org/officeDocument/2006/relationships/hyperlink" Target="http://club.cyworld.com/lwsun6091" TargetMode="External" Id="rId103" /><Relationship Type="http://schemas.openxmlformats.org/officeDocument/2006/relationships/hyperlink" Target="http://http;///cafe.naver.co./jhyekids" TargetMode="External" Id="rId104" /><Relationship Type="http://schemas.openxmlformats.org/officeDocument/2006/relationships/hyperlink" Target="http://dmsdud3927@naver.com" TargetMode="External" Id="rId105" /><Relationship Type="http://schemas.openxmlformats.org/officeDocument/2006/relationships/hyperlink" Target="http://www.daum.net/sohyunkidgarden" TargetMode="External" Id="rId106" /><Relationship Type="http://schemas.openxmlformats.org/officeDocument/2006/relationships/hyperlink" Target="https://cafe.naver.com/kmkungkung" TargetMode="External" Id="rId107" /><Relationship Type="http://schemas.openxmlformats.org/officeDocument/2006/relationships/hyperlink" Target="http://www.puruni.com/korailpusan" TargetMode="External" Id="rId108" /><Relationship Type="http://schemas.openxmlformats.org/officeDocument/2006/relationships/hyperlink" Target="http://http;//www.kmj830857@naver.com" TargetMode="External" Id="rId109" /><Relationship Type="http://schemas.openxmlformats.org/officeDocument/2006/relationships/hyperlink" Target="http://cafe.naver.com/gidrl8952345" TargetMode="External" Id="rId110" /><Relationship Type="http://schemas.openxmlformats.org/officeDocument/2006/relationships/hyperlink" Target="http://cafe.daum.net/dream5009" TargetMode="External" Id="rId111" /><Relationship Type="http://schemas.openxmlformats.org/officeDocument/2006/relationships/hyperlink" Target="https://cafe.naver.com/newwellcitykids" TargetMode="External" Id="rId112" /><Relationship Type="http://schemas.openxmlformats.org/officeDocument/2006/relationships/hyperlink" Target="https://www.instagram.com/goldwindow_2018" TargetMode="External" Id="rId113" /><Relationship Type="http://schemas.openxmlformats.org/officeDocument/2006/relationships/hyperlink" Target="http://cafe.naver.com/qkraltnr1117" TargetMode="External" Id="rId114" /><Relationship Type="http://schemas.openxmlformats.org/officeDocument/2006/relationships/hyperlink" Target="http://cafe.daum.net/nobellkid" TargetMode="External" Id="rId115" /><Relationship Type="http://schemas.openxmlformats.org/officeDocument/2006/relationships/hyperlink" Target="http://cafe.daum.net/bomground" TargetMode="External" Id="rId116" /><Relationship Type="http://schemas.openxmlformats.org/officeDocument/2006/relationships/hyperlink" Target="http://cafe.daum.net/Littlekaiser" TargetMode="External" Id="rId117" /><Relationship Type="http://schemas.openxmlformats.org/officeDocument/2006/relationships/hyperlink" Target="http://cafe.naver.com/mdchild81" TargetMode="External" Id="rId118" /><Relationship Type="http://schemas.openxmlformats.org/officeDocument/2006/relationships/hyperlink" Target="http://miraeart.or.kr" TargetMode="External" Id="rId119" /><Relationship Type="http://schemas.openxmlformats.org/officeDocument/2006/relationships/hyperlink" Target="https://hansol-bsbbpolice.kidsnote.ac" TargetMode="External" Id="rId120" /><Relationship Type="http://schemas.openxmlformats.org/officeDocument/2006/relationships/hyperlink" Target="http://goun5559@hanmail.net" TargetMode="External" Id="rId121" /><Relationship Type="http://schemas.openxmlformats.org/officeDocument/2006/relationships/hyperlink" Target="http://bek2474hanmail.net" TargetMode="External" Id="rId122" /><Relationship Type="http://schemas.openxmlformats.org/officeDocument/2006/relationships/hyperlink" Target="http://cafe.daum.net/sansae001" TargetMode="External" Id="rId123" /><Relationship Type="http://schemas.openxmlformats.org/officeDocument/2006/relationships/hyperlink" Target="http://www.saemteo.kg.kr." TargetMode="External" Id="rId124" /><Relationship Type="http://schemas.openxmlformats.org/officeDocument/2006/relationships/hyperlink" Target="http://cafe.naver.com" TargetMode="External" Id="rId125" /><Relationship Type="http://schemas.openxmlformats.org/officeDocument/2006/relationships/hyperlink" Target="http://jangsh0410@hanmail.net" TargetMode="External" Id="rId126" /><Relationship Type="http://schemas.openxmlformats.org/officeDocument/2006/relationships/hyperlink" Target="http://jangsun.kg.kr" TargetMode="External" Id="rId127" /><Relationship Type="http://schemas.openxmlformats.org/officeDocument/2006/relationships/hyperlink" Target="https://kungkungkids.modoo.at/" TargetMode="External" Id="rId128" /><Relationship Type="http://schemas.openxmlformats.org/officeDocument/2006/relationships/hyperlink" Target="http://cafe.daum.net/taekyung77" TargetMode="External" Id="rId129" /><Relationship Type="http://schemas.openxmlformats.org/officeDocument/2006/relationships/hyperlink" Target="http://beakminhee@hanmail.net" TargetMode="External" Id="rId130" /><Relationship Type="http://schemas.openxmlformats.org/officeDocument/2006/relationships/hyperlink" Target="https://cafe.daum.net/hansol3653838" TargetMode="External" Id="rId131" /><Relationship Type="http://schemas.openxmlformats.org/officeDocument/2006/relationships/hyperlink" Target="http://cafe.naver.com/haein8677" TargetMode="External" Id="rId132" /><Relationship Type="http://schemas.openxmlformats.org/officeDocument/2006/relationships/hyperlink" Target="http://cafe.daum.net/sunfullkid" TargetMode="External" Id="rId133" /><Relationship Type="http://schemas.openxmlformats.org/officeDocument/2006/relationships/hyperlink" Target="http://(2013.9.1)&#45824;&#54364;&#51088;&#48320;&#44221;" TargetMode="External" Id="rId134" /><Relationship Type="http://schemas.openxmlformats.org/officeDocument/2006/relationships/hyperlink" Target="https://www.comwel.or.kr/kids/busan/intro.do" TargetMode="External" Id="rId135" /><Relationship Type="http://schemas.openxmlformats.org/officeDocument/2006/relationships/hyperlink" Target="https://blog.naver.com/kkomnala" TargetMode="External" Id="rId136" /><Relationship Type="http://schemas.openxmlformats.org/officeDocument/2006/relationships/hyperlink" Target="http://suklgsuklg@naver.com" TargetMode="External" Id="rId137" /><Relationship Type="http://schemas.openxmlformats.org/officeDocument/2006/relationships/hyperlink" Target="https://cafe.naver.com/dasom3277919" TargetMode="External" Id="rId138" /><Relationship Type="http://schemas.openxmlformats.org/officeDocument/2006/relationships/hyperlink" Target="http://www.dodamkids.net" TargetMode="External" Id="rId139" /><Relationship Type="http://schemas.openxmlformats.org/officeDocument/2006/relationships/hyperlink" Target="https://blog.naver.com/dongsung7120" TargetMode="External" Id="rId140" /><Relationship Type="http://schemas.openxmlformats.org/officeDocument/2006/relationships/hyperlink" Target="http://cafe.daum.net/qntksehfo" TargetMode="External" Id="rId141" /><Relationship Type="http://schemas.openxmlformats.org/officeDocument/2006/relationships/hyperlink" Target="https://blog.naver.com/md_child" TargetMode="External" Id="rId142" /><Relationship Type="http://schemas.openxmlformats.org/officeDocument/2006/relationships/hyperlink" Target="http://cafe.daum.net/imomslove" TargetMode="External" Id="rId143" /><Relationship Type="http://schemas.openxmlformats.org/officeDocument/2006/relationships/hyperlink" Target="http://www.cyworld.com/cjdrndjaakths" TargetMode="External" Id="rId144" /><Relationship Type="http://schemas.openxmlformats.org/officeDocument/2006/relationships/hyperlink" Target="http://42878@hanmail.net" TargetMode="External" Id="rId145" /><Relationship Type="http://schemas.openxmlformats.org/officeDocument/2006/relationships/hyperlink" Target="https://cafe.daum.net/jrchorong" TargetMode="External" Id="rId146" /><Relationship Type="http://schemas.openxmlformats.org/officeDocument/2006/relationships/hyperlink" Target="https://www.instagram.com/hj3164017" TargetMode="External" Id="rId147" /><Relationship Type="http://schemas.openxmlformats.org/officeDocument/2006/relationships/hyperlink" Target="http://dm971000@naver.com" TargetMode="External" Id="rId148" /><Relationship Type="http://schemas.openxmlformats.org/officeDocument/2006/relationships/hyperlink" Target="http://cafe.daum.net/gcn0330" TargetMode="External" Id="rId149" /><Relationship Type="http://schemas.openxmlformats.org/officeDocument/2006/relationships/hyperlink" Target="http://www.naewon.molun.org" TargetMode="External" Id="rId150" /><Relationship Type="http://schemas.openxmlformats.org/officeDocument/2006/relationships/hyperlink" Target="http://cafe.daum.net/dochiwadulli" TargetMode="External" Id="rId151" /><Relationship Type="http://schemas.openxmlformats.org/officeDocument/2006/relationships/hyperlink" Target="http://www.cyworld.com/lotte265" TargetMode="External" Id="rId152" /><Relationship Type="http://schemas.openxmlformats.org/officeDocument/2006/relationships/hyperlink" Target="https://blog.naver.com/mgh7817" TargetMode="External" Id="rId153" /><Relationship Type="http://schemas.openxmlformats.org/officeDocument/2006/relationships/hyperlink" Target="http:////blog.naver.com/bori2910858" TargetMode="External" Id="rId154" /><Relationship Type="http://schemas.openxmlformats.org/officeDocument/2006/relationships/hyperlink" Target="https://blog.naver.com/yalee9051" TargetMode="External" Id="rId155" /><Relationship Type="http://schemas.openxmlformats.org/officeDocument/2006/relationships/hyperlink" Target="http://hnkids.co.kr" TargetMode="External" Id="rId156" /><Relationship Type="http://schemas.openxmlformats.org/officeDocument/2006/relationships/hyperlink" Target="http://o1004.net" TargetMode="External" Id="rId157" /><Relationship Type="http://schemas.openxmlformats.org/officeDocument/2006/relationships/hyperlink" Target="http://toaanf2004@daum.net" TargetMode="External" Id="rId158" /><Relationship Type="http://schemas.openxmlformats.org/officeDocument/2006/relationships/hyperlink" Target="https://blog.naver.com/hyunjoo790315" TargetMode="External" Id="rId159" /><Relationship Type="http://schemas.openxmlformats.org/officeDocument/2006/relationships/hyperlink" Target="https://www.instagram.com/skk_4112/" TargetMode="External" Id="rId160" /><Relationship Type="http://schemas.openxmlformats.org/officeDocument/2006/relationships/hyperlink" Target="https://www.instagram.com/gimminyeong95294" TargetMode="External" Id="rId161" /><Relationship Type="http://schemas.openxmlformats.org/officeDocument/2006/relationships/hyperlink" Target="http://hidonga1234@naver.com" TargetMode="External" Id="rId162" /><Relationship Type="http://schemas.openxmlformats.org/officeDocument/2006/relationships/hyperlink" Target="http://cafe.daum.net/isaackids" TargetMode="External" Id="rId163" /><Relationship Type="http://schemas.openxmlformats.org/officeDocument/2006/relationships/hyperlink" Target="http://www.instagram.com/jongdalsae6100" TargetMode="External" Id="rId164" /><Relationship Type="http://schemas.openxmlformats.org/officeDocument/2006/relationships/hyperlink" Target="http://www.jinsungi.co.kr" TargetMode="External" Id="rId165" /><Relationship Type="http://schemas.openxmlformats.org/officeDocument/2006/relationships/hyperlink" Target="http://cafe.daum.net." TargetMode="External" Id="rId166" /><Relationship Type="http://schemas.openxmlformats.org/officeDocument/2006/relationships/hyperlink" Target="http://cafe.daum.net/cchungsol" TargetMode="External" Id="rId167" /><Relationship Type="http://schemas.openxmlformats.org/officeDocument/2006/relationships/hyperlink" Target="https://blog.naver.com/hanvitkids-dadae" TargetMode="External" Id="rId168" /><Relationship Type="http://schemas.openxmlformats.org/officeDocument/2006/relationships/hyperlink" Target="http://club.cyworld.com/ccomadongne" TargetMode="External" Id="rId169" /><Relationship Type="http://schemas.openxmlformats.org/officeDocument/2006/relationships/hyperlink" Target="http://cafe.daum.net/daesinkids" TargetMode="External" Id="rId170" /><Relationship Type="http://schemas.openxmlformats.org/officeDocument/2006/relationships/hyperlink" Target="https://blog.naver.com/keon0927" TargetMode="External" Id="rId171" /><Relationship Type="http://schemas.openxmlformats.org/officeDocument/2006/relationships/hyperlink" Target="http://cafe.naver.com/iesup" TargetMode="External" Id="rId172" /><Relationship Type="http://schemas.openxmlformats.org/officeDocument/2006/relationships/hyperlink" Target="https://cafe.naver.com/2473539" TargetMode="External" Id="rId173" /><Relationship Type="http://schemas.openxmlformats.org/officeDocument/2006/relationships/hyperlink" Target="https://blog.naver.com/bscheonma3779" TargetMode="External" Id="rId174" /><Relationship Type="http://schemas.openxmlformats.org/officeDocument/2006/relationships/hyperlink" Target="https://cafe.daum.net/1004castle/erLE/21" TargetMode="External" Id="rId175" /><Relationship Type="http://schemas.openxmlformats.org/officeDocument/2006/relationships/hyperlink" Target="http://cafe.naver.com/pulipkids" TargetMode="External" Id="rId176" /><Relationship Type="http://schemas.openxmlformats.org/officeDocument/2006/relationships/hyperlink" Target="http://cafe.daum.net/hupluskid" TargetMode="External" Id="rId177" /><Relationship Type="http://schemas.openxmlformats.org/officeDocument/2006/relationships/hyperlink" Target="http://thhp://cafa.naver.com/gukran" TargetMode="External" Id="rId178" /><Relationship Type="http://schemas.openxmlformats.org/officeDocument/2006/relationships/hyperlink" Target="http://suyeongdongsan.com" TargetMode="External" Id="rId179" /><Relationship Type="http://schemas.openxmlformats.org/officeDocument/2006/relationships/hyperlink" Target="http://www.ejoongang1004.or.kr" TargetMode="External" Id="rId180" /><Relationship Type="http://schemas.openxmlformats.org/officeDocument/2006/relationships/hyperlink" Target="http://cafe.naver.com/sungmo9820" TargetMode="External" Id="rId181" /><Relationship Type="http://schemas.openxmlformats.org/officeDocument/2006/relationships/hyperlink" Target="http://cafe.daum.net/SLkid" TargetMode="External" Id="rId182" /><Relationship Type="http://schemas.openxmlformats.org/officeDocument/2006/relationships/hyperlink" Target="http://cafe.naver.com/centumvista2kids" TargetMode="External" Id="rId183" /><Relationship Type="http://schemas.openxmlformats.org/officeDocument/2006/relationships/hyperlink" Target="http://cafe.daum.net/newsooanyounge" TargetMode="External" Id="rId184" /><Relationship Type="http://schemas.openxmlformats.org/officeDocument/2006/relationships/hyperlink" Target="http://kid.bulgukto.or.kr" TargetMode="External" Id="rId185" /><Relationship Type="http://schemas.openxmlformats.org/officeDocument/2006/relationships/hyperlink" Target="https://blog.naver.com/eunsol2662" TargetMode="External" Id="rId186" /><Relationship Type="http://schemas.openxmlformats.org/officeDocument/2006/relationships/hyperlink" Target="http://cafe.daum.net/0517520866" TargetMode="External" Id="rId187" /><Relationship Type="http://schemas.openxmlformats.org/officeDocument/2006/relationships/hyperlink" Target="http://cafe.daum.net/hansol/7516048" TargetMode="External" Id="rId188" /><Relationship Type="http://schemas.openxmlformats.org/officeDocument/2006/relationships/hyperlink" Target="https://instagram.com/hyeseung2294?igshid=YmMyMTA2M2Y=" TargetMode="External" Id="rId189" /><Relationship Type="http://schemas.openxmlformats.org/officeDocument/2006/relationships/hyperlink" Target="http://http//cafe.daum.net/7942abc" TargetMode="External" Id="rId190" /><Relationship Type="http://schemas.openxmlformats.org/officeDocument/2006/relationships/hyperlink" Target="https://cafe.daum.net/geojedreamkid" TargetMode="External" Id="rId191" /><Relationship Type="http://schemas.openxmlformats.org/officeDocument/2006/relationships/hyperlink" Target="http://cafe.daum.net/5042234" TargetMode="External" Id="rId192" /><Relationship Type="http://schemas.openxmlformats.org/officeDocument/2006/relationships/hyperlink" Target="http://cafe.naver.com/baghapdaycarecenter" TargetMode="External" Id="rId193" /><Relationship Type="http://schemas.openxmlformats.org/officeDocument/2006/relationships/hyperlink" Target="http://www.ecocourtchild.or.kr" TargetMode="External" Id="rId194" /><Relationship Type="http://schemas.openxmlformats.org/officeDocument/2006/relationships/hyperlink" Target="https://cafe.daum.net/GeojeCentralCH" TargetMode="External" Id="rId195" /><Relationship Type="http://schemas.openxmlformats.org/officeDocument/2006/relationships/hyperlink" Target="https://youtu.be/dnivk-4E0gs?si=tAY4lt2DBL24amsj" TargetMode="External" Id="rId196" /><Relationship Type="http://schemas.openxmlformats.org/officeDocument/2006/relationships/hyperlink" Target="http://cafe.daum.net/goldfore" TargetMode="External" Id="rId197" /><Relationship Type="http://schemas.openxmlformats.org/officeDocument/2006/relationships/hyperlink" Target="http://brownstoneyj@daum.net" TargetMode="External" Id="rId198" /><Relationship Type="http://schemas.openxmlformats.org/officeDocument/2006/relationships/hyperlink" Target="https://cafe.naver.com/wv12" TargetMode="External" Id="rId199" /><Relationship Type="http://schemas.openxmlformats.org/officeDocument/2006/relationships/hyperlink" Target="http://8665166@daum.net" TargetMode="External" Id="rId200" /><Relationship Type="http://schemas.openxmlformats.org/officeDocument/2006/relationships/hyperlink" Target="https://instagram.com/yeoncheon_1020?igshid=YmMyMTA2M2Y=" TargetMode="External" Id="rId201" /><Relationship Type="http://schemas.openxmlformats.org/officeDocument/2006/relationships/hyperlink" Target="http://www.instagram.com/js8670660" TargetMode="External" Id="rId202" /><Relationship Type="http://schemas.openxmlformats.org/officeDocument/2006/relationships/hyperlink" Target="http://phmjw1234@naver.com" TargetMode="External" Id="rId203" /><Relationship Type="http://schemas.openxmlformats.org/officeDocument/2006/relationships/hyperlink" Target="http://cafe.daum.net/rc2011" TargetMode="External" Id="rId204" /><Relationship Type="http://schemas.openxmlformats.org/officeDocument/2006/relationships/hyperlink" Target="http://cafe.daum.net/kids-hj" TargetMode="External" Id="rId205" /><Relationship Type="http://schemas.openxmlformats.org/officeDocument/2006/relationships/hyperlink" Target="http://." TargetMode="External" Id="rId206" /><Relationship Type="http://schemas.openxmlformats.org/officeDocument/2006/relationships/hyperlink" Target="https://cafe.daum.net/dongsamja" TargetMode="External" Id="rId207" /><Relationship Type="http://schemas.openxmlformats.org/officeDocument/2006/relationships/hyperlink" Target="https://m.blog.naver.com/ds4167707   https://www.instagram.com/dongsim__kids/" TargetMode="External" Id="rId208" /><Relationship Type="http://schemas.openxmlformats.org/officeDocument/2006/relationships/hyperlink" Target="https://cafe.naver.com/4135008" TargetMode="External" Id="rId209" /><Relationship Type="http://schemas.openxmlformats.org/officeDocument/2006/relationships/hyperlink" Target="https://blog.naver.com/ys4963_" TargetMode="External" Id="rId210" /><Relationship Type="http://schemas.openxmlformats.org/officeDocument/2006/relationships/hyperlink" Target="http://&#50689;&#51648;&#50612;&#47536;&#51060;&#51665;.kr" TargetMode="External" Id="rId211" /><Relationship Type="http://schemas.openxmlformats.org/officeDocument/2006/relationships/hyperlink" Target="https://www.instagram.com/wachii.kids" TargetMode="External" Id="rId212" /><Relationship Type="http://schemas.openxmlformats.org/officeDocument/2006/relationships/hyperlink" Target="http://www.jy.or.kr" TargetMode="External" Id="rId213" /><Relationship Type="http://schemas.openxmlformats.org/officeDocument/2006/relationships/hyperlink" Target="http://cafe.naver.com/4057404" TargetMode="External" Id="rId214" /><Relationship Type="http://schemas.openxmlformats.org/officeDocument/2006/relationships/hyperlink" Target="http://haezzang5389@hanmail.net" TargetMode="External" Id="rId215" /><Relationship Type="http://schemas.openxmlformats.org/officeDocument/2006/relationships/hyperlink" Target="http://cafe.daum.net/ntdbusan" TargetMode="External" Id="rId216" /><Relationship Type="http://schemas.openxmlformats.org/officeDocument/2006/relationships/hyperlink" Target="http://instagram.com/dasarang2455076" TargetMode="External" Id="rId217" /><Relationship Type="http://schemas.openxmlformats.org/officeDocument/2006/relationships/hyperlink" Target="http://cafe.daum.net/2443362" TargetMode="External" Id="rId218" /><Relationship Type="http://schemas.openxmlformats.org/officeDocument/2006/relationships/hyperlink" Target="http://www.puruni.com/busanbank2" TargetMode="External" Id="rId219" /><Relationship Type="http://schemas.openxmlformats.org/officeDocument/2006/relationships/hyperlink" Target="http://eq9202@hanmail.net" TargetMode="External" Id="rId220" /><Relationship Type="http://schemas.openxmlformats.org/officeDocument/2006/relationships/hyperlink" Target="http://lgsummerhill@nate.com" TargetMode="External" Id="rId221" /><Relationship Type="http://schemas.openxmlformats.org/officeDocument/2006/relationships/hyperlink" Target="http://kdc6784@hanmail.net" TargetMode="External" Id="rId222" /><Relationship Type="http://schemas.openxmlformats.org/officeDocument/2006/relationships/hyperlink" Target="http://cafe.daum.net/busanRhcakddnf" TargetMode="External" Id="rId223" /><Relationship Type="http://schemas.openxmlformats.org/officeDocument/2006/relationships/hyperlink" Target="http://cafe.daum.net/lovely-babies" TargetMode="External" Id="rId224" /><Relationship Type="http://schemas.openxmlformats.org/officeDocument/2006/relationships/hyperlink" Target="http://www.&#54392;&#47480;&#50612;&#47536;&#51060;&#51665;.com" TargetMode="External" Id="rId225" /><Relationship Type="http://schemas.openxmlformats.org/officeDocument/2006/relationships/hyperlink" Target="http://cyworld / ckj-rainbow@yahoo.co.kr" TargetMode="External" Id="rId226" /><Relationship Type="http://schemas.openxmlformats.org/officeDocument/2006/relationships/hyperlink" Target="http://cafe.daum.net/dasol8768" TargetMode="External" Id="rId227" /><Relationship Type="http://schemas.openxmlformats.org/officeDocument/2006/relationships/hyperlink" Target="http://www.kids.kg.kr" TargetMode="External" Id="rId228" /><Relationship Type="http://schemas.openxmlformats.org/officeDocument/2006/relationships/hyperlink" Target="http://cafe.daum.net/hdong100" TargetMode="External" Id="rId229" /><Relationship Type="http://schemas.openxmlformats.org/officeDocument/2006/relationships/hyperlink" Target="https://blog.naver.com/dongbumirae25" TargetMode="External" Id="rId230" /><Relationship Type="http://schemas.openxmlformats.org/officeDocument/2006/relationships/hyperlink" Target="http://cafe.daum.net/donghaelike" TargetMode="External" Id="rId231" /><Relationship Type="http://schemas.openxmlformats.org/officeDocument/2006/relationships/hyperlink" Target="http://hae9102@hanmail.net" TargetMode="External" Id="rId232" /><Relationship Type="http://schemas.openxmlformats.org/officeDocument/2006/relationships/hyperlink" Target="http://lottejoeun.modoo.at" TargetMode="External" Id="rId233" /><Relationship Type="http://schemas.openxmlformats.org/officeDocument/2006/relationships/hyperlink" Target="http://hhj9452@naver.com" TargetMode="External" Id="rId234" /><Relationship Type="http://schemas.openxmlformats.org/officeDocument/2006/relationships/hyperlink" Target="http://bansong-3d@hanmail.net" TargetMode="External" Id="rId235" /><Relationship Type="http://schemas.openxmlformats.org/officeDocument/2006/relationships/hyperlink" Target="https://blog.naver.com/ban_yeo2" TargetMode="External" Id="rId236" /><Relationship Type="http://schemas.openxmlformats.org/officeDocument/2006/relationships/hyperlink" Target="http://cafe.daum.net/appletree6195" TargetMode="External" Id="rId237" /><Relationship Type="http://schemas.openxmlformats.org/officeDocument/2006/relationships/hyperlink" Target="https://blog.naver.com/cg2633" TargetMode="External" Id="rId238" /><Relationship Type="http://schemas.openxmlformats.org/officeDocument/2006/relationships/hyperlink" Target="https://blog.naver.com/centum_blue/224076768150" TargetMode="External" Id="rId239" /><Relationship Type="http://schemas.openxmlformats.org/officeDocument/2006/relationships/hyperlink" Target="https://www.instagram.com/songjeongheasong_1465/profilecard/?igsh=MWg2a3Q0Njd1bmU5YQ==" TargetMode="External" Id="rId240" /><Relationship Type="http://schemas.openxmlformats.org/officeDocument/2006/relationships/hyperlink" Target="http://www.puruni.com" TargetMode="External" Id="rId241" /><Relationship Type="http://schemas.openxmlformats.org/officeDocument/2006/relationships/hyperlink" Target="http://mijungp8415@hanmail.net" TargetMode="External" Id="rId242" /><Relationship Type="http://schemas.openxmlformats.org/officeDocument/2006/relationships/hyperlink" Target="http://www.yejin.or.kr" TargetMode="External" Id="rId243" /><Relationship Type="http://schemas.openxmlformats.org/officeDocument/2006/relationships/hyperlink" Target="http://orion8816@naver.com" TargetMode="External" Id="rId244" /><Relationship Type="http://schemas.openxmlformats.org/officeDocument/2006/relationships/hyperlink" Target="http://cafe.daum.net/ajh6682" TargetMode="External" Id="rId245" /><Relationship Type="http://schemas.openxmlformats.org/officeDocument/2006/relationships/hyperlink" Target="https://blog.naver.com/hij7443" TargetMode="External" Id="rId246" /><Relationship Type="http://schemas.openxmlformats.org/officeDocument/2006/relationships/hyperlink" Target="http://interk11 @hanmail.net" TargetMode="External" Id="rId247" /><Relationship Type="http://schemas.openxmlformats.org/officeDocument/2006/relationships/hyperlink" Target="https://cafe.naver.com/xi2ecokid" TargetMode="External" Id="rId248" /><Relationship Type="http://schemas.openxmlformats.org/officeDocument/2006/relationships/hyperlink" Target="http://sungnyeo0401@hanmail.net" TargetMode="External" Id="rId249" /><Relationship Type="http://schemas.openxmlformats.org/officeDocument/2006/relationships/hyperlink" Target="http://cafe.naver.com/happykids1009" TargetMode="External" Id="rId250" /><Relationship Type="http://schemas.openxmlformats.org/officeDocument/2006/relationships/hyperlink" Target="http://www.sungsil.or.kr/" TargetMode="External" Id="rId251" /><Relationship Type="http://schemas.openxmlformats.org/officeDocument/2006/relationships/hyperlink" Target="http://www.ne79.com" TargetMode="External" Id="rId252" /><Relationship Type="http://schemas.openxmlformats.org/officeDocument/2006/relationships/hyperlink" Target="https://www.instagram.com/hyowonkid/" TargetMode="External" Id="rId253" /></Relationships>
</file>

<file path=xl/worksheets/_rels/sheet6.xml.rels><Relationships xmlns="http://schemas.openxmlformats.org/package/2006/relationships"><Relationship Type="http://schemas.openxmlformats.org/officeDocument/2006/relationships/hyperlink" Target="http://school.busanedu.net/garak-e/main.do" TargetMode="External" Id="rId1" /><Relationship Type="http://schemas.openxmlformats.org/officeDocument/2006/relationships/hyperlink" Target="http://gangseoe.es.kr" TargetMode="External" Id="rId2" /><Relationship Type="http://schemas.openxmlformats.org/officeDocument/2006/relationships/hyperlink" Target="http://nam-myeong.es.kr/" TargetMode="External" Id="rId3" /><Relationship Type="http://schemas.openxmlformats.org/officeDocument/2006/relationships/hyperlink" Target="http://nokmng.es.kr" TargetMode="External" Id="rId4" /><Relationship Type="http://schemas.openxmlformats.org/officeDocument/2006/relationships/hyperlink" Target="http://noksan.es.kr/" TargetMode="External" Id="rId5" /><Relationship Type="http://schemas.openxmlformats.org/officeDocument/2006/relationships/hyperlink" Target="http://psdaesa.es.kr" TargetMode="External" Id="rId6" /><Relationship Type="http://schemas.openxmlformats.org/officeDocument/2006/relationships/hyperlink" Target="http://daesang.es.kr" TargetMode="External" Id="rId7" /><Relationship Type="http://schemas.openxmlformats.org/officeDocument/2006/relationships/hyperlink" Target="http://school.busanedu.net/dj-joongang-e/main.do" TargetMode="External" Id="rId8" /><Relationship Type="http://schemas.openxmlformats.org/officeDocument/2006/relationships/hyperlink" Target="http://daejeo.es.kr" TargetMode="External" Id="rId9" /><Relationship Type="http://schemas.openxmlformats.org/officeDocument/2006/relationships/hyperlink" Target="http://www.deokdu.es.kr/" TargetMode="External" Id="rId10" /><Relationship Type="http://schemas.openxmlformats.org/officeDocument/2006/relationships/hyperlink" Target="http://myeongmun.es.kr" TargetMode="External" Id="rId11" /><Relationship Type="http://schemas.openxmlformats.org/officeDocument/2006/relationships/hyperlink" Target="http://school.busanedu.net/myoungwon-e/main.do" TargetMode="External" Id="rId12" /><Relationship Type="http://schemas.openxmlformats.org/officeDocument/2006/relationships/hyperlink" Target="http://myeong1.es.kr" TargetMode="External" Id="rId13" /><Relationship Type="http://schemas.openxmlformats.org/officeDocument/2006/relationships/hyperlink" Target="http://www.myungji.es.kr" TargetMode="External" Id="rId14" /><Relationship Type="http://schemas.openxmlformats.org/officeDocument/2006/relationships/hyperlink" Target="http://school.busanedu.net/myungho-e" TargetMode="External" Id="rId15" /><Relationship Type="http://schemas.openxmlformats.org/officeDocument/2006/relationships/hyperlink" Target="http://baeyeong.es.kr" TargetMode="External" Id="rId16" /><Relationship Type="http://schemas.openxmlformats.org/officeDocument/2006/relationships/hyperlink" Target="http://pssongjung.es.kr/" TargetMode="External" Id="rId17" /><Relationship Type="http://schemas.openxmlformats.org/officeDocument/2006/relationships/hyperlink" Target="http://bssm.es.kr" TargetMode="External" Id="rId18" /><Relationship Type="http://schemas.openxmlformats.org/officeDocument/2006/relationships/hyperlink" Target="http://www.shinho.es.kr" TargetMode="External" Id="rId19" /><Relationship Type="http://schemas.openxmlformats.org/officeDocument/2006/relationships/hyperlink" Target="http://ocean.es.kr" TargetMode="External" Id="rId20" /><Relationship Type="http://schemas.openxmlformats.org/officeDocument/2006/relationships/hyperlink" Target="http://www.chunga.es.kr" TargetMode="External" Id="rId21" /><Relationship Type="http://schemas.openxmlformats.org/officeDocument/2006/relationships/hyperlink" Target="http://www.kongduk.es.kr" TargetMode="External" Id="rId22" /><Relationship Type="http://schemas.openxmlformats.org/officeDocument/2006/relationships/hyperlink" Target="http://www.kuseo.es.kr" TargetMode="External" Id="rId23" /><Relationship Type="http://schemas.openxmlformats.org/officeDocument/2006/relationships/hyperlink" Target="http://www.gbit.es.kr" TargetMode="External" Id="rId24" /><Relationship Type="http://schemas.openxmlformats.org/officeDocument/2006/relationships/hyperlink" Target="http://www.kumsa.es.kr" TargetMode="External" Id="rId25" /><Relationship Type="http://schemas.openxmlformats.org/officeDocument/2006/relationships/hyperlink" Target="http://www.geumsaem.es.kr" TargetMode="External" Id="rId26" /><Relationship Type="http://schemas.openxmlformats.org/officeDocument/2006/relationships/hyperlink" Target="http://school.busanedu.net/gumseang-e" TargetMode="External" Id="rId27" /><Relationship Type="http://schemas.openxmlformats.org/officeDocument/2006/relationships/hyperlink" Target="http://www.kumyang.es.kr" TargetMode="External" Id="rId28" /><Relationship Type="http://schemas.openxmlformats.org/officeDocument/2006/relationships/hyperlink" Target="http://www.gumjeong.es.kr" TargetMode="External" Id="rId29" /><Relationship Type="http://schemas.openxmlformats.org/officeDocument/2006/relationships/hyperlink" Target="http://www.pusannamsan.es.kr" TargetMode="External" Id="rId30" /><Relationship Type="http://schemas.openxmlformats.org/officeDocument/2006/relationships/hyperlink" Target="http://www.dongrae.es.kr/" TargetMode="External" Id="rId31" /><Relationship Type="http://schemas.openxmlformats.org/officeDocument/2006/relationships/hyperlink" Target="http://dongsang.es.kr" TargetMode="External" Id="rId32" /><Relationship Type="http://schemas.openxmlformats.org/officeDocument/2006/relationships/hyperlink" Target="http://bs-donghyun.es.kr" TargetMode="External" Id="rId33" /><Relationship Type="http://schemas.openxmlformats.org/officeDocument/2006/relationships/hyperlink" Target="http://www.dusil.es.kr" TargetMode="External" Id="rId34" /><Relationship Type="http://schemas.openxmlformats.org/officeDocument/2006/relationships/hyperlink" Target="http://www.pugok.es.kr" TargetMode="External" Id="rId35" /><Relationship Type="http://schemas.openxmlformats.org/officeDocument/2006/relationships/hyperlink" Target="https://school.busanedu.net/bs36-e/main.do" TargetMode="External" Id="rId36" /><Relationship Type="http://schemas.openxmlformats.org/officeDocument/2006/relationships/hyperlink" Target="http://www.seodong.es.kr" TargetMode="External" Id="rId37" /><Relationship Type="http://schemas.openxmlformats.org/officeDocument/2006/relationships/hyperlink" Target="http://www.seomyeong.es.kr" TargetMode="External" Id="rId38" /><Relationship Type="http://schemas.openxmlformats.org/officeDocument/2006/relationships/hyperlink" Target="http://www.jangseo.es.kr/" TargetMode="External" Id="rId39" /><Relationship Type="http://schemas.openxmlformats.org/officeDocument/2006/relationships/hyperlink" Target="http://www.jangjeon.es.kr" TargetMode="External" Id="rId40" /><Relationship Type="http://schemas.openxmlformats.org/officeDocument/2006/relationships/hyperlink" Target="http://www.cheongryong.es.kr/" TargetMode="External" Id="rId41" /><Relationship Type="http://schemas.openxmlformats.org/officeDocument/2006/relationships/hyperlink" Target="https://school.busanedu.net/hyungok-e" TargetMode="External" Id="rId42" /><Relationship Type="http://schemas.openxmlformats.org/officeDocument/2006/relationships/hyperlink" Target="http://ga-dong.es.kr" TargetMode="External" Id="rId43" /><Relationship Type="http://schemas.openxmlformats.org/officeDocument/2006/relationships/hyperlink" Target="http://gyori.es.kr" TargetMode="External" Id="rId44" /><Relationship Type="http://schemas.openxmlformats.org/officeDocument/2006/relationships/hyperlink" Target="http://gijang.es.kr/" TargetMode="External" Id="rId45" /><Relationship Type="http://schemas.openxmlformats.org/officeDocument/2006/relationships/hyperlink" Target="http://naeri.es.kr" TargetMode="External" Id="rId46" /><Relationship Type="http://schemas.openxmlformats.org/officeDocument/2006/relationships/hyperlink" Target="http://bsdalsan.es.kr" TargetMode="External" Id="rId47" /><Relationship Type="http://schemas.openxmlformats.org/officeDocument/2006/relationships/hyperlink" Target="http://www.daechung.es.kr/" TargetMode="External" Id="rId48" /><Relationship Type="http://schemas.openxmlformats.org/officeDocument/2006/relationships/hyperlink" Target="http://bsmojeon.es.kr" TargetMode="External" Id="rId49" /><Relationship Type="http://schemas.openxmlformats.org/officeDocument/2006/relationships/hyperlink" Target="http://banggok.es.kr" TargetMode="External" Id="rId50" /><Relationship Type="http://schemas.openxmlformats.org/officeDocument/2006/relationships/hyperlink" Target="http://sinjeong.kr" TargetMode="External" Id="rId51" /><Relationship Type="http://schemas.openxmlformats.org/officeDocument/2006/relationships/hyperlink" Target="http://school.busanedu.net/sinjin-e/main.do" TargetMode="External" Id="rId52" /><Relationship Type="http://schemas.openxmlformats.org/officeDocument/2006/relationships/hyperlink" Target="http://www.yongam.es.kr" TargetMode="External" Id="rId53" /><Relationship Type="http://schemas.openxmlformats.org/officeDocument/2006/relationships/hyperlink" Target="http://www.wollae.es.kr" TargetMode="External" Id="rId54" /><Relationship Type="http://schemas.openxmlformats.org/officeDocument/2006/relationships/hyperlink" Target="http://www.bswp.es.kr" TargetMode="External" Id="rId55" /><Relationship Type="http://schemas.openxmlformats.org/officeDocument/2006/relationships/hyperlink" Target="http://school.busanedu.net/ilgwang-e/main.do" TargetMode="External" Id="rId56" /><Relationship Type="http://schemas.openxmlformats.org/officeDocument/2006/relationships/hyperlink" Target="http://www.jangancho.es.kr" TargetMode="External" Id="rId57" /><Relationship Type="http://schemas.openxmlformats.org/officeDocument/2006/relationships/hyperlink" Target="http://www.jungkwan.es.kr/" TargetMode="External" Id="rId58" /><Relationship Type="http://schemas.openxmlformats.org/officeDocument/2006/relationships/hyperlink" Target="http://jeongwon.es.kr" TargetMode="External" Id="rId59" /><Relationship Type="http://schemas.openxmlformats.org/officeDocument/2006/relationships/hyperlink" Target="http://www.jwacheon.es.kr" TargetMode="External" Id="rId60" /><Relationship Type="http://schemas.openxmlformats.org/officeDocument/2006/relationships/hyperlink" Target="http://www.jukseong.es.kr" TargetMode="External" Id="rId61" /><Relationship Type="http://schemas.openxmlformats.org/officeDocument/2006/relationships/hyperlink" Target="http://chulma.es.kr/" TargetMode="External" Id="rId62" /><Relationship Type="http://schemas.openxmlformats.org/officeDocument/2006/relationships/hyperlink" Target="http://www.chilam.es.kr" TargetMode="External" Id="rId63" /><Relationship Type="http://schemas.openxmlformats.org/officeDocument/2006/relationships/hyperlink" Target="http://haebit.es.kr" TargetMode="External" Id="rId64" /><Relationship Type="http://schemas.openxmlformats.org/officeDocument/2006/relationships/hyperlink" Target="http://daenam.es.kr/" TargetMode="External" Id="rId65" /><Relationship Type="http://schemas.openxmlformats.org/officeDocument/2006/relationships/hyperlink" Target="http://www.daeyeon.es.kr" TargetMode="External" Id="rId66" /><Relationship Type="http://schemas.openxmlformats.org/officeDocument/2006/relationships/hyperlink" Target="http://www.daechon.es.kr" TargetMode="External" Id="rId67" /><Relationship Type="http://schemas.openxmlformats.org/officeDocument/2006/relationships/hyperlink" Target="https://school.busanedu.net/dong-cheon-e/main.do" TargetMode="External" Id="rId68" /><Relationship Type="http://schemas.openxmlformats.org/officeDocument/2006/relationships/hyperlink" Target="http://donghang.es.kr" TargetMode="External" Id="rId69" /><Relationship Type="http://schemas.openxmlformats.org/officeDocument/2006/relationships/hyperlink" Target="https://school.busanedu.net/moonhyun-e" TargetMode="External" Id="rId70" /><Relationship Type="http://schemas.openxmlformats.org/officeDocument/2006/relationships/hyperlink" Target="https://school.busanedu.net/baekwoon-e" TargetMode="External" Id="rId71" /><Relationship Type="http://schemas.openxmlformats.org/officeDocument/2006/relationships/hyperlink" Target="http://www.bunpo.es.kr" TargetMode="External" Id="rId72" /><Relationship Type="http://schemas.openxmlformats.org/officeDocument/2006/relationships/hyperlink" Target="http://www.sukpo.es.kr" TargetMode="External" Id="rId73" /><Relationship Type="http://schemas.openxmlformats.org/officeDocument/2006/relationships/hyperlink" Target="http://www.esungdong.es.kr" TargetMode="External" Id="rId74" /><Relationship Type="http://schemas.openxmlformats.org/officeDocument/2006/relationships/hyperlink" Target="http://www.sungchun.es.kr" TargetMode="External" Id="rId75" /><Relationship Type="http://schemas.openxmlformats.org/officeDocument/2006/relationships/hyperlink" Target="http://www.sinyeon.es.kr/" TargetMode="External" Id="rId76" /><Relationship Type="http://schemas.openxmlformats.org/officeDocument/2006/relationships/hyperlink" Target="http://yeonpo.es.kr" TargetMode="External" Id="rId77" /><Relationship Type="http://schemas.openxmlformats.org/officeDocument/2006/relationships/hyperlink" Target="http://www.oryukdo.es.kr/" TargetMode="External" Id="rId78" /><Relationship Type="http://schemas.openxmlformats.org/officeDocument/2006/relationships/hyperlink" Target="http://yongdang.es.kr/" TargetMode="External" Id="rId79" /><Relationship Type="http://schemas.openxmlformats.org/officeDocument/2006/relationships/hyperlink" Target="http://yong-mun.es.kr/" TargetMode="External" Id="rId80" /><Relationship Type="http://schemas.openxmlformats.org/officeDocument/2006/relationships/hyperlink" Target="http://school.busanedu.net/yong-san-e/main.do" TargetMode="External" Id="rId81" /><Relationship Type="http://schemas.openxmlformats.org/officeDocument/2006/relationships/hyperlink" Target="http://yong-so.es.kr/" TargetMode="External" Id="rId82" /><Relationship Type="http://schemas.openxmlformats.org/officeDocument/2006/relationships/hyperlink" Target="http://yh.es.kr/" TargetMode="External" Id="rId83" /><Relationship Type="http://schemas.openxmlformats.org/officeDocument/2006/relationships/hyperlink" Target="http://www.uambusan.es.kr/" TargetMode="External" Id="rId84" /><Relationship Type="http://schemas.openxmlformats.org/officeDocument/2006/relationships/hyperlink" Target="http://www.unsan.es.kr" TargetMode="External" Id="rId85" /><Relationship Type="http://schemas.openxmlformats.org/officeDocument/2006/relationships/hyperlink" Target="http://dongiljungang.es.kr/" TargetMode="External" Id="rId86" /><Relationship Type="http://schemas.openxmlformats.org/officeDocument/2006/relationships/hyperlink" Target="http://beom-il.es.kr" TargetMode="External" Id="rId87" /><Relationship Type="http://schemas.openxmlformats.org/officeDocument/2006/relationships/hyperlink" Target="https://school.busanedu.net/pusansungnam-e" TargetMode="External" Id="rId88" /><Relationship Type="http://schemas.openxmlformats.org/officeDocument/2006/relationships/hyperlink" Target="http://suseong.es.kr" TargetMode="External" Id="rId89" /><Relationship Type="http://schemas.openxmlformats.org/officeDocument/2006/relationships/hyperlink" Target="http://www.bsujeong.es.kr/" TargetMode="External" Id="rId90" /><Relationship Type="http://schemas.openxmlformats.org/officeDocument/2006/relationships/hyperlink" Target="https://school.busanedu.net/chogyo-e" TargetMode="External" Id="rId91" /><Relationship Type="http://schemas.openxmlformats.org/officeDocument/2006/relationships/hyperlink" Target="http://www.kd.es.kr" TargetMode="External" Id="rId92" /><Relationship Type="http://schemas.openxmlformats.org/officeDocument/2006/relationships/hyperlink" Target="http://www.geumgang.es.kr/" TargetMode="External" Id="rId93" /><Relationship Type="http://schemas.openxmlformats.org/officeDocument/2006/relationships/hyperlink" Target="http://nakmin.es.kr" TargetMode="External" Id="rId94" /><Relationship Type="http://schemas.openxmlformats.org/officeDocument/2006/relationships/hyperlink" Target="http://www.naesan.es.kr" TargetMode="External" Id="rId95" /><Relationship Type="http://schemas.openxmlformats.org/officeDocument/2006/relationships/hyperlink" Target="http://www.naesung.es.kr" TargetMode="External" Id="rId96" /><Relationship Type="http://schemas.openxmlformats.org/officeDocument/2006/relationships/hyperlink" Target="http://www.dalbuk.es.kr" TargetMode="External" Id="rId97" /><Relationship Type="http://schemas.openxmlformats.org/officeDocument/2006/relationships/hyperlink" Target="http://www.mdong.es.kr" TargetMode="External" Id="rId98" /><Relationship Type="http://schemas.openxmlformats.org/officeDocument/2006/relationships/hyperlink" Target="http://school.busanedu.net/myeongryun-e/main.do" TargetMode="External" Id="rId99" /><Relationship Type="http://schemas.openxmlformats.org/officeDocument/2006/relationships/hyperlink" Target="http://www.myongseo.es.kr" TargetMode="External" Id="rId100" /><Relationship Type="http://schemas.openxmlformats.org/officeDocument/2006/relationships/hyperlink" Target="http://myungjang.es.kr" TargetMode="External" Id="rId101" /><Relationship Type="http://schemas.openxmlformats.org/officeDocument/2006/relationships/hyperlink" Target="http://minam.es.kr/" TargetMode="External" Id="rId102" /><Relationship Type="http://schemas.openxmlformats.org/officeDocument/2006/relationships/hyperlink" Target="http://www.sajik.es.kr" TargetMode="External" Id="rId103" /><Relationship Type="http://schemas.openxmlformats.org/officeDocument/2006/relationships/hyperlink" Target="http://suan.es.kr" TargetMode="External" Id="rId104" /><Relationship Type="http://schemas.openxmlformats.org/officeDocument/2006/relationships/hyperlink" Target="http://annam.es.kr" TargetMode="External" Id="rId105" /><Relationship Type="http://schemas.openxmlformats.org/officeDocument/2006/relationships/hyperlink" Target="http://anrak.es.kr" TargetMode="External" Id="rId106" /><Relationship Type="http://schemas.openxmlformats.org/officeDocument/2006/relationships/hyperlink" Target="http://www.anmin.es.kr/" TargetMode="External" Id="rId107" /><Relationship Type="http://schemas.openxmlformats.org/officeDocument/2006/relationships/hyperlink" Target="http://anjin.es.kr" TargetMode="External" Id="rId108" /><Relationship Type="http://schemas.openxmlformats.org/officeDocument/2006/relationships/hyperlink" Target="http://www.yeogo.es.kr" TargetMode="External" Id="rId109" /><Relationship Type="http://schemas.openxmlformats.org/officeDocument/2006/relationships/hyperlink" Target="http://www.yewon.es.kr" TargetMode="External" Id="rId110" /><Relationship Type="http://schemas.openxmlformats.org/officeDocument/2006/relationships/hyperlink" Target="http://www.onsaem.es.kr" TargetMode="External" Id="rId111" /><Relationship Type="http://schemas.openxmlformats.org/officeDocument/2006/relationships/hyperlink" Target="http://www.onchun.es.kr/" TargetMode="External" Id="rId112" /><Relationship Type="http://schemas.openxmlformats.org/officeDocument/2006/relationships/hyperlink" Target="http://www.pscr.es.kr" TargetMode="External" Id="rId113" /><Relationship Type="http://schemas.openxmlformats.org/officeDocument/2006/relationships/hyperlink" Target="http://www.hyehwa.es.kr" TargetMode="External" Id="rId114" /><Relationship Type="http://schemas.openxmlformats.org/officeDocument/2006/relationships/hyperlink" Target="http://www.ga-nam.es.kr" TargetMode="External" Id="rId115" /><Relationship Type="http://schemas.openxmlformats.org/officeDocument/2006/relationships/hyperlink" Target="http://www.ka-ya.es.kr" TargetMode="External" Id="rId116" /><Relationship Type="http://schemas.openxmlformats.org/officeDocument/2006/relationships/hyperlink" Target="http://school.busanedu.net/busangapyeong-e/main.do" TargetMode="External" Id="rId117" /><Relationship Type="http://schemas.openxmlformats.org/officeDocument/2006/relationships/hyperlink" Target="http://kaegum.es.kr/" TargetMode="External" Id="rId118" /><Relationship Type="http://schemas.openxmlformats.org/officeDocument/2006/relationships/hyperlink" Target="http://kaewone.es.kr" TargetMode="External" Id="rId119" /><Relationship Type="http://schemas.openxmlformats.org/officeDocument/2006/relationships/hyperlink" Target="http://www.gaepo.es.kr" TargetMode="External" Id="rId120" /><Relationship Type="http://schemas.openxmlformats.org/officeDocument/2006/relationships/hyperlink" Target="http://www.kae-hwa.es.kr" TargetMode="External" Id="rId121" /><Relationship Type="http://schemas.openxmlformats.org/officeDocument/2006/relationships/hyperlink" Target="http://www.danggam.es.kr" TargetMode="External" Id="rId122" /><Relationship Type="http://schemas.openxmlformats.org/officeDocument/2006/relationships/hyperlink" Target="http://www.dangpyung.es.kr" TargetMode="External" Id="rId123" /><Relationship Type="http://schemas.openxmlformats.org/officeDocument/2006/relationships/hyperlink" Target="https://school.busanedu.net/ds-e" TargetMode="External" Id="rId124" /><Relationship Type="http://schemas.openxmlformats.org/officeDocument/2006/relationships/hyperlink" Target="http://school.busanedu.net/dong-yang-e/main.do" TargetMode="External" Id="rId125" /><Relationship Type="http://schemas.openxmlformats.org/officeDocument/2006/relationships/hyperlink" Target="http://www.pdw.es.kr" TargetMode="External" Id="rId126" /><Relationship Type="http://schemas.openxmlformats.org/officeDocument/2006/relationships/hyperlink" Target="http://dongpyeong.es.kr" TargetMode="External" Id="rId127" /><Relationship Type="http://schemas.openxmlformats.org/officeDocument/2006/relationships/hyperlink" Target="http://pusanjin.es.kr" TargetMode="External" Id="rId128" /><Relationship Type="http://schemas.openxmlformats.org/officeDocument/2006/relationships/hyperlink" Target="http://www.buam.es.kr" TargetMode="External" Id="rId129" /><Relationship Type="http://schemas.openxmlformats.org/officeDocument/2006/relationships/hyperlink" Target="https://school.busanedu.net/pspujun-e/main.do#" TargetMode="External" Id="rId130" /><Relationship Type="http://schemas.openxmlformats.org/officeDocument/2006/relationships/hyperlink" Target="http://sunam.es.kr" TargetMode="External" Id="rId131" /><Relationship Type="http://schemas.openxmlformats.org/officeDocument/2006/relationships/hyperlink" Target="https://school.busanedu.net/seongbuk-e/" TargetMode="External" Id="rId132" /><Relationship Type="http://schemas.openxmlformats.org/officeDocument/2006/relationships/hyperlink" Target="http://www.sungso.es.kr" TargetMode="External" Id="rId133" /><Relationship Type="http://schemas.openxmlformats.org/officeDocument/2006/relationships/hyperlink" Target="http://www.sungjeun.es.kr/" TargetMode="External" Id="rId134" /><Relationship Type="http://schemas.openxmlformats.org/officeDocument/2006/relationships/hyperlink" Target="http://www.sungji.es.kr" TargetMode="External" Id="rId135" /><Relationship Type="http://schemas.openxmlformats.org/officeDocument/2006/relationships/hyperlink" Target="http://www.yangdong.es.kr/" TargetMode="External" Id="rId136" /><Relationship Type="http://schemas.openxmlformats.org/officeDocument/2006/relationships/hyperlink" Target="http://yangsung.es.kr" TargetMode="External" Id="rId137" /><Relationship Type="http://schemas.openxmlformats.org/officeDocument/2006/relationships/hyperlink" Target="http://www.yj.es.kr" TargetMode="External" Id="rId138" /><Relationship Type="http://schemas.openxmlformats.org/officeDocument/2006/relationships/hyperlink" Target="http://yeonji.es.kr/" TargetMode="External" Id="rId139" /><Relationship Type="http://schemas.openxmlformats.org/officeDocument/2006/relationships/hyperlink" Target="http://www.yeonhak.es.kr" TargetMode="External" Id="rId140" /><Relationship Type="http://schemas.openxmlformats.org/officeDocument/2006/relationships/hyperlink" Target="http://jeonpo.es.kr/" TargetMode="External" Id="rId141" /><Relationship Type="http://schemas.openxmlformats.org/officeDocument/2006/relationships/hyperlink" Target="http://www.jure.es.kr" TargetMode="External" Id="rId142" /><Relationship Type="http://schemas.openxmlformats.org/officeDocument/2006/relationships/hyperlink" Target="http://www.choup.es.kr" TargetMode="External" Id="rId143" /><Relationship Type="http://schemas.openxmlformats.org/officeDocument/2006/relationships/hyperlink" Target="http://kunam.es.kr" TargetMode="External" Id="rId144" /><Relationship Type="http://schemas.openxmlformats.org/officeDocument/2006/relationships/hyperlink" Target="http://school.busanedu.net/gupo-e" TargetMode="External" Id="rId145" /><Relationship Type="http://schemas.openxmlformats.org/officeDocument/2006/relationships/hyperlink" Target="http://www.geumgok.es.kr/" TargetMode="External" Id="rId146" /><Relationship Type="http://schemas.openxmlformats.org/officeDocument/2006/relationships/hyperlink" Target="https://school.busanedu.net/geummyeong-e/" TargetMode="External" Id="rId147" /><Relationship Type="http://schemas.openxmlformats.org/officeDocument/2006/relationships/hyperlink" Target="http://www.geumchang.es.kr" TargetMode="External" Id="rId148" /><Relationship Type="http://schemas.openxmlformats.org/officeDocument/2006/relationships/hyperlink" Target="http://www.daechunlee.es.kr" TargetMode="External" Id="rId149" /><Relationship Type="http://schemas.openxmlformats.org/officeDocument/2006/relationships/hyperlink" Target="http://school.busanedu.net/dsedu-e" TargetMode="External" Id="rId150" /><Relationship Type="http://schemas.openxmlformats.org/officeDocument/2006/relationships/hyperlink" Target="http://deokyang.es.kr" TargetMode="External" Id="rId151" /><Relationship Type="http://schemas.openxmlformats.org/officeDocument/2006/relationships/hyperlink" Target="http://school.busanedu.net/dugchun-e/main.do" TargetMode="External" Id="rId152" /><Relationship Type="http://schemas.openxmlformats.org/officeDocument/2006/relationships/hyperlink" Target="http://manduk.or.kr" TargetMode="External" Id="rId153" /><Relationship Type="http://schemas.openxmlformats.org/officeDocument/2006/relationships/hyperlink" Target="http://myd.es.kr" TargetMode="External" Id="rId154" /><Relationship Type="http://schemas.openxmlformats.org/officeDocument/2006/relationships/hyperlink" Target="http://myungjin.es.kr" TargetMode="External" Id="rId155" /><Relationship Type="http://schemas.openxmlformats.org/officeDocument/2006/relationships/hyperlink" Target="http://www.baeksan.es.kr" TargetMode="External" Id="rId156" /><Relationship Type="http://schemas.openxmlformats.org/officeDocument/2006/relationships/hyperlink" Target="http://baekyang.es.kr/" TargetMode="External" Id="rId157" /><Relationship Type="http://schemas.openxmlformats.org/officeDocument/2006/relationships/hyperlink" Target="http://www.sanghak.es.kr/" TargetMode="External" Id="rId158" /><Relationship Type="http://schemas.openxmlformats.org/officeDocument/2006/relationships/hyperlink" Target="http://www.sinkum.es.kr" TargetMode="External" Id="rId159" /><Relationship Type="http://schemas.openxmlformats.org/officeDocument/2006/relationships/hyperlink" Target="http://sinduk.es.kr" TargetMode="External" Id="rId160" /><Relationship Type="http://schemas.openxmlformats.org/officeDocument/2006/relationships/hyperlink" Target="http://psc.es.kr" TargetMode="External" Id="rId161" /><Relationship Type="http://schemas.openxmlformats.org/officeDocument/2006/relationships/hyperlink" Target="https://school.busanedu.net/yangduk-e/main.do" TargetMode="External" Id="rId162" /><Relationship Type="http://schemas.openxmlformats.org/officeDocument/2006/relationships/hyperlink" Target="http://busanyangchun.es.kr" TargetMode="External" Id="rId163" /><Relationship Type="http://schemas.openxmlformats.org/officeDocument/2006/relationships/hyperlink" Target="http://waseok.es.kr" TargetMode="External" Id="rId164" /><Relationship Type="http://schemas.openxmlformats.org/officeDocument/2006/relationships/hyperlink" Target="https://school.busanedu.net/yongsu-e/main.do" TargetMode="External" Id="rId165" /><Relationship Type="http://schemas.openxmlformats.org/officeDocument/2006/relationships/hyperlink" Target="http://pochen.es.kr" TargetMode="External" Id="rId166" /><Relationship Type="http://schemas.openxmlformats.org/officeDocument/2006/relationships/hyperlink" Target="http://school.busanedu.net/haksa-e" TargetMode="External" Id="rId167" /><Relationship Type="http://schemas.openxmlformats.org/officeDocument/2006/relationships/hyperlink" Target="http://hwamyong.es.kr" TargetMode="External" Id="rId168" /><Relationship Type="http://schemas.openxmlformats.org/officeDocument/2006/relationships/hyperlink" Target="http://hwajam.es.kr" TargetMode="External" Id="rId169" /><Relationship Type="http://schemas.openxmlformats.org/officeDocument/2006/relationships/hyperlink" Target="http://www.bshj.es.kr" TargetMode="External" Id="rId170" /><Relationship Type="http://schemas.openxmlformats.org/officeDocument/2006/relationships/hyperlink" Target="http://gamjeon.es.kr" TargetMode="External" Id="rId171" /><Relationship Type="http://schemas.openxmlformats.org/officeDocument/2006/relationships/hyperlink" Target="http://www.guhag.es.kr" TargetMode="External" Id="rId172" /><Relationship Type="http://schemas.openxmlformats.org/officeDocument/2006/relationships/hyperlink" Target="http://school.busanedu.net/deoksang-e" TargetMode="External" Id="rId173" /><Relationship Type="http://schemas.openxmlformats.org/officeDocument/2006/relationships/hyperlink" Target="http://www.deokpo.es.kr" TargetMode="External" Id="rId174" /><Relationship Type="http://schemas.openxmlformats.org/officeDocument/2006/relationships/hyperlink" Target="http://www.donggung.es.kr" TargetMode="External" Id="rId175" /><Relationship Type="http://schemas.openxmlformats.org/officeDocument/2006/relationships/hyperlink" Target="http://dongju.es.kr" TargetMode="External" Id="rId176" /><Relationship Type="http://schemas.openxmlformats.org/officeDocument/2006/relationships/hyperlink" Target="http://school.busanedu.net/modeok-e" TargetMode="External" Id="rId177" /><Relationship Type="http://schemas.openxmlformats.org/officeDocument/2006/relationships/hyperlink" Target="http://modong2.es.kr" TargetMode="External" Id="rId178" /><Relationship Type="http://schemas.openxmlformats.org/officeDocument/2006/relationships/hyperlink" Target="http://www.mora.es.kr/" TargetMode="External" Id="rId179" /><Relationship Type="http://schemas.openxmlformats.org/officeDocument/2006/relationships/hyperlink" Target="http://sasang.es.kr/" TargetMode="External" Id="rId180" /><Relationship Type="http://schemas.openxmlformats.org/officeDocument/2006/relationships/hyperlink" Target="http://www.samdok.es.kr" TargetMode="External" Id="rId181" /><Relationship Type="http://schemas.openxmlformats.org/officeDocument/2006/relationships/hyperlink" Target="http://seogam.es.kr/" TargetMode="External" Id="rId182" /><Relationship Type="http://schemas.openxmlformats.org/officeDocument/2006/relationships/hyperlink" Target="http://www.omgung.es.kr/" TargetMode="External" Id="rId183" /><Relationship Type="http://schemas.openxmlformats.org/officeDocument/2006/relationships/hyperlink" Target="http://www.jugam.es.kr" TargetMode="External" Id="rId184" /><Relationship Type="http://schemas.openxmlformats.org/officeDocument/2006/relationships/hyperlink" Target="http://www.juyang.es.kr/" TargetMode="External" Id="rId185" /><Relationship Type="http://schemas.openxmlformats.org/officeDocument/2006/relationships/hyperlink" Target="http://www.juhak.es.kr" TargetMode="External" Id="rId186" /><Relationship Type="http://schemas.openxmlformats.org/officeDocument/2006/relationships/hyperlink" Target="http://www.changjin.es.kr/" TargetMode="External" Id="rId187" /><Relationship Type="http://schemas.openxmlformats.org/officeDocument/2006/relationships/hyperlink" Target="http://www.hakjang.es.kr/" TargetMode="External" Id="rId188" /><Relationship Type="http://schemas.openxmlformats.org/officeDocument/2006/relationships/hyperlink" Target="http://school.busanedu.net/hakjin-e" TargetMode="External" Id="rId189" /><Relationship Type="http://schemas.openxmlformats.org/officeDocument/2006/relationships/hyperlink" Target="http://www.gam.es.kr" TargetMode="External" Id="rId190" /><Relationship Type="http://schemas.openxmlformats.org/officeDocument/2006/relationships/hyperlink" Target="https://school.busanedu.net/koejeong-e/main.do" TargetMode="External" Id="rId191" /><Relationship Type="http://schemas.openxmlformats.org/officeDocument/2006/relationships/hyperlink" Target="http://www.gupyong.es.kr" TargetMode="External" Id="rId192" /><Relationship Type="http://schemas.openxmlformats.org/officeDocument/2006/relationships/hyperlink" Target="http://www.nakdong.es.kr" TargetMode="External" Id="rId193" /><Relationship Type="http://schemas.openxmlformats.org/officeDocument/2006/relationships/hyperlink" Target="http://dadae.es.kr" TargetMode="External" Id="rId194" /><Relationship Type="http://schemas.openxmlformats.org/officeDocument/2006/relationships/hyperlink" Target="http://dasun.es.kr" TargetMode="External" Id="rId195" /><Relationship Type="http://schemas.openxmlformats.org/officeDocument/2006/relationships/hyperlink" Target="http://www.dasong.es.kr" TargetMode="External" Id="rId196" /><Relationship Type="http://schemas.openxmlformats.org/officeDocument/2006/relationships/hyperlink" Target="http://www.dangni.es.kr" TargetMode="External" Id="rId197" /><Relationship Type="http://schemas.openxmlformats.org/officeDocument/2006/relationships/hyperlink" Target="http://morundae.es.kr/" TargetMode="External" Id="rId198" /><Relationship Type="http://schemas.openxmlformats.org/officeDocument/2006/relationships/hyperlink" Target="http://school.busanedu.net/borim-e" TargetMode="External" Id="rId199" /><Relationship Type="http://schemas.openxmlformats.org/officeDocument/2006/relationships/hyperlink" Target="http://sanam.es.kr" TargetMode="External" Id="rId200" /><Relationship Type="http://schemas.openxmlformats.org/officeDocument/2006/relationships/hyperlink" Target="https://school.busanedu.net/psadong-e/main.do" TargetMode="External" Id="rId201" /><Relationship Type="http://schemas.openxmlformats.org/officeDocument/2006/relationships/hyperlink" Target="http://www.saha.es.kr" TargetMode="External" Id="rId202" /><Relationship Type="http://schemas.openxmlformats.org/officeDocument/2006/relationships/hyperlink" Target="http://seocheon.es.kr" TargetMode="External" Id="rId203" /><Relationship Type="http://schemas.openxmlformats.org/officeDocument/2006/relationships/hyperlink" Target="http://seunghak.es.kr" TargetMode="External" Id="rId204" /><Relationship Type="http://schemas.openxmlformats.org/officeDocument/2006/relationships/hyperlink" Target="http://www.sinnam.es.kr" TargetMode="External" Id="rId205" /><Relationship Type="http://schemas.openxmlformats.org/officeDocument/2006/relationships/hyperlink" Target="http://www.shinchon.es.kr" TargetMode="External" Id="rId206" /><Relationship Type="http://schemas.openxmlformats.org/officeDocument/2006/relationships/hyperlink" Target="http://www.sinpyeong.es.kr" TargetMode="External" Id="rId207" /><Relationship Type="http://schemas.openxmlformats.org/officeDocument/2006/relationships/hyperlink" Target="http://okchun.es.kr" TargetMode="External" Id="rId208" /><Relationship Type="http://schemas.openxmlformats.org/officeDocument/2006/relationships/hyperlink" Target="http://www.eulsukdo.es.kr" TargetMode="External" Id="rId209" /><Relationship Type="http://schemas.openxmlformats.org/officeDocument/2006/relationships/hyperlink" Target="http://eungbong.es.kr" TargetMode="External" Id="rId210" /><Relationship Type="http://schemas.openxmlformats.org/officeDocument/2006/relationships/hyperlink" Target="http://jangrim.es.kr" TargetMode="External" Id="rId211" /><Relationship Type="http://schemas.openxmlformats.org/officeDocument/2006/relationships/hyperlink" Target="http://junghyun.es.kr" TargetMode="External" Id="rId212" /><Relationship Type="http://schemas.openxmlformats.org/officeDocument/2006/relationships/hyperlink" Target="http://www.hanam.es.kr" TargetMode="External" Id="rId213" /><Relationship Type="http://schemas.openxmlformats.org/officeDocument/2006/relationships/hyperlink" Target="http://www.hadan.es.kr" TargetMode="External" Id="rId214" /><Relationship Type="http://schemas.openxmlformats.org/officeDocument/2006/relationships/hyperlink" Target="http://hyorim.es.kr" TargetMode="External" Id="rId215" /><Relationship Type="http://schemas.openxmlformats.org/officeDocument/2006/relationships/hyperlink" Target="http://gudeok.es.kr/" TargetMode="External" Id="rId216" /><Relationship Type="http://schemas.openxmlformats.org/officeDocument/2006/relationships/hyperlink" Target="http://www.nambumin.es.kr" TargetMode="External" Id="rId217" /><Relationship Type="http://schemas.openxmlformats.org/officeDocument/2006/relationships/hyperlink" Target="http://daesin.es.kr" TargetMode="External" Id="rId218" /><Relationship Type="http://schemas.openxmlformats.org/officeDocument/2006/relationships/hyperlink" Target="http://www.dongsin.es.kr" TargetMode="External" Id="rId219" /><Relationship Type="http://schemas.openxmlformats.org/officeDocument/2006/relationships/hyperlink" Target="http://www.bumin.es.kr/" TargetMode="External" Id="rId220" /><Relationship Type="http://schemas.openxmlformats.org/officeDocument/2006/relationships/hyperlink" Target="http://www.aloysius-bs.es.kr" TargetMode="External" Id="rId221" /><Relationship Type="http://schemas.openxmlformats.org/officeDocument/2006/relationships/hyperlink" Target="http://songdo.es.kr/" TargetMode="External" Id="rId222" /><Relationship Type="http://schemas.openxmlformats.org/officeDocument/2006/relationships/hyperlink" Target="http://ami.es.kr/" TargetMode="External" Id="rId223" /><Relationship Type="http://schemas.openxmlformats.org/officeDocument/2006/relationships/hyperlink" Target="http://www.chunma.es.kr" TargetMode="External" Id="rId224" /><Relationship Type="http://schemas.openxmlformats.org/officeDocument/2006/relationships/hyperlink" Target="http://toseong.es.kr" TargetMode="External" Id="rId225" /><Relationship Type="http://schemas.openxmlformats.org/officeDocument/2006/relationships/hyperlink" Target="http://www.hwarang.es.kr" TargetMode="External" Id="rId226" /><Relationship Type="http://schemas.openxmlformats.org/officeDocument/2006/relationships/hyperlink" Target="http://gwangnam.es.kr/" TargetMode="External" Id="rId227" /><Relationship Type="http://schemas.openxmlformats.org/officeDocument/2006/relationships/hyperlink" Target="http://www.kwangan.es.kr" TargetMode="External" Id="rId228" /><Relationship Type="http://schemas.openxmlformats.org/officeDocument/2006/relationships/hyperlink" Target="http://www.namcheon.es.kr" TargetMode="External" Id="rId229" /><Relationship Type="http://schemas.openxmlformats.org/officeDocument/2006/relationships/hyperlink" Target="http://school.busanedu.net/mangmi-e" TargetMode="External" Id="rId230" /><Relationship Type="http://schemas.openxmlformats.org/officeDocument/2006/relationships/hyperlink" Target="http://minlak.es.kr" TargetMode="External" Id="rId231" /><Relationship Type="http://schemas.openxmlformats.org/officeDocument/2006/relationships/hyperlink" Target="http://minan.es.kr" TargetMode="External" Id="rId232" /><Relationship Type="http://schemas.openxmlformats.org/officeDocument/2006/relationships/hyperlink" Target="http://www.baesan.es.kr" TargetMode="External" Id="rId233" /><Relationship Type="http://schemas.openxmlformats.org/officeDocument/2006/relationships/hyperlink" Target="http://www.sumi.es.kr/" TargetMode="External" Id="rId234" /><Relationship Type="http://schemas.openxmlformats.org/officeDocument/2006/relationships/hyperlink" Target="http://suyoung.es.kr/" TargetMode="External" Id="rId235" /><Relationship Type="http://schemas.openxmlformats.org/officeDocument/2006/relationships/hyperlink" Target="http://www.hoam.es.kr" TargetMode="External" Id="rId236" /><Relationship Type="http://schemas.openxmlformats.org/officeDocument/2006/relationships/hyperlink" Target="http://www.gue-je.es.kr" TargetMode="External" Id="rId237" /><Relationship Type="http://schemas.openxmlformats.org/officeDocument/2006/relationships/hyperlink" Target="http://www.geohak.es.kr" TargetMode="External" Id="rId238" /><Relationship Type="http://schemas.openxmlformats.org/officeDocument/2006/relationships/hyperlink" Target="http://www.kwajung.es.kr" TargetMode="External" Id="rId239" /><Relationship Type="http://schemas.openxmlformats.org/officeDocument/2006/relationships/hyperlink" Target="http://nammun.es.kr" TargetMode="External" Id="rId240" /><Relationship Type="http://schemas.openxmlformats.org/officeDocument/2006/relationships/hyperlink" Target="http://www.dongmyung.es.kr" TargetMode="External" Id="rId241" /><Relationship Type="http://schemas.openxmlformats.org/officeDocument/2006/relationships/hyperlink" Target="http://es.bnue.ac.kr" TargetMode="External" Id="rId242" /><Relationship Type="http://schemas.openxmlformats.org/officeDocument/2006/relationships/hyperlink" Target="http://yondong.es.kr" TargetMode="External" Id="rId243" /><Relationship Type="http://schemas.openxmlformats.org/officeDocument/2006/relationships/hyperlink" Target="http://www.yeunmi.es.kr" TargetMode="External" Id="rId244" /><Relationship Type="http://schemas.openxmlformats.org/officeDocument/2006/relationships/hyperlink" Target="http://www.yonsan.es.kr" TargetMode="External" Id="rId245" /><Relationship Type="http://schemas.openxmlformats.org/officeDocument/2006/relationships/hyperlink" Target="http://school.busanedu.net/yeonseo-e/main.do" TargetMode="External" Id="rId246" /><Relationship Type="http://schemas.openxmlformats.org/officeDocument/2006/relationships/hyperlink" Target="http://www.yonsin.es.kr" TargetMode="External" Id="rId247" /><Relationship Type="http://schemas.openxmlformats.org/officeDocument/2006/relationships/hyperlink" Target="http://www.yonil.es.kr" TargetMode="External" Id="rId248" /><Relationship Type="http://schemas.openxmlformats.org/officeDocument/2006/relationships/hyperlink" Target="http://www.yeonje.es.kr" TargetMode="External" Id="rId249" /><Relationship Type="http://schemas.openxmlformats.org/officeDocument/2006/relationships/hyperlink" Target="https://school.busanedu.net/yonchon-e/main.do" TargetMode="External" Id="rId250" /><Relationship Type="http://schemas.openxmlformats.org/officeDocument/2006/relationships/hyperlink" Target="http://www.changshin.es.kr" TargetMode="External" Id="rId251" /><Relationship Type="http://schemas.openxmlformats.org/officeDocument/2006/relationships/hyperlink" Target="http://www.tohyeon.es.kr" TargetMode="External" Id="rId252" /><Relationship Type="http://schemas.openxmlformats.org/officeDocument/2006/relationships/hyperlink" Target="http://namhang.es.kr/" TargetMode="External" Id="rId253" /><Relationship Type="http://schemas.openxmlformats.org/officeDocument/2006/relationships/hyperlink" Target="http://daegyo.es.kr" TargetMode="External" Id="rId254" /><Relationship Type="http://schemas.openxmlformats.org/officeDocument/2006/relationships/hyperlink" Target="https://school.busanedu.net/daepyung-e/main.do" TargetMode="External" Id="rId255" /><Relationship Type="http://schemas.openxmlformats.org/officeDocument/2006/relationships/hyperlink" Target="http://school.busanedu.net/dongsam-e/main.do" TargetMode="External" Id="rId256" /><Relationship Type="http://schemas.openxmlformats.org/officeDocument/2006/relationships/hyperlink" Target="http://bonghak.es.kr/" TargetMode="External" Id="rId257" /><Relationship Type="http://schemas.openxmlformats.org/officeDocument/2006/relationships/hyperlink" Target="http://ses.es.kr" TargetMode="External" Id="rId258" /><Relationship Type="http://schemas.openxmlformats.org/officeDocument/2006/relationships/hyperlink" Target="http://school.busanedu.net/yeongdo-e/" TargetMode="External" Id="rId259" /><Relationship Type="http://schemas.openxmlformats.org/officeDocument/2006/relationships/hyperlink" Target="http://jeolyeong.es.kr" TargetMode="External" Id="rId260" /><Relationship Type="http://schemas.openxmlformats.org/officeDocument/2006/relationships/hyperlink" Target="http://joonglee.es.kr" TargetMode="External" Id="rId261" /><Relationship Type="http://schemas.openxmlformats.org/officeDocument/2006/relationships/hyperlink" Target="http://school.busanedu.net/chungdong-e" TargetMode="External" Id="rId262" /><Relationship Type="http://schemas.openxmlformats.org/officeDocument/2006/relationships/hyperlink" Target="http://www.cheonghak.es.kr" TargetMode="External" Id="rId263" /><Relationship Type="http://schemas.openxmlformats.org/officeDocument/2006/relationships/hyperlink" Target="http://www.taejongdae.es.kr" TargetMode="External" Id="rId264" /><Relationship Type="http://schemas.openxmlformats.org/officeDocument/2006/relationships/hyperlink" Target="http://www.gwangil.es.kr" TargetMode="External" Id="rId265" /><Relationship Type="http://schemas.openxmlformats.org/officeDocument/2006/relationships/hyperlink" Target="http://www.nisb.kr" TargetMode="External" Id="rId266" /><Relationship Type="http://schemas.openxmlformats.org/officeDocument/2006/relationships/hyperlink" Target="http://bosu.es.kr/" TargetMode="External" Id="rId267" /><Relationship Type="http://schemas.openxmlformats.org/officeDocument/2006/relationships/hyperlink" Target="http://pusanbongrae.es.kr/" TargetMode="External" Id="rId268" /><Relationship Type="http://schemas.openxmlformats.org/officeDocument/2006/relationships/hyperlink" Target="http://www.pusangangdong.es.kr/" TargetMode="External" Id="rId269" /><Relationship Type="http://schemas.openxmlformats.org/officeDocument/2006/relationships/hyperlink" Target="http://dongbaek.es.kr" TargetMode="External" Id="rId270" /><Relationship Type="http://schemas.openxmlformats.org/officeDocument/2006/relationships/hyperlink" Target="http://www.bsmj.es.kr" TargetMode="External" Id="rId271" /><Relationship Type="http://schemas.openxmlformats.org/officeDocument/2006/relationships/hyperlink" Target="http://www.bansan.es.kr/" TargetMode="External" Id="rId272" /><Relationship Type="http://schemas.openxmlformats.org/officeDocument/2006/relationships/hyperlink" Target="http://bansuk.es.kr" TargetMode="External" Id="rId273" /><Relationship Type="http://schemas.openxmlformats.org/officeDocument/2006/relationships/hyperlink" Target="http://www.bansong.es.kr" TargetMode="External" Id="rId274" /><Relationship Type="http://schemas.openxmlformats.org/officeDocument/2006/relationships/hyperlink" Target="http://www.banan.es.kr" TargetMode="External" Id="rId275" /><Relationship Type="http://schemas.openxmlformats.org/officeDocument/2006/relationships/hyperlink" Target="http://www.banyeo.es.kr" TargetMode="External" Id="rId276" /><Relationship Type="http://schemas.openxmlformats.org/officeDocument/2006/relationships/hyperlink" Target="http://www.buhung.es.kr" TargetMode="External" Id="rId277" /><Relationship Type="http://schemas.openxmlformats.org/officeDocument/2006/relationships/hyperlink" Target="http://sameo.es.kr" TargetMode="External" Id="rId278" /><Relationship Type="http://schemas.openxmlformats.org/officeDocument/2006/relationships/hyperlink" Target="http://sangdang.es.kr/" TargetMode="External" Id="rId279" /><Relationship Type="http://schemas.openxmlformats.org/officeDocument/2006/relationships/hyperlink" Target="http://www.centum.es.kr" TargetMode="External" Id="rId280" /><Relationship Type="http://schemas.openxmlformats.org/officeDocument/2006/relationships/hyperlink" Target="http://www.songsu.es.kr" TargetMode="External" Id="rId281" /><Relationship Type="http://schemas.openxmlformats.org/officeDocument/2006/relationships/hyperlink" Target="http://songun.es.kr" TargetMode="External" Id="rId282" /><Relationship Type="http://schemas.openxmlformats.org/officeDocument/2006/relationships/hyperlink" Target="http://www.hudsj.es.kr/" TargetMode="External" Id="rId283" /><Relationship Type="http://schemas.openxmlformats.org/officeDocument/2006/relationships/hyperlink" Target="http://www.singok.es.kr" TargetMode="External" Id="rId284" /><Relationship Type="http://schemas.openxmlformats.org/officeDocument/2006/relationships/hyperlink" Target="http://sin-do.es.kr/" TargetMode="External" Id="rId285" /><Relationship Type="http://schemas.openxmlformats.org/officeDocument/2006/relationships/hyperlink" Target="http://www.sinjae.es.kr" TargetMode="External" Id="rId286" /><Relationship Type="http://schemas.openxmlformats.org/officeDocument/2006/relationships/hyperlink" Target="http://www.yangun.es.kr/" TargetMode="External" Id="rId287" /><Relationship Type="http://schemas.openxmlformats.org/officeDocument/2006/relationships/hyperlink" Target="http://www.unbong.es.kr" TargetMode="External" Id="rId288" /><Relationship Type="http://schemas.openxmlformats.org/officeDocument/2006/relationships/hyperlink" Target="http://woonsong.es.kr" TargetMode="External" Id="rId289" /><Relationship Type="http://schemas.openxmlformats.org/officeDocument/2006/relationships/hyperlink" Target="http://www.ij.es.kr" TargetMode="External" Id="rId290" /><Relationship Type="http://schemas.openxmlformats.org/officeDocument/2006/relationships/hyperlink" Target="http://www.jangsan.es.kr" TargetMode="External" Id="rId291" /><Relationship Type="http://schemas.openxmlformats.org/officeDocument/2006/relationships/hyperlink" Target="http://www.jaesong.es.kr" TargetMode="External" Id="rId292" /><Relationship Type="http://schemas.openxmlformats.org/officeDocument/2006/relationships/hyperlink" Target="https://school.busanedu.net/jwadong-e/main.do" TargetMode="External" Id="rId293" /><Relationship Type="http://schemas.openxmlformats.org/officeDocument/2006/relationships/hyperlink" Target="http://www.jwasan.es.kr/" TargetMode="External" Id="rId294" /><Relationship Type="http://schemas.openxmlformats.org/officeDocument/2006/relationships/hyperlink" Target="http://www.haegang.es.kr" TargetMode="External" Id="rId295" /><Relationship Type="http://schemas.openxmlformats.org/officeDocument/2006/relationships/hyperlink" Target="http://www.haedong.es.kr/" TargetMode="External" Id="rId296" /><Relationship Type="http://schemas.openxmlformats.org/officeDocument/2006/relationships/hyperlink" Target="http://www.haerim.es.kr" TargetMode="External" Id="rId297" /><Relationship Type="http://schemas.openxmlformats.org/officeDocument/2006/relationships/hyperlink" Target="http://haesong.es.kr/" TargetMode="External" Id="rId298" /><Relationship Type="http://schemas.openxmlformats.org/officeDocument/2006/relationships/hyperlink" Target="http://www.haeundae.es.kr" TargetMode="External" Id="rId299" /><Relationship Type="http://schemas.openxmlformats.org/officeDocument/2006/relationships/hyperlink" Target="http://haewon.es.kr" TargetMode="External" Id="rId300" /><Relationship Type="http://schemas.openxmlformats.org/officeDocument/2006/relationships/hyperlink" Target="http://www.nulcha.es.kr" TargetMode="External" Id="rId301" /><Relationship Type="http://schemas.openxmlformats.org/officeDocument/2006/relationships/hyperlink" Target="http://www.djjang.es.kr" TargetMode="External" Id="rId302" /><Relationship Type="http://schemas.openxmlformats.org/officeDocument/2006/relationships/hyperlink" Target="http://dukdo.es.kr" TargetMode="External" Id="rId303" /><Relationship Type="http://schemas.openxmlformats.org/officeDocument/2006/relationships/hyperlink" Target="http://samkwang.es.kr" TargetMode="External" Id="rId304" /><Relationship Type="http://schemas.openxmlformats.org/officeDocument/2006/relationships/hyperlink" Target="http://www.sesan.es.kr" TargetMode="External" Id="rId305" /><Relationship Type="http://schemas.openxmlformats.org/officeDocument/2006/relationships/hyperlink" Target="http://www.pssongjung.es.kr/" TargetMode="External" Id="rId306" /><Relationship Type="http://schemas.openxmlformats.org/officeDocument/2006/relationships/hyperlink" Target="http://ps-seogok.es.kr" TargetMode="External" Id="rId307" /><Relationship Type="http://schemas.openxmlformats.org/officeDocument/2006/relationships/hyperlink" Target="http://hoedong.es.kr/" TargetMode="External" Id="rId308" /><Relationship Type="http://schemas.openxmlformats.org/officeDocument/2006/relationships/hyperlink" Target="http://www.ilgwang.es.kr" TargetMode="External" Id="rId309" /><Relationship Type="http://schemas.openxmlformats.org/officeDocument/2006/relationships/hyperlink" Target="http://school.busanedu.net/jwasung-e/intro.do" TargetMode="External" Id="rId310" /><Relationship Type="http://schemas.openxmlformats.org/officeDocument/2006/relationships/hyperlink" Target="http://www.joachun.es.kr" TargetMode="External" Id="rId311" /><Relationship Type="http://schemas.openxmlformats.org/officeDocument/2006/relationships/hyperlink" Target="http://pusangasan.es.kr" TargetMode="External" Id="rId312" /><Relationship Type="http://schemas.openxmlformats.org/officeDocument/2006/relationships/hyperlink" Target="http://juwon.es.kr" TargetMode="External" Id="rId313" /><Relationship Type="http://schemas.openxmlformats.org/officeDocument/2006/relationships/hyperlink" Target="http://gwaebeop.es.kr" TargetMode="External" Id="rId314" /><Relationship Type="http://schemas.openxmlformats.org/officeDocument/2006/relationships/hyperlink" Target="http://gamjung.es.kr/" TargetMode="External" Id="rId315" /><Relationship Type="http://schemas.openxmlformats.org/officeDocument/2006/relationships/hyperlink" Target="http://bongsam.es.kr" TargetMode="External" Id="rId316" /><Relationship Type="http://schemas.openxmlformats.org/officeDocument/2006/relationships/hyperlink" Target="http://www.sinseon.es.kr/" TargetMode="External" Id="rId317" /><Relationship Type="http://schemas.openxmlformats.org/officeDocument/2006/relationships/hyperlink" Target="http://we.es.kr" TargetMode="External" Id="rId3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부산광역시 유치원·어린이집·초등학교 현황</t>
        </is>
      </c>
    </row>
    <row r="2">
      <c r="A2" s="2" t="inlineStr">
        <is>
          <t>수집일: 2026-09-23</t>
        </is>
      </c>
    </row>
    <row r="3">
      <c r="A3" s="2" t="inlineStr"/>
    </row>
    <row r="4">
      <c r="A4" s="3" t="inlineStr">
        <is>
          <t>■ 시트 구성</t>
        </is>
      </c>
    </row>
    <row r="5">
      <c r="A5" s="2" t="inlineStr">
        <is>
          <t>· 전체: 3개 유형 통합 목록 1,916곳 (원명/구분/홈페이지/전화/총 인원/나이별 인원 요약)</t>
        </is>
      </c>
    </row>
    <row r="6">
      <c r="A6" s="2" t="inlineStr">
        <is>
          <t>· 구군별 요약: 구·군별 기관 수와 인원 (수식으로 각 시트 집계)</t>
        </is>
      </c>
    </row>
    <row r="7">
      <c r="A7" s="2" t="inlineStr">
        <is>
          <t>· 유치원 379곳 — 만3·4·5세, 연령혼합반, 특수학급 원아수</t>
        </is>
      </c>
    </row>
    <row r="8">
      <c r="A8" s="2" t="inlineStr">
        <is>
          <t>· 어린이집 1,217곳 — 만0~5세, 혼합반, 장애아반, 기타 현원</t>
        </is>
      </c>
    </row>
    <row r="9">
      <c r="A9" s="2" t="inlineStr">
        <is>
          <t>· 초등학교 320곳 — 1~6학년, 특수·순회학급 학생수 (2026 공시 302곳 + 확인 필요 18곳, 목록 하단)</t>
        </is>
      </c>
    </row>
    <row r="10">
      <c r="A10" s="2" t="inlineStr"/>
    </row>
    <row r="11">
      <c r="A11" s="3" t="inlineStr">
        <is>
          <t>■ 출처</t>
        </is>
      </c>
    </row>
    <row r="12">
      <c r="A12" s="2" t="inlineStr">
        <is>
          <t>· 유치원·어린이집 목록/전화/홈페이지: 유치원알리미 통합검색 (e-childschoolinfo.moe.go.kr, 부산광역시)</t>
        </is>
      </c>
    </row>
    <row r="13">
      <c r="A13" s="2" t="inlineStr">
        <is>
          <t>· 유치원·어린이집 나이별 인원: 유치원알리미 비교 &gt; 학급·교육 (연령별 학급 현황의 "현원")</t>
        </is>
      </c>
    </row>
    <row r="14">
      <c r="A14" s="2" t="inlineStr">
        <is>
          <t>· 초등학교 목록/전화/홈페이지: 학교알리미 (schoolinfo.go.kr) 학교 기본정보</t>
        </is>
      </c>
    </row>
    <row r="15">
      <c r="A15" s="2" t="inlineStr">
        <is>
          <t>· 초등학교 학년별 학생수: 학교알리미 공시항목 3-가-3 "학년별·학급별 학생수" (2026년 4월 1일 기준, 5월 공시)</t>
        </is>
      </c>
    </row>
    <row r="16">
      <c r="A16" s="2" t="inlineStr"/>
    </row>
    <row r="17">
      <c r="A17" s="3" t="inlineStr">
        <is>
          <t>■ 해석 시 주의</t>
        </is>
      </c>
    </row>
    <row r="18">
      <c r="A18" s="2" t="inlineStr">
        <is>
          <t>· 나이는 "만 나이 반" 기준입니다. 유치원 만3세반은 2022년생, 초등 1학년은 2019년생(2026학년도).</t>
        </is>
      </c>
    </row>
    <row r="19">
      <c r="A19" s="2" t="inlineStr">
        <is>
          <t>· 어린이집의 "기타(연령구분 없음)"는 공시 원자료에서 연령반으로 분류되지 않은 현원입니다. 전체 현원의 약 20%를 차지하므로, 어린이집 만3~5세 인원은 실제보다 적게 잡혔을 가능성이 큽니다.</t>
        </is>
      </c>
    </row>
    <row r="20">
      <c r="A20" s="2" t="inlineStr">
        <is>
          <t>· 어린이집 정원/현원은 종일반 기준입니다(시간연장반·휴일반 제외). 어린이집정보공개포털은 이 환경에서 접속이 차단되어 교차검증하지 못했습니다.</t>
        </is>
      </c>
    </row>
    <row r="21">
      <c r="A21" s="2" t="inlineStr">
        <is>
          <t>· 연령혼합반·특수학급 인원은 나이를 특정할 수 없어 별도 열로 분리했습니다.</t>
        </is>
      </c>
    </row>
    <row r="22">
      <c r="A22" s="2" t="inlineStr">
        <is>
          <t>· 공식 홈페이지는 기관이 공시한 주소 그대로이며, 카페·블로그·인스타그램 주소가 포함되어 있습니다. 공란 = 미공시.</t>
        </is>
      </c>
    </row>
    <row r="23">
      <c r="A23" s="2" t="inlineStr">
        <is>
          <t>· 연령별 현원 미공시 기관(휴원·신설 등)은 비고에 표시하고 인원을 비워두었습니다.</t>
        </is>
      </c>
    </row>
    <row r="24">
      <c r="A24" s="2" t="inlineStr">
        <is>
          <t>· 초등학교 중 2026 공시가 없는 학교는 폐교·통폐합(예: 좌천초·좌성초·신선초·봉삼초 등) 가능성이 높아 목록 하단에 두고 요약 집계에서 제외했습니다.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4" t="inlineStr">
        <is>
          <t>구/군</t>
        </is>
      </c>
      <c r="B1" s="4" t="inlineStr">
        <is>
          <t>유치원 수</t>
        </is>
      </c>
      <c r="C1" s="4" t="inlineStr">
        <is>
          <t>유치원 원아</t>
        </is>
      </c>
      <c r="D1" s="4" t="inlineStr">
        <is>
          <t>어린이집 수</t>
        </is>
      </c>
      <c r="E1" s="4" t="inlineStr">
        <is>
          <t>어린이집 현원</t>
        </is>
      </c>
      <c r="F1" s="4" t="inlineStr">
        <is>
          <t>초등학교 수</t>
        </is>
      </c>
      <c r="G1" s="4" t="inlineStr">
        <is>
          <t>초등 학생</t>
        </is>
      </c>
      <c r="H1" s="4" t="inlineStr">
        <is>
          <t>기관 합계</t>
        </is>
      </c>
      <c r="I1" s="4" t="inlineStr">
        <is>
          <t>인원 합계</t>
        </is>
      </c>
    </row>
    <row r="2">
      <c r="A2" s="5" t="inlineStr">
        <is>
          <t>강서구</t>
        </is>
      </c>
      <c r="B2" s="6">
        <f>COUNTIFS(유치원!$D$2:$D$380,$A2)</f>
        <v/>
      </c>
      <c r="C2" s="6">
        <f>SUMIFS(유치원!$N$2:$N$380,유치원!$D$2:$D$380,$A2)</f>
        <v/>
      </c>
      <c r="D2" s="6">
        <f>COUNTIFS(어린이집!$D$2:$D$1218,$A2)</f>
        <v/>
      </c>
      <c r="E2" s="6">
        <f>SUMIFS(어린이집!$T$2:$T$1218,어린이집!$D$2:$D$1218,$A2)</f>
        <v/>
      </c>
      <c r="F2" s="6">
        <f>COUNTIFS(초등학교!$D$2:$D$321,$A2,초등학교!$H$2:$H$321,"2026")</f>
        <v/>
      </c>
      <c r="G2" s="6">
        <f>SUMIFS(초등학교!$Q$2:$Q$321,초등학교!$D$2:$D$321,$A2,초등학교!$H$2:$H$321,"2026")</f>
        <v/>
      </c>
      <c r="H2" s="6">
        <f>B2+D2+F2</f>
        <v/>
      </c>
      <c r="I2" s="6">
        <f>C2+E2+G2</f>
        <v/>
      </c>
    </row>
    <row r="3">
      <c r="A3" s="5" t="inlineStr">
        <is>
          <t>금정구</t>
        </is>
      </c>
      <c r="B3" s="6">
        <f>COUNTIFS(유치원!$D$2:$D$380,$A3)</f>
        <v/>
      </c>
      <c r="C3" s="6">
        <f>SUMIFS(유치원!$N$2:$N$380,유치원!$D$2:$D$380,$A3)</f>
        <v/>
      </c>
      <c r="D3" s="6">
        <f>COUNTIFS(어린이집!$D$2:$D$1218,$A3)</f>
        <v/>
      </c>
      <c r="E3" s="6">
        <f>SUMIFS(어린이집!$T$2:$T$1218,어린이집!$D$2:$D$1218,$A3)</f>
        <v/>
      </c>
      <c r="F3" s="6">
        <f>COUNTIFS(초등학교!$D$2:$D$321,$A3,초등학교!$H$2:$H$321,"2026")</f>
        <v/>
      </c>
      <c r="G3" s="6">
        <f>SUMIFS(초등학교!$Q$2:$Q$321,초등학교!$D$2:$D$321,$A3,초등학교!$H$2:$H$321,"2026")</f>
        <v/>
      </c>
      <c r="H3" s="6">
        <f>B3+D3+F3</f>
        <v/>
      </c>
      <c r="I3" s="6">
        <f>C3+E3+G3</f>
        <v/>
      </c>
    </row>
    <row r="4">
      <c r="A4" s="5" t="inlineStr">
        <is>
          <t>기장군</t>
        </is>
      </c>
      <c r="B4" s="6">
        <f>COUNTIFS(유치원!$D$2:$D$380,$A4)</f>
        <v/>
      </c>
      <c r="C4" s="6">
        <f>SUMIFS(유치원!$N$2:$N$380,유치원!$D$2:$D$380,$A4)</f>
        <v/>
      </c>
      <c r="D4" s="6">
        <f>COUNTIFS(어린이집!$D$2:$D$1218,$A4)</f>
        <v/>
      </c>
      <c r="E4" s="6">
        <f>SUMIFS(어린이집!$T$2:$T$1218,어린이집!$D$2:$D$1218,$A4)</f>
        <v/>
      </c>
      <c r="F4" s="6">
        <f>COUNTIFS(초등학교!$D$2:$D$321,$A4,초등학교!$H$2:$H$321,"2026")</f>
        <v/>
      </c>
      <c r="G4" s="6">
        <f>SUMIFS(초등학교!$Q$2:$Q$321,초등학교!$D$2:$D$321,$A4,초등학교!$H$2:$H$321,"2026")</f>
        <v/>
      </c>
      <c r="H4" s="6">
        <f>B4+D4+F4</f>
        <v/>
      </c>
      <c r="I4" s="6">
        <f>C4+E4+G4</f>
        <v/>
      </c>
    </row>
    <row r="5">
      <c r="A5" s="5" t="inlineStr">
        <is>
          <t>남구</t>
        </is>
      </c>
      <c r="B5" s="6">
        <f>COUNTIFS(유치원!$D$2:$D$380,$A5)</f>
        <v/>
      </c>
      <c r="C5" s="6">
        <f>SUMIFS(유치원!$N$2:$N$380,유치원!$D$2:$D$380,$A5)</f>
        <v/>
      </c>
      <c r="D5" s="6">
        <f>COUNTIFS(어린이집!$D$2:$D$1218,$A5)</f>
        <v/>
      </c>
      <c r="E5" s="6">
        <f>SUMIFS(어린이집!$T$2:$T$1218,어린이집!$D$2:$D$1218,$A5)</f>
        <v/>
      </c>
      <c r="F5" s="6">
        <f>COUNTIFS(초등학교!$D$2:$D$321,$A5,초등학교!$H$2:$H$321,"2026")</f>
        <v/>
      </c>
      <c r="G5" s="6">
        <f>SUMIFS(초등학교!$Q$2:$Q$321,초등학교!$D$2:$D$321,$A5,초등학교!$H$2:$H$321,"2026")</f>
        <v/>
      </c>
      <c r="H5" s="6">
        <f>B5+D5+F5</f>
        <v/>
      </c>
      <c r="I5" s="6">
        <f>C5+E5+G5</f>
        <v/>
      </c>
    </row>
    <row r="6">
      <c r="A6" s="5" t="inlineStr">
        <is>
          <t>동구</t>
        </is>
      </c>
      <c r="B6" s="6">
        <f>COUNTIFS(유치원!$D$2:$D$380,$A6)</f>
        <v/>
      </c>
      <c r="C6" s="6">
        <f>SUMIFS(유치원!$N$2:$N$380,유치원!$D$2:$D$380,$A6)</f>
        <v/>
      </c>
      <c r="D6" s="6">
        <f>COUNTIFS(어린이집!$D$2:$D$1218,$A6)</f>
        <v/>
      </c>
      <c r="E6" s="6">
        <f>SUMIFS(어린이집!$T$2:$T$1218,어린이집!$D$2:$D$1218,$A6)</f>
        <v/>
      </c>
      <c r="F6" s="6">
        <f>COUNTIFS(초등학교!$D$2:$D$321,$A6,초등학교!$H$2:$H$321,"2026")</f>
        <v/>
      </c>
      <c r="G6" s="6">
        <f>SUMIFS(초등학교!$Q$2:$Q$321,초등학교!$D$2:$D$321,$A6,초등학교!$H$2:$H$321,"2026")</f>
        <v/>
      </c>
      <c r="H6" s="6">
        <f>B6+D6+F6</f>
        <v/>
      </c>
      <c r="I6" s="6">
        <f>C6+E6+G6</f>
        <v/>
      </c>
    </row>
    <row r="7">
      <c r="A7" s="5" t="inlineStr">
        <is>
          <t>동래구</t>
        </is>
      </c>
      <c r="B7" s="6">
        <f>COUNTIFS(유치원!$D$2:$D$380,$A7)</f>
        <v/>
      </c>
      <c r="C7" s="6">
        <f>SUMIFS(유치원!$N$2:$N$380,유치원!$D$2:$D$380,$A7)</f>
        <v/>
      </c>
      <c r="D7" s="6">
        <f>COUNTIFS(어린이집!$D$2:$D$1218,$A7)</f>
        <v/>
      </c>
      <c r="E7" s="6">
        <f>SUMIFS(어린이집!$T$2:$T$1218,어린이집!$D$2:$D$1218,$A7)</f>
        <v/>
      </c>
      <c r="F7" s="6">
        <f>COUNTIFS(초등학교!$D$2:$D$321,$A7,초등학교!$H$2:$H$321,"2026")</f>
        <v/>
      </c>
      <c r="G7" s="6">
        <f>SUMIFS(초등학교!$Q$2:$Q$321,초등학교!$D$2:$D$321,$A7,초등학교!$H$2:$H$321,"2026")</f>
        <v/>
      </c>
      <c r="H7" s="6">
        <f>B7+D7+F7</f>
        <v/>
      </c>
      <c r="I7" s="6">
        <f>C7+E7+G7</f>
        <v/>
      </c>
    </row>
    <row r="8">
      <c r="A8" s="5" t="inlineStr">
        <is>
          <t>부산진구</t>
        </is>
      </c>
      <c r="B8" s="6">
        <f>COUNTIFS(유치원!$D$2:$D$380,$A8)</f>
        <v/>
      </c>
      <c r="C8" s="6">
        <f>SUMIFS(유치원!$N$2:$N$380,유치원!$D$2:$D$380,$A8)</f>
        <v/>
      </c>
      <c r="D8" s="6">
        <f>COUNTIFS(어린이집!$D$2:$D$1218,$A8)</f>
        <v/>
      </c>
      <c r="E8" s="6">
        <f>SUMIFS(어린이집!$T$2:$T$1218,어린이집!$D$2:$D$1218,$A8)</f>
        <v/>
      </c>
      <c r="F8" s="6">
        <f>COUNTIFS(초등학교!$D$2:$D$321,$A8,초등학교!$H$2:$H$321,"2026")</f>
        <v/>
      </c>
      <c r="G8" s="6">
        <f>SUMIFS(초등학교!$Q$2:$Q$321,초등학교!$D$2:$D$321,$A8,초등학교!$H$2:$H$321,"2026")</f>
        <v/>
      </c>
      <c r="H8" s="6">
        <f>B8+D8+F8</f>
        <v/>
      </c>
      <c r="I8" s="6">
        <f>C8+E8+G8</f>
        <v/>
      </c>
    </row>
    <row r="9">
      <c r="A9" s="5" t="inlineStr">
        <is>
          <t>북구</t>
        </is>
      </c>
      <c r="B9" s="6">
        <f>COUNTIFS(유치원!$D$2:$D$380,$A9)</f>
        <v/>
      </c>
      <c r="C9" s="6">
        <f>SUMIFS(유치원!$N$2:$N$380,유치원!$D$2:$D$380,$A9)</f>
        <v/>
      </c>
      <c r="D9" s="6">
        <f>COUNTIFS(어린이집!$D$2:$D$1218,$A9)</f>
        <v/>
      </c>
      <c r="E9" s="6">
        <f>SUMIFS(어린이집!$T$2:$T$1218,어린이집!$D$2:$D$1218,$A9)</f>
        <v/>
      </c>
      <c r="F9" s="6">
        <f>COUNTIFS(초등학교!$D$2:$D$321,$A9,초등학교!$H$2:$H$321,"2026")</f>
        <v/>
      </c>
      <c r="G9" s="6">
        <f>SUMIFS(초등학교!$Q$2:$Q$321,초등학교!$D$2:$D$321,$A9,초등학교!$H$2:$H$321,"2026")</f>
        <v/>
      </c>
      <c r="H9" s="6">
        <f>B9+D9+F9</f>
        <v/>
      </c>
      <c r="I9" s="6">
        <f>C9+E9+G9</f>
        <v/>
      </c>
    </row>
    <row r="10">
      <c r="A10" s="5" t="inlineStr">
        <is>
          <t>사상구</t>
        </is>
      </c>
      <c r="B10" s="6">
        <f>COUNTIFS(유치원!$D$2:$D$380,$A10)</f>
        <v/>
      </c>
      <c r="C10" s="6">
        <f>SUMIFS(유치원!$N$2:$N$380,유치원!$D$2:$D$380,$A10)</f>
        <v/>
      </c>
      <c r="D10" s="6">
        <f>COUNTIFS(어린이집!$D$2:$D$1218,$A10)</f>
        <v/>
      </c>
      <c r="E10" s="6">
        <f>SUMIFS(어린이집!$T$2:$T$1218,어린이집!$D$2:$D$1218,$A10)</f>
        <v/>
      </c>
      <c r="F10" s="6">
        <f>COUNTIFS(초등학교!$D$2:$D$321,$A10,초등학교!$H$2:$H$321,"2026")</f>
        <v/>
      </c>
      <c r="G10" s="6">
        <f>SUMIFS(초등학교!$Q$2:$Q$321,초등학교!$D$2:$D$321,$A10,초등학교!$H$2:$H$321,"2026")</f>
        <v/>
      </c>
      <c r="H10" s="6">
        <f>B10+D10+F10</f>
        <v/>
      </c>
      <c r="I10" s="6">
        <f>C10+E10+G10</f>
        <v/>
      </c>
    </row>
    <row r="11">
      <c r="A11" s="5" t="inlineStr">
        <is>
          <t>사하구</t>
        </is>
      </c>
      <c r="B11" s="6">
        <f>COUNTIFS(유치원!$D$2:$D$380,$A11)</f>
        <v/>
      </c>
      <c r="C11" s="6">
        <f>SUMIFS(유치원!$N$2:$N$380,유치원!$D$2:$D$380,$A11)</f>
        <v/>
      </c>
      <c r="D11" s="6">
        <f>COUNTIFS(어린이집!$D$2:$D$1218,$A11)</f>
        <v/>
      </c>
      <c r="E11" s="6">
        <f>SUMIFS(어린이집!$T$2:$T$1218,어린이집!$D$2:$D$1218,$A11)</f>
        <v/>
      </c>
      <c r="F11" s="6">
        <f>COUNTIFS(초등학교!$D$2:$D$321,$A11,초등학교!$H$2:$H$321,"2026")</f>
        <v/>
      </c>
      <c r="G11" s="6">
        <f>SUMIFS(초등학교!$Q$2:$Q$321,초등학교!$D$2:$D$321,$A11,초등학교!$H$2:$H$321,"2026")</f>
        <v/>
      </c>
      <c r="H11" s="6">
        <f>B11+D11+F11</f>
        <v/>
      </c>
      <c r="I11" s="6">
        <f>C11+E11+G11</f>
        <v/>
      </c>
    </row>
    <row r="12">
      <c r="A12" s="5" t="inlineStr">
        <is>
          <t>서구</t>
        </is>
      </c>
      <c r="B12" s="6">
        <f>COUNTIFS(유치원!$D$2:$D$380,$A12)</f>
        <v/>
      </c>
      <c r="C12" s="6">
        <f>SUMIFS(유치원!$N$2:$N$380,유치원!$D$2:$D$380,$A12)</f>
        <v/>
      </c>
      <c r="D12" s="6">
        <f>COUNTIFS(어린이집!$D$2:$D$1218,$A12)</f>
        <v/>
      </c>
      <c r="E12" s="6">
        <f>SUMIFS(어린이집!$T$2:$T$1218,어린이집!$D$2:$D$1218,$A12)</f>
        <v/>
      </c>
      <c r="F12" s="6">
        <f>COUNTIFS(초등학교!$D$2:$D$321,$A12,초등학교!$H$2:$H$321,"2026")</f>
        <v/>
      </c>
      <c r="G12" s="6">
        <f>SUMIFS(초등학교!$Q$2:$Q$321,초등학교!$D$2:$D$321,$A12,초등학교!$H$2:$H$321,"2026")</f>
        <v/>
      </c>
      <c r="H12" s="6">
        <f>B12+D12+F12</f>
        <v/>
      </c>
      <c r="I12" s="6">
        <f>C12+E12+G12</f>
        <v/>
      </c>
    </row>
    <row r="13">
      <c r="A13" s="5" t="inlineStr">
        <is>
          <t>수영구</t>
        </is>
      </c>
      <c r="B13" s="6">
        <f>COUNTIFS(유치원!$D$2:$D$380,$A13)</f>
        <v/>
      </c>
      <c r="C13" s="6">
        <f>SUMIFS(유치원!$N$2:$N$380,유치원!$D$2:$D$380,$A13)</f>
        <v/>
      </c>
      <c r="D13" s="6">
        <f>COUNTIFS(어린이집!$D$2:$D$1218,$A13)</f>
        <v/>
      </c>
      <c r="E13" s="6">
        <f>SUMIFS(어린이집!$T$2:$T$1218,어린이집!$D$2:$D$1218,$A13)</f>
        <v/>
      </c>
      <c r="F13" s="6">
        <f>COUNTIFS(초등학교!$D$2:$D$321,$A13,초등학교!$H$2:$H$321,"2026")</f>
        <v/>
      </c>
      <c r="G13" s="6">
        <f>SUMIFS(초등학교!$Q$2:$Q$321,초등학교!$D$2:$D$321,$A13,초등학교!$H$2:$H$321,"2026")</f>
        <v/>
      </c>
      <c r="H13" s="6">
        <f>B13+D13+F13</f>
        <v/>
      </c>
      <c r="I13" s="6">
        <f>C13+E13+G13</f>
        <v/>
      </c>
    </row>
    <row r="14">
      <c r="A14" s="5" t="inlineStr">
        <is>
          <t>연제구</t>
        </is>
      </c>
      <c r="B14" s="6">
        <f>COUNTIFS(유치원!$D$2:$D$380,$A14)</f>
        <v/>
      </c>
      <c r="C14" s="6">
        <f>SUMIFS(유치원!$N$2:$N$380,유치원!$D$2:$D$380,$A14)</f>
        <v/>
      </c>
      <c r="D14" s="6">
        <f>COUNTIFS(어린이집!$D$2:$D$1218,$A14)</f>
        <v/>
      </c>
      <c r="E14" s="6">
        <f>SUMIFS(어린이집!$T$2:$T$1218,어린이집!$D$2:$D$1218,$A14)</f>
        <v/>
      </c>
      <c r="F14" s="6">
        <f>COUNTIFS(초등학교!$D$2:$D$321,$A14,초등학교!$H$2:$H$321,"2026")</f>
        <v/>
      </c>
      <c r="G14" s="6">
        <f>SUMIFS(초등학교!$Q$2:$Q$321,초등학교!$D$2:$D$321,$A14,초등학교!$H$2:$H$321,"2026")</f>
        <v/>
      </c>
      <c r="H14" s="6">
        <f>B14+D14+F14</f>
        <v/>
      </c>
      <c r="I14" s="6">
        <f>C14+E14+G14</f>
        <v/>
      </c>
    </row>
    <row r="15">
      <c r="A15" s="5" t="inlineStr">
        <is>
          <t>영도구</t>
        </is>
      </c>
      <c r="B15" s="6">
        <f>COUNTIFS(유치원!$D$2:$D$380,$A15)</f>
        <v/>
      </c>
      <c r="C15" s="6">
        <f>SUMIFS(유치원!$N$2:$N$380,유치원!$D$2:$D$380,$A15)</f>
        <v/>
      </c>
      <c r="D15" s="6">
        <f>COUNTIFS(어린이집!$D$2:$D$1218,$A15)</f>
        <v/>
      </c>
      <c r="E15" s="6">
        <f>SUMIFS(어린이집!$T$2:$T$1218,어린이집!$D$2:$D$1218,$A15)</f>
        <v/>
      </c>
      <c r="F15" s="6">
        <f>COUNTIFS(초등학교!$D$2:$D$321,$A15,초등학교!$H$2:$H$321,"2026")</f>
        <v/>
      </c>
      <c r="G15" s="6">
        <f>SUMIFS(초등학교!$Q$2:$Q$321,초등학교!$D$2:$D$321,$A15,초등학교!$H$2:$H$321,"2026")</f>
        <v/>
      </c>
      <c r="H15" s="6">
        <f>B15+D15+F15</f>
        <v/>
      </c>
      <c r="I15" s="6">
        <f>C15+E15+G15</f>
        <v/>
      </c>
    </row>
    <row r="16">
      <c r="A16" s="5" t="inlineStr">
        <is>
          <t>중구</t>
        </is>
      </c>
      <c r="B16" s="6">
        <f>COUNTIFS(유치원!$D$2:$D$380,$A16)</f>
        <v/>
      </c>
      <c r="C16" s="6">
        <f>SUMIFS(유치원!$N$2:$N$380,유치원!$D$2:$D$380,$A16)</f>
        <v/>
      </c>
      <c r="D16" s="6">
        <f>COUNTIFS(어린이집!$D$2:$D$1218,$A16)</f>
        <v/>
      </c>
      <c r="E16" s="6">
        <f>SUMIFS(어린이집!$T$2:$T$1218,어린이집!$D$2:$D$1218,$A16)</f>
        <v/>
      </c>
      <c r="F16" s="6">
        <f>COUNTIFS(초등학교!$D$2:$D$321,$A16,초등학교!$H$2:$H$321,"2026")</f>
        <v/>
      </c>
      <c r="G16" s="6">
        <f>SUMIFS(초등학교!$Q$2:$Q$321,초등학교!$D$2:$D$321,$A16,초등학교!$H$2:$H$321,"2026")</f>
        <v/>
      </c>
      <c r="H16" s="6">
        <f>B16+D16+F16</f>
        <v/>
      </c>
      <c r="I16" s="6">
        <f>C16+E16+G16</f>
        <v/>
      </c>
    </row>
    <row r="17">
      <c r="A17" s="5" t="inlineStr">
        <is>
          <t>해운대구</t>
        </is>
      </c>
      <c r="B17" s="6">
        <f>COUNTIFS(유치원!$D$2:$D$380,$A17)</f>
        <v/>
      </c>
      <c r="C17" s="6">
        <f>SUMIFS(유치원!$N$2:$N$380,유치원!$D$2:$D$380,$A17)</f>
        <v/>
      </c>
      <c r="D17" s="6">
        <f>COUNTIFS(어린이집!$D$2:$D$1218,$A17)</f>
        <v/>
      </c>
      <c r="E17" s="6">
        <f>SUMIFS(어린이집!$T$2:$T$1218,어린이집!$D$2:$D$1218,$A17)</f>
        <v/>
      </c>
      <c r="F17" s="6">
        <f>COUNTIFS(초등학교!$D$2:$D$321,$A17,초등학교!$H$2:$H$321,"2026")</f>
        <v/>
      </c>
      <c r="G17" s="6">
        <f>SUMIFS(초등학교!$Q$2:$Q$321,초등학교!$D$2:$D$321,$A17,초등학교!$H$2:$H$321,"2026")</f>
        <v/>
      </c>
      <c r="H17" s="6">
        <f>B17+D17+F17</f>
        <v/>
      </c>
      <c r="I17" s="6">
        <f>C17+E17+G17</f>
        <v/>
      </c>
    </row>
    <row r="18">
      <c r="A18" s="7" t="inlineStr">
        <is>
          <t>합계</t>
        </is>
      </c>
      <c r="B18" s="8">
        <f>SUM(B2:B17)</f>
        <v/>
      </c>
      <c r="C18" s="8">
        <f>SUM(C2:C17)</f>
        <v/>
      </c>
      <c r="D18" s="8">
        <f>SUM(D2:D17)</f>
        <v/>
      </c>
      <c r="E18" s="8">
        <f>SUM(E2:E17)</f>
        <v/>
      </c>
      <c r="F18" s="8">
        <f>SUM(F2:F17)</f>
        <v/>
      </c>
      <c r="G18" s="8">
        <f>SUM(G2:G17)</f>
        <v/>
      </c>
      <c r="H18" s="8">
        <f>SUM(H2:H17)</f>
        <v/>
      </c>
      <c r="I18" s="8">
        <f>SUM(I2:I17)</f>
        <v/>
      </c>
    </row>
    <row r="20">
      <c r="A20" s="9" t="inlineStr">
        <is>
          <t>※ 초등학교 수·학생은 2026년 공시가 있는 학교만 집계(폐교·통폐합 추정 학교 제외). 인원은 각 시트의 합계 열을 참조합니다.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3" customWidth="1" min="3" max="3"/>
    <col width="9" customWidth="1" min="4" max="4"/>
    <col width="40" customWidth="1" min="5" max="5"/>
    <col width="34" customWidth="1" min="6" max="6"/>
    <col width="14" customWidth="1" min="7" max="7"/>
    <col width="11" customWidth="1" min="8" max="8"/>
    <col width="60" customWidth="1" min="9" max="9"/>
  </cols>
  <sheetData>
    <row r="1" ht="28" customHeight="1">
      <c r="A1" s="10" t="inlineStr">
        <is>
          <t>원명(학교명)</t>
        </is>
      </c>
      <c r="B1" s="10" t="inlineStr">
        <is>
          <t>구분</t>
        </is>
      </c>
      <c r="C1" s="10" t="inlineStr">
        <is>
          <t>설립유형</t>
        </is>
      </c>
      <c r="D1" s="10" t="inlineStr">
        <is>
          <t>구/군</t>
        </is>
      </c>
      <c r="E1" s="10" t="inlineStr">
        <is>
          <t>주소</t>
        </is>
      </c>
      <c r="F1" s="10" t="inlineStr">
        <is>
          <t>공식 홈페이지</t>
        </is>
      </c>
      <c r="G1" s="10" t="inlineStr">
        <is>
          <t>전화번호</t>
        </is>
      </c>
      <c r="H1" s="10" t="inlineStr">
        <is>
          <t>총 인원(현원)</t>
        </is>
      </c>
      <c r="I1" s="10" t="inlineStr">
        <is>
          <t>나이별 인원 요약</t>
        </is>
      </c>
    </row>
    <row r="2">
      <c r="A2" s="5" t="inlineStr">
        <is>
          <t>가락초등학교병설유치원</t>
        </is>
      </c>
      <c r="B2" s="5" t="inlineStr">
        <is>
          <t>유치원</t>
        </is>
      </c>
      <c r="C2" s="5" t="inlineStr">
        <is>
          <t>공립(병설)</t>
        </is>
      </c>
      <c r="D2" s="5" t="inlineStr">
        <is>
          <t>강서구</t>
        </is>
      </c>
      <c r="E2" s="5" t="inlineStr">
        <is>
          <t>부산광역시 강서구 호계로 41</t>
        </is>
      </c>
      <c r="F2" s="11" t="inlineStr">
        <is>
          <t>http://school.busanedu.net/garak-k/main.do</t>
        </is>
      </c>
      <c r="G2" s="5" t="inlineStr">
        <is>
          <t>051-971-8930</t>
        </is>
      </c>
      <c r="H2" s="12">
        <f>유치원!N2</f>
        <v/>
      </c>
      <c r="I2" s="5" t="inlineStr"/>
    </row>
    <row r="3">
      <c r="A3" s="5" t="inlineStr">
        <is>
          <t>강서유치원</t>
        </is>
      </c>
      <c r="B3" s="5" t="inlineStr">
        <is>
          <t>유치원</t>
        </is>
      </c>
      <c r="C3" s="5" t="inlineStr">
        <is>
          <t>공립(단설)</t>
        </is>
      </c>
      <c r="D3" s="5" t="inlineStr">
        <is>
          <t>강서구</t>
        </is>
      </c>
      <c r="E3" s="5" t="inlineStr">
        <is>
          <t>부산광역시 강서구 에코델타4로 93</t>
        </is>
      </c>
      <c r="F3" s="11" t="inlineStr">
        <is>
          <t>https://school.busanedu.net/gangseo-k</t>
        </is>
      </c>
      <c r="G3" s="5" t="inlineStr">
        <is>
          <t>051-911-2004</t>
        </is>
      </c>
      <c r="H3" s="12">
        <f>유치원!N3</f>
        <v/>
      </c>
      <c r="I3" s="5" t="inlineStr">
        <is>
          <t>만3세 98 / 만4세 94 / 만5세 81 / 특수학급 1</t>
        </is>
      </c>
    </row>
    <row r="4">
      <c r="A4" s="5" t="inlineStr">
        <is>
          <t>기린유치원</t>
        </is>
      </c>
      <c r="B4" s="5" t="inlineStr">
        <is>
          <t>유치원</t>
        </is>
      </c>
      <c r="C4" s="5" t="inlineStr">
        <is>
          <t>사립(사인)</t>
        </is>
      </c>
      <c r="D4" s="5" t="inlineStr">
        <is>
          <t>강서구</t>
        </is>
      </c>
      <c r="E4" s="5" t="inlineStr">
        <is>
          <t>부산광역시 강서구 과학산단로334번다길 59</t>
        </is>
      </c>
      <c r="F4" s="11" t="inlineStr">
        <is>
          <t>https://school.busanedu.net/girin-k/</t>
        </is>
      </c>
      <c r="G4" s="5" t="inlineStr">
        <is>
          <t>051-941-7741</t>
        </is>
      </c>
      <c r="H4" s="12">
        <f>유치원!N4</f>
        <v/>
      </c>
      <c r="I4" s="5" t="inlineStr">
        <is>
          <t>만3세 26 / 만4세 13 / 만5세 26 / 연령혼합반 12</t>
        </is>
      </c>
    </row>
    <row r="5">
      <c r="A5" s="5" t="inlineStr">
        <is>
          <t>남명유치원</t>
        </is>
      </c>
      <c r="B5" s="5" t="inlineStr">
        <is>
          <t>유치원</t>
        </is>
      </c>
      <c r="C5" s="5" t="inlineStr">
        <is>
          <t>공립(단설)</t>
        </is>
      </c>
      <c r="D5" s="5" t="inlineStr">
        <is>
          <t>강서구</t>
        </is>
      </c>
      <c r="E5" s="5" t="inlineStr">
        <is>
          <t>부산광역시 강서구 명지오션시티11로 132</t>
        </is>
      </c>
      <c r="F5" s="11" t="inlineStr">
        <is>
          <t>http://school.busanedu.net/nammyeong-k</t>
        </is>
      </c>
      <c r="G5" s="5" t="inlineStr">
        <is>
          <t>051-271-7667</t>
        </is>
      </c>
      <c r="H5" s="12">
        <f>유치원!N5</f>
        <v/>
      </c>
      <c r="I5" s="5" t="inlineStr">
        <is>
          <t>만3세 27 / 만4세 37 / 만5세 25 / 특수학급 2</t>
        </is>
      </c>
    </row>
    <row r="6">
      <c r="A6" s="5" t="inlineStr">
        <is>
          <t>녹산유치원</t>
        </is>
      </c>
      <c r="B6" s="5" t="inlineStr">
        <is>
          <t>유치원</t>
        </is>
      </c>
      <c r="C6" s="5" t="inlineStr">
        <is>
          <t>공립(단설)</t>
        </is>
      </c>
      <c r="D6" s="5" t="inlineStr">
        <is>
          <t>강서구</t>
        </is>
      </c>
      <c r="E6" s="5" t="inlineStr">
        <is>
          <t>부산광역시 강서구 과학산단2로20번길 55</t>
        </is>
      </c>
      <c r="F6" s="11" t="inlineStr">
        <is>
          <t>http://school.busanedu.net/noksan-k/</t>
        </is>
      </c>
      <c r="G6" s="5" t="inlineStr">
        <is>
          <t>051-790-2100</t>
        </is>
      </c>
      <c r="H6" s="12">
        <f>유치원!N6</f>
        <v/>
      </c>
      <c r="I6" s="5" t="inlineStr">
        <is>
          <t>만3세 23 / 만4세 36 / 만5세 49 / 특수학급 2</t>
        </is>
      </c>
    </row>
    <row r="7">
      <c r="A7" s="5" t="inlineStr">
        <is>
          <t>대저유치원</t>
        </is>
      </c>
      <c r="B7" s="5" t="inlineStr">
        <is>
          <t>유치원</t>
        </is>
      </c>
      <c r="C7" s="5" t="inlineStr">
        <is>
          <t>사립(사인)</t>
        </is>
      </c>
      <c r="D7" s="5" t="inlineStr">
        <is>
          <t>강서구</t>
        </is>
      </c>
      <c r="E7" s="5" t="inlineStr">
        <is>
          <t>부산광역시 강서구 공항로767번나길 7</t>
        </is>
      </c>
      <c r="F7" s="11" t="inlineStr">
        <is>
          <t>https://school.busanedu.net/Daejeo-k</t>
        </is>
      </c>
      <c r="G7" s="5" t="inlineStr">
        <is>
          <t>051-973-4026</t>
        </is>
      </c>
      <c r="H7" s="12">
        <f>유치원!N7</f>
        <v/>
      </c>
      <c r="I7" s="5" t="inlineStr">
        <is>
          <t>만3세 32 / 만4세 22 / 만5세 32 / 연령혼합반 20</t>
        </is>
      </c>
    </row>
    <row r="8">
      <c r="A8" s="5" t="inlineStr">
        <is>
          <t>명원초등학교병설유치원</t>
        </is>
      </c>
      <c r="B8" s="5" t="inlineStr">
        <is>
          <t>유치원</t>
        </is>
      </c>
      <c r="C8" s="5" t="inlineStr">
        <is>
          <t>공립(병설)</t>
        </is>
      </c>
      <c r="D8" s="5" t="inlineStr">
        <is>
          <t>강서구</t>
        </is>
      </c>
      <c r="E8" s="5" t="inlineStr">
        <is>
          <t>부산광역시 강서구 명지국제6로 147</t>
        </is>
      </c>
      <c r="F8" s="11" t="inlineStr">
        <is>
          <t>http://school.busanedu.net/myoungwon-k</t>
        </is>
      </c>
      <c r="G8" s="5" t="inlineStr">
        <is>
          <t>051-250-3400</t>
        </is>
      </c>
      <c r="H8" s="12">
        <f>유치원!N8</f>
        <v/>
      </c>
      <c r="I8" s="5" t="inlineStr">
        <is>
          <t>만3세 14 / 만4세 24 / 만5세 20</t>
        </is>
      </c>
    </row>
    <row r="9">
      <c r="A9" s="5" t="inlineStr">
        <is>
          <t>명일유치원</t>
        </is>
      </c>
      <c r="B9" s="5" t="inlineStr">
        <is>
          <t>유치원</t>
        </is>
      </c>
      <c r="C9" s="5" t="inlineStr">
        <is>
          <t>공립(단설)</t>
        </is>
      </c>
      <c r="D9" s="5" t="inlineStr">
        <is>
          <t>강서구</t>
        </is>
      </c>
      <c r="E9" s="5" t="inlineStr">
        <is>
          <t>부산광역시 강서구 명지국제5로 170-5</t>
        </is>
      </c>
      <c r="F9" s="11" t="inlineStr">
        <is>
          <t>https://school.busanedu.net/myeong1-k</t>
        </is>
      </c>
      <c r="G9" s="5" t="inlineStr">
        <is>
          <t>051-290-3400</t>
        </is>
      </c>
      <c r="H9" s="12">
        <f>유치원!N9</f>
        <v/>
      </c>
      <c r="I9" s="5" t="inlineStr">
        <is>
          <t>만3세 27 / 만4세 31 / 만5세 38 / 특수학급 4</t>
        </is>
      </c>
    </row>
    <row r="10">
      <c r="A10" s="5" t="inlineStr">
        <is>
          <t>명지가온유치원</t>
        </is>
      </c>
      <c r="B10" s="5" t="inlineStr">
        <is>
          <t>유치원</t>
        </is>
      </c>
      <c r="C10" s="5" t="inlineStr">
        <is>
          <t>공립(단설)</t>
        </is>
      </c>
      <c r="D10" s="5" t="inlineStr">
        <is>
          <t>강서구</t>
        </is>
      </c>
      <c r="E10" s="5" t="inlineStr">
        <is>
          <t>부산광역시 강서구 명지오션시티6로 69</t>
        </is>
      </c>
      <c r="F10" s="11" t="inlineStr">
        <is>
          <t>https://school.busanedu.net/myeongjigaon-k/main.do</t>
        </is>
      </c>
      <c r="G10" s="5" t="inlineStr">
        <is>
          <t>051-609-1500</t>
        </is>
      </c>
      <c r="H10" s="12">
        <f>유치원!N10</f>
        <v/>
      </c>
      <c r="I10" s="5" t="inlineStr">
        <is>
          <t>만3세 98 / 만4세 127 / 만5세 134 / 특수학급 9</t>
        </is>
      </c>
    </row>
    <row r="11">
      <c r="A11" s="5" t="inlineStr">
        <is>
          <t>명지국제유치원</t>
        </is>
      </c>
      <c r="B11" s="5" t="inlineStr">
        <is>
          <t>유치원</t>
        </is>
      </c>
      <c r="C11" s="5" t="inlineStr">
        <is>
          <t>사립(사인)</t>
        </is>
      </c>
      <c r="D11" s="5" t="inlineStr">
        <is>
          <t>강서구</t>
        </is>
      </c>
      <c r="E11" s="5" t="inlineStr">
        <is>
          <t>부산광역시 강서구 명지국제7로 186</t>
        </is>
      </c>
      <c r="F11" s="5" t="inlineStr"/>
      <c r="G11" s="5" t="inlineStr">
        <is>
          <t>051-293-7722</t>
        </is>
      </c>
      <c r="H11" s="12">
        <f>유치원!N11</f>
        <v/>
      </c>
      <c r="I11" s="5" t="inlineStr">
        <is>
          <t>만3세 48 / 만4세 162 / 만5세 77 / 연령혼합반 162</t>
        </is>
      </c>
    </row>
    <row r="12">
      <c r="A12" s="5" t="inlineStr">
        <is>
          <t>명지꿈자람유치원</t>
        </is>
      </c>
      <c r="B12" s="5" t="inlineStr">
        <is>
          <t>유치원</t>
        </is>
      </c>
      <c r="C12" s="5" t="inlineStr">
        <is>
          <t>공립(단설)</t>
        </is>
      </c>
      <c r="D12" s="5" t="inlineStr">
        <is>
          <t>강서구</t>
        </is>
      </c>
      <c r="E12" s="5" t="inlineStr">
        <is>
          <t>부산광역시 강서구 명지국제8로 199</t>
        </is>
      </c>
      <c r="F12" s="11" t="inlineStr">
        <is>
          <t>https://school.busanedu.net/myungjidream-k/main.do</t>
        </is>
      </c>
      <c r="G12" s="5" t="inlineStr">
        <is>
          <t>051-609-1900</t>
        </is>
      </c>
      <c r="H12" s="12">
        <f>유치원!N12</f>
        <v/>
      </c>
      <c r="I12" s="5" t="inlineStr">
        <is>
          <t>만3세 56 / 만4세 76 / 만5세 79</t>
        </is>
      </c>
    </row>
    <row r="13">
      <c r="A13" s="5" t="inlineStr">
        <is>
          <t>명지배화유치원</t>
        </is>
      </c>
      <c r="B13" s="5" t="inlineStr">
        <is>
          <t>유치원</t>
        </is>
      </c>
      <c r="C13" s="5" t="inlineStr">
        <is>
          <t>사립(사인)</t>
        </is>
      </c>
      <c r="D13" s="5" t="inlineStr">
        <is>
          <t>강서구</t>
        </is>
      </c>
      <c r="E13" s="5" t="inlineStr">
        <is>
          <t>부산광역시 강서구 영강길 165</t>
        </is>
      </c>
      <c r="F13" s="11" t="inlineStr">
        <is>
          <t>https://school.busanedu.net/mjbaewha-k</t>
        </is>
      </c>
      <c r="G13" s="5" t="inlineStr">
        <is>
          <t>051-714-1902</t>
        </is>
      </c>
      <c r="H13" s="12">
        <f>유치원!N13</f>
        <v/>
      </c>
      <c r="I13" s="5" t="inlineStr">
        <is>
          <t>만3세 64 / 만4세 96 / 만5세 104</t>
        </is>
      </c>
    </row>
    <row r="14">
      <c r="A14" s="5" t="inlineStr">
        <is>
          <t>명지센텀유치원</t>
        </is>
      </c>
      <c r="B14" s="5" t="inlineStr">
        <is>
          <t>유치원</t>
        </is>
      </c>
      <c r="C14" s="5" t="inlineStr">
        <is>
          <t>사립(사인)</t>
        </is>
      </c>
      <c r="D14" s="5" t="inlineStr">
        <is>
          <t>강서구</t>
        </is>
      </c>
      <c r="E14" s="5" t="inlineStr">
        <is>
          <t>부산광역시 강서구 명지오션시티9로 53</t>
        </is>
      </c>
      <c r="F14" s="5" t="inlineStr"/>
      <c r="G14" s="5" t="inlineStr">
        <is>
          <t>051-714-2000</t>
        </is>
      </c>
      <c r="H14" s="12">
        <f>유치원!N14</f>
        <v/>
      </c>
      <c r="I14" s="5" t="inlineStr">
        <is>
          <t>연령혼합반 314</t>
        </is>
      </c>
    </row>
    <row r="15">
      <c r="A15" s="5" t="inlineStr">
        <is>
          <t>명지유치원</t>
        </is>
      </c>
      <c r="B15" s="5" t="inlineStr">
        <is>
          <t>유치원</t>
        </is>
      </c>
      <c r="C15" s="5" t="inlineStr">
        <is>
          <t>공립(단설)</t>
        </is>
      </c>
      <c r="D15" s="5" t="inlineStr">
        <is>
          <t>강서구</t>
        </is>
      </c>
      <c r="E15" s="5" t="inlineStr">
        <is>
          <t>부산광역시 강서구 명지국제6로 296</t>
        </is>
      </c>
      <c r="F15" s="11" t="inlineStr">
        <is>
          <t>http://school.busanedu.net/myungji-k/main.do</t>
        </is>
      </c>
      <c r="G15" s="5" t="inlineStr">
        <is>
          <t>051-203-4890</t>
        </is>
      </c>
      <c r="H15" s="12">
        <f>유치원!N15</f>
        <v/>
      </c>
      <c r="I15" s="5" t="inlineStr">
        <is>
          <t>만3세 28 / 만4세 18 / 만5세 38 / 특수학급 3</t>
        </is>
      </c>
    </row>
    <row r="16">
      <c r="A16" s="5" t="inlineStr">
        <is>
          <t>명지자연유치원</t>
        </is>
      </c>
      <c r="B16" s="5" t="inlineStr">
        <is>
          <t>유치원</t>
        </is>
      </c>
      <c r="C16" s="5" t="inlineStr">
        <is>
          <t>사립(사인)</t>
        </is>
      </c>
      <c r="D16" s="5" t="inlineStr">
        <is>
          <t>강서구</t>
        </is>
      </c>
      <c r="E16" s="5" t="inlineStr">
        <is>
          <t>부산광역시 강서구 신호산단1로140번길 16-3</t>
        </is>
      </c>
      <c r="F16" s="5" t="inlineStr"/>
      <c r="G16" s="5" t="inlineStr">
        <is>
          <t>051-893-6677</t>
        </is>
      </c>
      <c r="H16" s="12">
        <f>유치원!N16</f>
        <v/>
      </c>
      <c r="I16" s="5" t="inlineStr">
        <is>
          <t>만3세 48 / 만4세 58 / 만5세 76</t>
        </is>
      </c>
    </row>
    <row r="17">
      <c r="A17" s="5" t="inlineStr">
        <is>
          <t>명호초등학교병설유치원</t>
        </is>
      </c>
      <c r="B17" s="5" t="inlineStr">
        <is>
          <t>유치원</t>
        </is>
      </c>
      <c r="C17" s="5" t="inlineStr">
        <is>
          <t>공립(병설)</t>
        </is>
      </c>
      <c r="D17" s="5" t="inlineStr">
        <is>
          <t>강서구</t>
        </is>
      </c>
      <c r="E17" s="5" t="inlineStr">
        <is>
          <t>부산광역시 강서구 명지오션시티2로 41</t>
        </is>
      </c>
      <c r="F17" s="11" t="inlineStr">
        <is>
          <t>http://school.busanedu.net/myungho-k/main.do</t>
        </is>
      </c>
      <c r="G17" s="5" t="inlineStr">
        <is>
          <t>051-220-1190</t>
        </is>
      </c>
      <c r="H17" s="12">
        <f>유치원!N17</f>
        <v/>
      </c>
      <c r="I17" s="5" t="inlineStr">
        <is>
          <t>만5세 13 / 연령혼합반 10</t>
        </is>
      </c>
    </row>
    <row r="18">
      <c r="A18" s="5" t="inlineStr">
        <is>
          <t>보광유치원</t>
        </is>
      </c>
      <c r="B18" s="5" t="inlineStr">
        <is>
          <t>유치원</t>
        </is>
      </c>
      <c r="C18" s="5" t="inlineStr">
        <is>
          <t>사립(사인)</t>
        </is>
      </c>
      <c r="D18" s="5" t="inlineStr">
        <is>
          <t>강서구</t>
        </is>
      </c>
      <c r="E18" s="5" t="inlineStr">
        <is>
          <t>부산광역시 강서구 공항진입로 28</t>
        </is>
      </c>
      <c r="F18" s="11" t="inlineStr">
        <is>
          <t>http://school.busanedu.net/BoGwang-k</t>
        </is>
      </c>
      <c r="G18" s="5" t="inlineStr">
        <is>
          <t>0519732242</t>
        </is>
      </c>
      <c r="H18" s="12">
        <f>유치원!N18</f>
        <v/>
      </c>
      <c r="I18" s="5" t="inlineStr">
        <is>
          <t>만3세 48 / 만4세 60 / 만5세 63 / 연령혼합반 22</t>
        </is>
      </c>
    </row>
    <row r="19">
      <c r="A19" s="5" t="inlineStr">
        <is>
          <t>새결유치원</t>
        </is>
      </c>
      <c r="B19" s="5" t="inlineStr">
        <is>
          <t>유치원</t>
        </is>
      </c>
      <c r="C19" s="5" t="inlineStr">
        <is>
          <t>공립(단설)</t>
        </is>
      </c>
      <c r="D19" s="5" t="inlineStr">
        <is>
          <t>강서구</t>
        </is>
      </c>
      <c r="E19" s="5" t="inlineStr">
        <is>
          <t>부산광역시 강서구 에코평강길 91</t>
        </is>
      </c>
      <c r="F19" s="11" t="inlineStr">
        <is>
          <t>https://school.busanedu.net/saegyeol-k/main.do</t>
        </is>
      </c>
      <c r="G19" s="5" t="inlineStr">
        <is>
          <t>051-832-0175</t>
        </is>
      </c>
      <c r="H19" s="12">
        <f>유치원!N19</f>
        <v/>
      </c>
      <c r="I19" s="5" t="inlineStr">
        <is>
          <t>만3세 30 / 만4세 30 / 만5세 26 / 특수학급 11</t>
        </is>
      </c>
    </row>
    <row r="20">
      <c r="A20" s="5" t="inlineStr">
        <is>
          <t>송정유치원</t>
        </is>
      </c>
      <c r="B20" s="5" t="inlineStr">
        <is>
          <t>유치원</t>
        </is>
      </c>
      <c r="C20" s="5" t="inlineStr">
        <is>
          <t>공립(단설)</t>
        </is>
      </c>
      <c r="D20" s="5" t="inlineStr">
        <is>
          <t>강서구</t>
        </is>
      </c>
      <c r="E20" s="5" t="inlineStr">
        <is>
          <t>부산광역시 강서구 신호사로 10</t>
        </is>
      </c>
      <c r="F20" s="11" t="inlineStr">
        <is>
          <t>http://school.busanedu.net/sjkids-k</t>
        </is>
      </c>
      <c r="G20" s="5" t="inlineStr">
        <is>
          <t>051-832-1390</t>
        </is>
      </c>
      <c r="H20" s="12">
        <f>유치원!N20</f>
        <v/>
      </c>
      <c r="I20" s="5" t="inlineStr">
        <is>
          <t>만3세 18 / 만4세 29 / 만5세 27 / 특수학급 4</t>
        </is>
      </c>
    </row>
    <row r="21">
      <c r="A21" s="5" t="inlineStr">
        <is>
          <t>신명유치원</t>
        </is>
      </c>
      <c r="B21" s="5" t="inlineStr">
        <is>
          <t>유치원</t>
        </is>
      </c>
      <c r="C21" s="5" t="inlineStr">
        <is>
          <t>공립(단설)</t>
        </is>
      </c>
      <c r="D21" s="5" t="inlineStr">
        <is>
          <t>강서구</t>
        </is>
      </c>
      <c r="E21" s="5" t="inlineStr">
        <is>
          <t>부산광역시 강서구 명지국제7로 178</t>
        </is>
      </c>
      <c r="F21" s="11" t="inlineStr">
        <is>
          <t>http://school.busanedu.net/smkids-k/main.do</t>
        </is>
      </c>
      <c r="G21" s="5" t="inlineStr">
        <is>
          <t>051-293-6622</t>
        </is>
      </c>
      <c r="H21" s="12">
        <f>유치원!N21</f>
        <v/>
      </c>
      <c r="I21" s="5" t="inlineStr">
        <is>
          <t>만3세 28 / 만4세 34 / 만5세 17 / 특수학급 4</t>
        </is>
      </c>
    </row>
    <row r="22">
      <c r="A22" s="5" t="inlineStr">
        <is>
          <t>신호초등학교병설유치원</t>
        </is>
      </c>
      <c r="B22" s="5" t="inlineStr">
        <is>
          <t>유치원</t>
        </is>
      </c>
      <c r="C22" s="5" t="inlineStr">
        <is>
          <t>공립(병설)</t>
        </is>
      </c>
      <c r="D22" s="5" t="inlineStr">
        <is>
          <t>강서구</t>
        </is>
      </c>
      <c r="E22" s="5" t="inlineStr">
        <is>
          <t>부산광역시 강서구 신호이로75번길 12</t>
        </is>
      </c>
      <c r="F22" s="11" t="inlineStr">
        <is>
          <t>http://school.busanedu.net/shinho-k/main.do</t>
        </is>
      </c>
      <c r="G22" s="5" t="inlineStr">
        <is>
          <t>051-974-6870</t>
        </is>
      </c>
      <c r="H22" s="12">
        <f>유치원!N22</f>
        <v/>
      </c>
      <c r="I22" s="5" t="inlineStr">
        <is>
          <t>만5세 8 / 연령혼합반 9</t>
        </is>
      </c>
    </row>
    <row r="23">
      <c r="A23" s="5" t="inlineStr">
        <is>
          <t>여울유치원</t>
        </is>
      </c>
      <c r="B23" s="5" t="inlineStr">
        <is>
          <t>유치원</t>
        </is>
      </c>
      <c r="C23" s="5" t="inlineStr">
        <is>
          <t>공립(단설)</t>
        </is>
      </c>
      <c r="D23" s="5" t="inlineStr">
        <is>
          <t>강서구</t>
        </is>
      </c>
      <c r="E23" s="5" t="inlineStr">
        <is>
          <t>부산광역시 강서구 에코델타2로 13</t>
        </is>
      </c>
      <c r="F23" s="11" t="inlineStr">
        <is>
          <t>https://school.busanedu.net/yeoul-k/main.do</t>
        </is>
      </c>
      <c r="G23" s="5" t="inlineStr">
        <is>
          <t>051-709-1100</t>
        </is>
      </c>
      <c r="H23" s="12">
        <f>유치원!N23</f>
        <v/>
      </c>
      <c r="I23" s="5" t="inlineStr">
        <is>
          <t>만3세 70 / 만4세 89 / 만5세 98 / 특수학급 8</t>
        </is>
      </c>
    </row>
    <row r="24">
      <c r="A24" s="5" t="inlineStr">
        <is>
          <t>오션유치원</t>
        </is>
      </c>
      <c r="B24" s="5" t="inlineStr">
        <is>
          <t>유치원</t>
        </is>
      </c>
      <c r="C24" s="5" t="inlineStr">
        <is>
          <t>공립(단설)</t>
        </is>
      </c>
      <c r="D24" s="5" t="inlineStr">
        <is>
          <t>강서구</t>
        </is>
      </c>
      <c r="E24" s="5" t="inlineStr">
        <is>
          <t>부산광역시 강서구 명지오션시티6로 72</t>
        </is>
      </c>
      <c r="F24" s="11" t="inlineStr">
        <is>
          <t>http://school.busanedu.net/oceankids-k/main.do</t>
        </is>
      </c>
      <c r="G24" s="5" t="inlineStr">
        <is>
          <t>051-201-5413</t>
        </is>
      </c>
      <c r="H24" s="12">
        <f>유치원!N24</f>
        <v/>
      </c>
      <c r="I24" s="5" t="inlineStr">
        <is>
          <t>만3세 39 / 만4세 37 / 만5세 59 / 특수학급 3</t>
        </is>
      </c>
    </row>
    <row r="25">
      <c r="A25" s="5" t="inlineStr">
        <is>
          <t>천가초등학교병설유치원</t>
        </is>
      </c>
      <c r="B25" s="5" t="inlineStr">
        <is>
          <t>유치원</t>
        </is>
      </c>
      <c r="C25" s="5" t="inlineStr">
        <is>
          <t>공립(병설)</t>
        </is>
      </c>
      <c r="D25" s="5" t="inlineStr">
        <is>
          <t>강서구</t>
        </is>
      </c>
      <c r="E25" s="5" t="inlineStr">
        <is>
          <t>부산광역시 강서구 동선길 135</t>
        </is>
      </c>
      <c r="F25" s="11" t="inlineStr">
        <is>
          <t>https://school.busanedu.net/chunga-k</t>
        </is>
      </c>
      <c r="G25" s="5" t="inlineStr">
        <is>
          <t>051-972-7770</t>
        </is>
      </c>
      <c r="H25" s="12">
        <f>유치원!N25</f>
        <v/>
      </c>
      <c r="I25" s="5" t="inlineStr">
        <is>
          <t>연령혼합반 2</t>
        </is>
      </c>
    </row>
    <row r="26">
      <c r="A26" s="5" t="inlineStr">
        <is>
          <t>구서초등학교병설유치원</t>
        </is>
      </c>
      <c r="B26" s="5" t="inlineStr">
        <is>
          <t>유치원</t>
        </is>
      </c>
      <c r="C26" s="5" t="inlineStr">
        <is>
          <t>공립(병설)</t>
        </is>
      </c>
      <c r="D26" s="5" t="inlineStr">
        <is>
          <t>금정구</t>
        </is>
      </c>
      <c r="E26" s="5" t="inlineStr">
        <is>
          <t>부산광역시 금정구 구서중앙로 35</t>
        </is>
      </c>
      <c r="F26" s="11" t="inlineStr">
        <is>
          <t>http://school.busanedu.net/kuseo-k/</t>
        </is>
      </c>
      <c r="G26" s="5" t="inlineStr">
        <is>
          <t>051-996-4815</t>
        </is>
      </c>
      <c r="H26" s="12">
        <f>유치원!N26</f>
        <v/>
      </c>
      <c r="I26" s="5" t="inlineStr">
        <is>
          <t>만3세 4 / 만4세 14 / 만5세 17</t>
        </is>
      </c>
    </row>
    <row r="27">
      <c r="A27" s="5" t="inlineStr">
        <is>
          <t>금사초등학교병설유치원</t>
        </is>
      </c>
      <c r="B27" s="5" t="inlineStr">
        <is>
          <t>유치원</t>
        </is>
      </c>
      <c r="C27" s="5" t="inlineStr">
        <is>
          <t>공립(병설)</t>
        </is>
      </c>
      <c r="D27" s="5" t="inlineStr">
        <is>
          <t>금정구</t>
        </is>
      </c>
      <c r="E27" s="5" t="inlineStr">
        <is>
          <t>부산광역시 금정구 금사로57번길 24</t>
        </is>
      </c>
      <c r="F27" s="11" t="inlineStr">
        <is>
          <t>http://school.busanedu.net/kumsa-k</t>
        </is>
      </c>
      <c r="G27" s="5" t="inlineStr">
        <is>
          <t>051-525-3134</t>
        </is>
      </c>
      <c r="H27" s="12">
        <f>유치원!N27</f>
        <v/>
      </c>
      <c r="I27" s="5" t="inlineStr">
        <is>
          <t>만5세 5 / 연령혼합반 11 / 특수학급 6</t>
        </is>
      </c>
    </row>
    <row r="28">
      <c r="A28" s="5" t="inlineStr">
        <is>
          <t>금샘누리유치원</t>
        </is>
      </c>
      <c r="B28" s="5" t="inlineStr">
        <is>
          <t>유치원</t>
        </is>
      </c>
      <c r="C28" s="5" t="inlineStr">
        <is>
          <t>공립(단설)</t>
        </is>
      </c>
      <c r="D28" s="5" t="inlineStr">
        <is>
          <t>금정구</t>
        </is>
      </c>
      <c r="E28" s="5" t="inlineStr">
        <is>
          <t>부산광역시 금정구 금샘로 525</t>
        </is>
      </c>
      <c r="F28" s="11" t="inlineStr">
        <is>
          <t>https://school.busanedu.net/geumsaem-k</t>
        </is>
      </c>
      <c r="G28" s="5" t="inlineStr">
        <is>
          <t>051-968-9300</t>
        </is>
      </c>
      <c r="H28" s="12">
        <f>유치원!N28</f>
        <v/>
      </c>
      <c r="I28" s="5" t="inlineStr">
        <is>
          <t>만3세 11 / 만4세 27 / 만5세 25 / 특수학급 7</t>
        </is>
      </c>
    </row>
    <row r="29">
      <c r="A29" s="5" t="inlineStr">
        <is>
          <t>금정유치원</t>
        </is>
      </c>
      <c r="B29" s="5" t="inlineStr">
        <is>
          <t>유치원</t>
        </is>
      </c>
      <c r="C29" s="5" t="inlineStr">
        <is>
          <t>공립(단설)</t>
        </is>
      </c>
      <c r="D29" s="5" t="inlineStr">
        <is>
          <t>금정구</t>
        </is>
      </c>
      <c r="E29" s="5" t="inlineStr">
        <is>
          <t>부산광역시 금정구 식물원로44번길 46</t>
        </is>
      </c>
      <c r="F29" s="11" t="inlineStr">
        <is>
          <t>http://school.busanedu.net/guemjung-k</t>
        </is>
      </c>
      <c r="G29" s="5" t="inlineStr">
        <is>
          <t>051-581-5488</t>
        </is>
      </c>
      <c r="H29" s="12">
        <f>유치원!N29</f>
        <v/>
      </c>
      <c r="I29" s="5" t="inlineStr">
        <is>
          <t>만3세 28 / 만4세 36 / 만5세 54 / 특수학급 4</t>
        </is>
      </c>
    </row>
    <row r="30">
      <c r="A30" s="5" t="inlineStr">
        <is>
          <t>꾸미랑유치원</t>
        </is>
      </c>
      <c r="B30" s="5" t="inlineStr">
        <is>
          <t>유치원</t>
        </is>
      </c>
      <c r="C30" s="5" t="inlineStr">
        <is>
          <t>사립(사인)</t>
        </is>
      </c>
      <c r="D30" s="5" t="inlineStr">
        <is>
          <t>금정구</t>
        </is>
      </c>
      <c r="E30" s="5" t="inlineStr">
        <is>
          <t>부산광역시 금정구 서동로34번길 25</t>
        </is>
      </c>
      <c r="F30" s="5" t="inlineStr"/>
      <c r="G30" s="5" t="inlineStr">
        <is>
          <t>051-581-2396</t>
        </is>
      </c>
      <c r="H30" s="12">
        <f>유치원!N30</f>
        <v/>
      </c>
      <c r="I30" s="5" t="inlineStr">
        <is>
          <t>만3세 23 / 만4세 23 / 만5세 13</t>
        </is>
      </c>
    </row>
    <row r="31">
      <c r="A31" s="5" t="inlineStr">
        <is>
          <t>대우유치원</t>
        </is>
      </c>
      <c r="B31" s="5" t="inlineStr">
        <is>
          <t>유치원</t>
        </is>
      </c>
      <c r="C31" s="5" t="inlineStr">
        <is>
          <t>사립(사인)</t>
        </is>
      </c>
      <c r="D31" s="5" t="inlineStr">
        <is>
          <t>금정구</t>
        </is>
      </c>
      <c r="E31" s="5" t="inlineStr">
        <is>
          <t>부산광역시 금정구 부산대학로 10</t>
        </is>
      </c>
      <c r="F31" s="11" t="inlineStr">
        <is>
          <t>http://school.busanedu.net/deawu-k</t>
        </is>
      </c>
      <c r="G31" s="5" t="inlineStr">
        <is>
          <t>051-513-2888</t>
        </is>
      </c>
      <c r="H31" s="12">
        <f>유치원!N31</f>
        <v/>
      </c>
      <c r="I31" s="5" t="inlineStr">
        <is>
          <t>만4세 23 / 만5세 25 / 연령혼합반 17</t>
        </is>
      </c>
    </row>
    <row r="32">
      <c r="A32" s="5" t="inlineStr">
        <is>
          <t>동래초등학교부속유치원</t>
        </is>
      </c>
      <c r="B32" s="5" t="inlineStr">
        <is>
          <t>유치원</t>
        </is>
      </c>
      <c r="C32" s="5" t="inlineStr">
        <is>
          <t>사립(법인)</t>
        </is>
      </c>
      <c r="D32" s="5" t="inlineStr">
        <is>
          <t>금정구</t>
        </is>
      </c>
      <c r="E32" s="5" t="inlineStr">
        <is>
          <t>부산광역시 금정구 체육공원로44번길 26</t>
        </is>
      </c>
      <c r="F32" s="11" t="inlineStr">
        <is>
          <t>https://school.busanedu.net/dongraekg-k/main.do</t>
        </is>
      </c>
      <c r="G32" s="5" t="inlineStr">
        <is>
          <t>051-515-2689</t>
        </is>
      </c>
      <c r="H32" s="12">
        <f>유치원!N32</f>
        <v/>
      </c>
      <c r="I32" s="5" t="inlineStr">
        <is>
          <t>만3세 48 / 만4세 48 / 만5세 50</t>
        </is>
      </c>
    </row>
    <row r="33">
      <c r="A33" s="5" t="inlineStr">
        <is>
          <t>동백유치원</t>
        </is>
      </c>
      <c r="B33" s="5" t="inlineStr">
        <is>
          <t>유치원</t>
        </is>
      </c>
      <c r="C33" s="5" t="inlineStr">
        <is>
          <t>사립(사인)</t>
        </is>
      </c>
      <c r="D33" s="5" t="inlineStr">
        <is>
          <t>금정구</t>
        </is>
      </c>
      <c r="E33" s="5" t="inlineStr">
        <is>
          <t>부산광역시 금정구 수림로50번길 47</t>
        </is>
      </c>
      <c r="F33" s="11" t="inlineStr">
        <is>
          <t>http://www.cafe.daum.net/db0610</t>
        </is>
      </c>
      <c r="G33" s="5" t="inlineStr">
        <is>
          <t>051-581-0610</t>
        </is>
      </c>
      <c r="H33" s="12">
        <f>유치원!N33</f>
        <v/>
      </c>
      <c r="I33" s="5" t="inlineStr">
        <is>
          <t>만4세 24 / 만5세 50 / 연령혼합반 87</t>
        </is>
      </c>
    </row>
    <row r="34">
      <c r="A34" s="5" t="inlineStr">
        <is>
          <t>둥지유치원</t>
        </is>
      </c>
      <c r="B34" s="5" t="inlineStr">
        <is>
          <t>유치원</t>
        </is>
      </c>
      <c r="C34" s="5" t="inlineStr">
        <is>
          <t>사립(사인)</t>
        </is>
      </c>
      <c r="D34" s="5" t="inlineStr">
        <is>
          <t>금정구</t>
        </is>
      </c>
      <c r="E34" s="5" t="inlineStr">
        <is>
          <t>부산광역시 금정구 서동로103번길 78</t>
        </is>
      </c>
      <c r="F34" s="5" t="inlineStr"/>
      <c r="G34" s="5" t="inlineStr">
        <is>
          <t>051-523-0365</t>
        </is>
      </c>
      <c r="H34" s="12">
        <f>유치원!N34</f>
        <v/>
      </c>
      <c r="I34" s="5" t="inlineStr"/>
    </row>
    <row r="35">
      <c r="A35" s="5" t="inlineStr">
        <is>
          <t>미래자연유치원</t>
        </is>
      </c>
      <c r="B35" s="5" t="inlineStr">
        <is>
          <t>유치원</t>
        </is>
      </c>
      <c r="C35" s="5" t="inlineStr">
        <is>
          <t>사립(사인)</t>
        </is>
      </c>
      <c r="D35" s="5" t="inlineStr">
        <is>
          <t>금정구</t>
        </is>
      </c>
      <c r="E35" s="5" t="inlineStr">
        <is>
          <t>부산광역시 금정구 청룡로61번길 34</t>
        </is>
      </c>
      <c r="F35" s="5" t="inlineStr"/>
      <c r="G35" s="5" t="inlineStr">
        <is>
          <t>051-517-6786</t>
        </is>
      </c>
      <c r="H35" s="12">
        <f>유치원!N35</f>
        <v/>
      </c>
      <c r="I35" s="5" t="inlineStr"/>
    </row>
    <row r="36">
      <c r="A36" s="5" t="inlineStr">
        <is>
          <t>삼광사부설광명유치원</t>
        </is>
      </c>
      <c r="B36" s="5" t="inlineStr">
        <is>
          <t>유치원</t>
        </is>
      </c>
      <c r="C36" s="5" t="inlineStr">
        <is>
          <t>사립(법인)</t>
        </is>
      </c>
      <c r="D36" s="5" t="inlineStr">
        <is>
          <t>금정구</t>
        </is>
      </c>
      <c r="E36" s="5" t="inlineStr">
        <is>
          <t>부산광역시 금정구 금샘로 51</t>
        </is>
      </c>
      <c r="F36" s="11" t="inlineStr">
        <is>
          <t>http://school.busanedu.net/kwangmyoung-k</t>
        </is>
      </c>
      <c r="G36" s="5" t="inlineStr">
        <is>
          <t>051-512-4112</t>
        </is>
      </c>
      <c r="H36" s="12">
        <f>유치원!N36</f>
        <v/>
      </c>
      <c r="I36" s="5" t="inlineStr">
        <is>
          <t>만3세 78 / 만4세 78 / 만5세 91</t>
        </is>
      </c>
    </row>
    <row r="37">
      <c r="A37" s="5" t="inlineStr">
        <is>
          <t>서명초등학교병설유치원</t>
        </is>
      </c>
      <c r="B37" s="5" t="inlineStr">
        <is>
          <t>유치원</t>
        </is>
      </c>
      <c r="C37" s="5" t="inlineStr">
        <is>
          <t>공립(병설)</t>
        </is>
      </c>
      <c r="D37" s="5" t="inlineStr">
        <is>
          <t>금정구</t>
        </is>
      </c>
      <c r="E37" s="5" t="inlineStr">
        <is>
          <t>부산광역시 금정구 명서로 48</t>
        </is>
      </c>
      <c r="F37" s="11" t="inlineStr">
        <is>
          <t>http://school.busanedu.net/seomyeong-k</t>
        </is>
      </c>
      <c r="G37" s="5" t="inlineStr">
        <is>
          <t>051-526-1670</t>
        </is>
      </c>
      <c r="H37" s="12">
        <f>유치원!N37</f>
        <v/>
      </c>
      <c r="I37" s="5" t="inlineStr">
        <is>
          <t>만3세 6 / 만4세 12 / 만5세 8 / 특수학급 4</t>
        </is>
      </c>
    </row>
    <row r="38">
      <c r="A38" s="5" t="inlineStr">
        <is>
          <t>소심유치원</t>
        </is>
      </c>
      <c r="B38" s="5" t="inlineStr">
        <is>
          <t>유치원</t>
        </is>
      </c>
      <c r="C38" s="5" t="inlineStr">
        <is>
          <t>사립(사인)</t>
        </is>
      </c>
      <c r="D38" s="5" t="inlineStr">
        <is>
          <t>금정구</t>
        </is>
      </c>
      <c r="E38" s="5" t="inlineStr">
        <is>
          <t>부산광역시 금정구 동현로 76</t>
        </is>
      </c>
      <c r="F38" s="11" t="inlineStr">
        <is>
          <t>http://school.busanedu.net/sosim-k</t>
        </is>
      </c>
      <c r="G38" s="5" t="inlineStr">
        <is>
          <t>051-512-5617</t>
        </is>
      </c>
      <c r="H38" s="12">
        <f>유치원!N38</f>
        <v/>
      </c>
      <c r="I38" s="5" t="inlineStr">
        <is>
          <t>만3세 48 / 만4세 65 / 만5세 47</t>
        </is>
      </c>
    </row>
    <row r="39">
      <c r="A39" s="5" t="inlineStr">
        <is>
          <t>아람유치원</t>
        </is>
      </c>
      <c r="B39" s="5" t="inlineStr">
        <is>
          <t>유치원</t>
        </is>
      </c>
      <c r="C39" s="5" t="inlineStr">
        <is>
          <t>사립(사인)</t>
        </is>
      </c>
      <c r="D39" s="5" t="inlineStr">
        <is>
          <t>금정구</t>
        </is>
      </c>
      <c r="E39" s="5" t="inlineStr">
        <is>
          <t>부산광역시 금정구 두실로15번길 52-13</t>
        </is>
      </c>
      <c r="F39" s="5" t="inlineStr"/>
      <c r="G39" s="5" t="inlineStr">
        <is>
          <t>051-512-3111</t>
        </is>
      </c>
      <c r="H39" s="12">
        <f>유치원!N39</f>
        <v/>
      </c>
      <c r="I39" s="5" t="inlineStr">
        <is>
          <t>만4세 46 / 만5세 44 / 연령혼합반 44</t>
        </is>
      </c>
    </row>
    <row r="40">
      <c r="A40" s="5" t="inlineStr">
        <is>
          <t>아인유치원</t>
        </is>
      </c>
      <c r="B40" s="5" t="inlineStr">
        <is>
          <t>유치원</t>
        </is>
      </c>
      <c r="C40" s="5" t="inlineStr">
        <is>
          <t>사립(사인)</t>
        </is>
      </c>
      <c r="D40" s="5" t="inlineStr">
        <is>
          <t>금정구</t>
        </is>
      </c>
      <c r="E40" s="5" t="inlineStr">
        <is>
          <t>부산광역시 금정구 금정도서관로 5-4</t>
        </is>
      </c>
      <c r="F40" s="11" t="inlineStr">
        <is>
          <t>https://school.busanedu.net/ain-k/main.do</t>
        </is>
      </c>
      <c r="G40" s="5" t="inlineStr">
        <is>
          <t>051-508-0004</t>
        </is>
      </c>
      <c r="H40" s="12">
        <f>유치원!N40</f>
        <v/>
      </c>
      <c r="I40" s="5" t="inlineStr">
        <is>
          <t>만4세 48 / 만5세 49 / 연령혼합반 68</t>
        </is>
      </c>
    </row>
    <row r="41">
      <c r="A41" s="5" t="inlineStr">
        <is>
          <t>청룡초등학교병설유치원</t>
        </is>
      </c>
      <c r="B41" s="5" t="inlineStr">
        <is>
          <t>유치원</t>
        </is>
      </c>
      <c r="C41" s="5" t="inlineStr">
        <is>
          <t>공립(병설)</t>
        </is>
      </c>
      <c r="D41" s="5" t="inlineStr">
        <is>
          <t>금정구</t>
        </is>
      </c>
      <c r="E41" s="5" t="inlineStr">
        <is>
          <t>부산광역시 금정구 팔송로 6</t>
        </is>
      </c>
      <c r="F41" s="11" t="inlineStr">
        <is>
          <t>http://school.busanedu.net/cheongryong-k/</t>
        </is>
      </c>
      <c r="G41" s="5" t="inlineStr">
        <is>
          <t>051-580-9370</t>
        </is>
      </c>
      <c r="H41" s="12">
        <f>유치원!N41</f>
        <v/>
      </c>
      <c r="I41" s="5" t="inlineStr">
        <is>
          <t>만5세 8 / 연령혼합반 5</t>
        </is>
      </c>
    </row>
    <row r="42">
      <c r="A42" s="5" t="inlineStr">
        <is>
          <t>트니트니유치원</t>
        </is>
      </c>
      <c r="B42" s="5" t="inlineStr">
        <is>
          <t>유치원</t>
        </is>
      </c>
      <c r="C42" s="5" t="inlineStr">
        <is>
          <t>사립(사인)</t>
        </is>
      </c>
      <c r="D42" s="5" t="inlineStr">
        <is>
          <t>금정구</t>
        </is>
      </c>
      <c r="E42" s="5" t="inlineStr">
        <is>
          <t>부산광역시 금정구 중앙대로1667번길 10</t>
        </is>
      </c>
      <c r="F42" s="11" t="inlineStr">
        <is>
          <t>http://cafe.daum.net/tntnhappy</t>
        </is>
      </c>
      <c r="G42" s="5" t="inlineStr">
        <is>
          <t>051-517-2650</t>
        </is>
      </c>
      <c r="H42" s="12">
        <f>유치원!N42</f>
        <v/>
      </c>
      <c r="I42" s="5" t="inlineStr">
        <is>
          <t>연령혼합반 47</t>
        </is>
      </c>
    </row>
    <row r="43">
      <c r="A43" s="5" t="inlineStr">
        <is>
          <t>파랑새유치원</t>
        </is>
      </c>
      <c r="B43" s="5" t="inlineStr">
        <is>
          <t>유치원</t>
        </is>
      </c>
      <c r="C43" s="5" t="inlineStr">
        <is>
          <t>사립(사인)</t>
        </is>
      </c>
      <c r="D43" s="5" t="inlineStr">
        <is>
          <t>금정구</t>
        </is>
      </c>
      <c r="E43" s="5" t="inlineStr">
        <is>
          <t>부산광역시 금정구 금샘로420번길 15</t>
        </is>
      </c>
      <c r="F43" s="11" t="inlineStr">
        <is>
          <t>http://parangsae.or.kr</t>
        </is>
      </c>
      <c r="G43" s="5" t="inlineStr">
        <is>
          <t>051-516-3566</t>
        </is>
      </c>
      <c r="H43" s="12">
        <f>유치원!N43</f>
        <v/>
      </c>
      <c r="I43" s="5" t="inlineStr">
        <is>
          <t>만4세 18 / 만5세 26 / 연령혼합반 20</t>
        </is>
      </c>
    </row>
    <row r="44">
      <c r="A44" s="5" t="inlineStr">
        <is>
          <t>하나유치원</t>
        </is>
      </c>
      <c r="B44" s="5" t="inlineStr">
        <is>
          <t>유치원</t>
        </is>
      </c>
      <c r="C44" s="5" t="inlineStr">
        <is>
          <t>사립(사인)</t>
        </is>
      </c>
      <c r="D44" s="5" t="inlineStr">
        <is>
          <t>금정구</t>
        </is>
      </c>
      <c r="E44" s="5" t="inlineStr">
        <is>
          <t>부산광역시 금정구 동현로 106</t>
        </is>
      </c>
      <c r="F44" s="11" t="inlineStr">
        <is>
          <t>http://cafe.naver.com/hanakids9792</t>
        </is>
      </c>
      <c r="G44" s="5" t="inlineStr">
        <is>
          <t>051-581-9792</t>
        </is>
      </c>
      <c r="H44" s="12">
        <f>유치원!N44</f>
        <v/>
      </c>
      <c r="I44" s="5" t="inlineStr">
        <is>
          <t>만4세 41 / 만5세 33 / 연령혼합반 37</t>
        </is>
      </c>
    </row>
    <row r="45">
      <c r="A45" s="5" t="inlineStr">
        <is>
          <t>하늘빛유치원</t>
        </is>
      </c>
      <c r="B45" s="5" t="inlineStr">
        <is>
          <t>유치원</t>
        </is>
      </c>
      <c r="C45" s="5" t="inlineStr">
        <is>
          <t>사립(사인)</t>
        </is>
      </c>
      <c r="D45" s="5" t="inlineStr">
        <is>
          <t>금정구</t>
        </is>
      </c>
      <c r="E45" s="5" t="inlineStr">
        <is>
          <t>부산광역시 금정구 금강로 211</t>
        </is>
      </c>
      <c r="F45" s="5" t="inlineStr"/>
      <c r="G45" s="5" t="inlineStr">
        <is>
          <t>051-583-0055</t>
        </is>
      </c>
      <c r="H45" s="12">
        <f>유치원!N45</f>
        <v/>
      </c>
      <c r="I45" s="5" t="inlineStr">
        <is>
          <t>만4세 72 / 만5세 78 / 연령혼합반 44</t>
        </is>
      </c>
    </row>
    <row r="46">
      <c r="A46" s="5" t="inlineStr">
        <is>
          <t>한신유치원</t>
        </is>
      </c>
      <c r="B46" s="5" t="inlineStr">
        <is>
          <t>유치원</t>
        </is>
      </c>
      <c r="C46" s="5" t="inlineStr">
        <is>
          <t>사립(사인)</t>
        </is>
      </c>
      <c r="D46" s="5" t="inlineStr">
        <is>
          <t>금정구</t>
        </is>
      </c>
      <c r="E46" s="5" t="inlineStr">
        <is>
          <t>부산광역시 금정구 중앙대로1685번길 24</t>
        </is>
      </c>
      <c r="F46" s="5" t="inlineStr"/>
      <c r="G46" s="5" t="inlineStr">
        <is>
          <t>051-512-0404</t>
        </is>
      </c>
      <c r="H46" s="12">
        <f>유치원!N46</f>
        <v/>
      </c>
      <c r="I46" s="5" t="inlineStr"/>
    </row>
    <row r="47">
      <c r="A47" s="5" t="inlineStr">
        <is>
          <t>가동유치원</t>
        </is>
      </c>
      <c r="B47" s="5" t="inlineStr">
        <is>
          <t>유치원</t>
        </is>
      </c>
      <c r="C47" s="5" t="inlineStr">
        <is>
          <t>공립(단설)</t>
        </is>
      </c>
      <c r="D47" s="5" t="inlineStr">
        <is>
          <t>기장군</t>
        </is>
      </c>
      <c r="E47" s="5" t="inlineStr">
        <is>
          <t>부산광역시 기장군 정관5로 100</t>
        </is>
      </c>
      <c r="F47" s="11" t="inlineStr">
        <is>
          <t>http://school.busanedu.net/gadong-k</t>
        </is>
      </c>
      <c r="G47" s="5" t="inlineStr">
        <is>
          <t>051-728-2430</t>
        </is>
      </c>
      <c r="H47" s="12">
        <f>유치원!N47</f>
        <v/>
      </c>
      <c r="I47" s="5" t="inlineStr">
        <is>
          <t>만3세 16 / 만4세 37 / 만5세 40 / 특수학급 1</t>
        </is>
      </c>
    </row>
    <row r="48">
      <c r="A48" s="5" t="inlineStr">
        <is>
          <t>교리초등학교병설유치원</t>
        </is>
      </c>
      <c r="B48" s="5" t="inlineStr">
        <is>
          <t>유치원</t>
        </is>
      </c>
      <c r="C48" s="5" t="inlineStr">
        <is>
          <t>공립(병설)</t>
        </is>
      </c>
      <c r="D48" s="5" t="inlineStr">
        <is>
          <t>기장군</t>
        </is>
      </c>
      <c r="E48" s="5" t="inlineStr">
        <is>
          <t>부산광역시 기장군 기장읍 차성로 427</t>
        </is>
      </c>
      <c r="F48" s="11" t="inlineStr">
        <is>
          <t>https://school.busanedu.net/gyori-k/main.do</t>
        </is>
      </c>
      <c r="G48" s="5" t="inlineStr">
        <is>
          <t>051-720-0516</t>
        </is>
      </c>
      <c r="H48" s="12">
        <f>유치원!N48</f>
        <v/>
      </c>
      <c r="I48" s="5" t="inlineStr">
        <is>
          <t>만3세 3 / 만4세 14 / 만5세 15</t>
        </is>
      </c>
    </row>
    <row r="49">
      <c r="A49" s="5" t="inlineStr">
        <is>
          <t>기장초등학교병설유치원</t>
        </is>
      </c>
      <c r="B49" s="5" t="inlineStr">
        <is>
          <t>유치원</t>
        </is>
      </c>
      <c r="C49" s="5" t="inlineStr">
        <is>
          <t>공립(병설)</t>
        </is>
      </c>
      <c r="D49" s="5" t="inlineStr">
        <is>
          <t>기장군</t>
        </is>
      </c>
      <c r="E49" s="5" t="inlineStr">
        <is>
          <t>부산광역시 기장군 읍내로 75</t>
        </is>
      </c>
      <c r="F49" s="11" t="inlineStr">
        <is>
          <t>http://school.busanedu.net/gijang-k/main.do</t>
        </is>
      </c>
      <c r="G49" s="5" t="inlineStr">
        <is>
          <t>051-720-8690</t>
        </is>
      </c>
      <c r="H49" s="12">
        <f>유치원!N49</f>
        <v/>
      </c>
      <c r="I49" s="5" t="inlineStr">
        <is>
          <t>만3세 10 / 만4세 10 / 만5세 17</t>
        </is>
      </c>
    </row>
    <row r="50">
      <c r="A50" s="5" t="inlineStr">
        <is>
          <t>내리초등학교병설유치원</t>
        </is>
      </c>
      <c r="B50" s="5" t="inlineStr">
        <is>
          <t>유치원</t>
        </is>
      </c>
      <c r="C50" s="5" t="inlineStr">
        <is>
          <t>공립(병설)</t>
        </is>
      </c>
      <c r="D50" s="5" t="inlineStr">
        <is>
          <t>기장군</t>
        </is>
      </c>
      <c r="E50" s="5" t="inlineStr">
        <is>
          <t>부산광역시 기장군 기장읍 소정안길 50</t>
        </is>
      </c>
      <c r="F50" s="11" t="inlineStr">
        <is>
          <t>http://school.busanedu.net/naeri-k</t>
        </is>
      </c>
      <c r="G50" s="5" t="inlineStr">
        <is>
          <t>051-745-3100</t>
        </is>
      </c>
      <c r="H50" s="12">
        <f>유치원!N50</f>
        <v/>
      </c>
      <c r="I50" s="5" t="inlineStr">
        <is>
          <t>만5세 6 / 연령혼합반 8</t>
        </is>
      </c>
    </row>
    <row r="51">
      <c r="A51" s="5" t="inlineStr">
        <is>
          <t>녹원유치원</t>
        </is>
      </c>
      <c r="B51" s="5" t="inlineStr">
        <is>
          <t>유치원</t>
        </is>
      </c>
      <c r="C51" s="5" t="inlineStr">
        <is>
          <t>사립(사인)</t>
        </is>
      </c>
      <c r="D51" s="5" t="inlineStr">
        <is>
          <t>기장군</t>
        </is>
      </c>
      <c r="E51" s="5" t="inlineStr">
        <is>
          <t>부산광역시 기장군 석산1길 69-1</t>
        </is>
      </c>
      <c r="F51" s="5" t="inlineStr"/>
      <c r="G51" s="5" t="inlineStr">
        <is>
          <t>051-723-0001</t>
        </is>
      </c>
      <c r="H51" s="12">
        <f>유치원!N51</f>
        <v/>
      </c>
      <c r="I51" s="5" t="inlineStr">
        <is>
          <t>만5세 9 / 연령혼합반 8</t>
        </is>
      </c>
    </row>
    <row r="52">
      <c r="A52" s="5" t="inlineStr">
        <is>
          <t>달산유치원</t>
        </is>
      </c>
      <c r="B52" s="5" t="inlineStr">
        <is>
          <t>유치원</t>
        </is>
      </c>
      <c r="C52" s="5" t="inlineStr">
        <is>
          <t>공립(단설)</t>
        </is>
      </c>
      <c r="D52" s="5" t="inlineStr">
        <is>
          <t>기장군</t>
        </is>
      </c>
      <c r="E52" s="5" t="inlineStr">
        <is>
          <t>부산광역시 기장군 정관로 674</t>
        </is>
      </c>
      <c r="F52" s="11" t="inlineStr">
        <is>
          <t>http://school.busanedu.net/dalsan-k</t>
        </is>
      </c>
      <c r="G52" s="5" t="inlineStr">
        <is>
          <t>0517281781</t>
        </is>
      </c>
      <c r="H52" s="12">
        <f>유치원!N52</f>
        <v/>
      </c>
      <c r="I52" s="5" t="inlineStr">
        <is>
          <t>만3세 22 / 만4세 22 / 만5세 45 / 특수학급 1</t>
        </is>
      </c>
    </row>
    <row r="53">
      <c r="A53" s="5" t="inlineStr">
        <is>
          <t>모전초등학교병설유치원</t>
        </is>
      </c>
      <c r="B53" s="5" t="inlineStr">
        <is>
          <t>유치원</t>
        </is>
      </c>
      <c r="C53" s="5" t="inlineStr">
        <is>
          <t>공립(병설)</t>
        </is>
      </c>
      <c r="D53" s="5" t="inlineStr">
        <is>
          <t>기장군</t>
        </is>
      </c>
      <c r="E53" s="5" t="inlineStr">
        <is>
          <t>부산광역시 기장군 정관1로 17</t>
        </is>
      </c>
      <c r="F53" s="11" t="inlineStr">
        <is>
          <t>https://school.busanedu.net/bsmojeon-k</t>
        </is>
      </c>
      <c r="G53" s="5" t="inlineStr">
        <is>
          <t>051-720-6781</t>
        </is>
      </c>
      <c r="H53" s="12">
        <f>유치원!N53</f>
        <v/>
      </c>
      <c r="I53" s="5" t="inlineStr">
        <is>
          <t>만5세 14 / 연령혼합반 6</t>
        </is>
      </c>
    </row>
    <row r="54">
      <c r="A54" s="5" t="inlineStr">
        <is>
          <t>방곡유치원</t>
        </is>
      </c>
      <c r="B54" s="5" t="inlineStr">
        <is>
          <t>유치원</t>
        </is>
      </c>
      <c r="C54" s="5" t="inlineStr">
        <is>
          <t>공립(단설)</t>
        </is>
      </c>
      <c r="D54" s="5" t="inlineStr">
        <is>
          <t>기장군</t>
        </is>
      </c>
      <c r="E54" s="5" t="inlineStr">
        <is>
          <t>부산광역시 기장군 정관덕산길 61</t>
        </is>
      </c>
      <c r="F54" s="11" t="inlineStr">
        <is>
          <t>http://school.busanedu.net/kbanggok-k/main.do</t>
        </is>
      </c>
      <c r="G54" s="5" t="inlineStr">
        <is>
          <t>051-780-7200</t>
        </is>
      </c>
      <c r="H54" s="12">
        <f>유치원!N54</f>
        <v/>
      </c>
      <c r="I54" s="5" t="inlineStr">
        <is>
          <t>만3세 11 / 만4세 22 / 만5세 39 / 특수학급 2</t>
        </is>
      </c>
    </row>
    <row r="55">
      <c r="A55" s="5" t="inlineStr">
        <is>
          <t>산새소리유치원</t>
        </is>
      </c>
      <c r="B55" s="5" t="inlineStr">
        <is>
          <t>유치원</t>
        </is>
      </c>
      <c r="C55" s="5" t="inlineStr">
        <is>
          <t>사립(사인)</t>
        </is>
      </c>
      <c r="D55" s="5" t="inlineStr">
        <is>
          <t>기장군</t>
        </is>
      </c>
      <c r="E55" s="5" t="inlineStr">
        <is>
          <t>부산광역시 기장군 차성남로 1-4</t>
        </is>
      </c>
      <c r="F55" s="5" t="inlineStr"/>
      <c r="G55" s="5" t="inlineStr">
        <is>
          <t>051-721-2612</t>
        </is>
      </c>
      <c r="H55" s="12">
        <f>유치원!N55</f>
        <v/>
      </c>
      <c r="I55" s="5" t="inlineStr">
        <is>
          <t>만3세 11 / 연령혼합반 22</t>
        </is>
      </c>
    </row>
    <row r="56">
      <c r="A56" s="5" t="inlineStr">
        <is>
          <t>세화유치원</t>
        </is>
      </c>
      <c r="B56" s="5" t="inlineStr">
        <is>
          <t>유치원</t>
        </is>
      </c>
      <c r="C56" s="5" t="inlineStr">
        <is>
          <t>사립(사인)</t>
        </is>
      </c>
      <c r="D56" s="5" t="inlineStr">
        <is>
          <t>기장군</t>
        </is>
      </c>
      <c r="E56" s="5" t="inlineStr">
        <is>
          <t>부산광역시 기장군 기장대로 563</t>
        </is>
      </c>
      <c r="F56" s="11" t="inlineStr">
        <is>
          <t>http://school.busanedu.net/sehwa-k/</t>
        </is>
      </c>
      <c r="G56" s="5" t="inlineStr">
        <is>
          <t>051-722-5060</t>
        </is>
      </c>
      <c r="H56" s="12">
        <f>유치원!N56</f>
        <v/>
      </c>
      <c r="I56" s="5" t="inlineStr">
        <is>
          <t>만3세 26 / 만5세 26 / 연령혼합반 52</t>
        </is>
      </c>
    </row>
    <row r="57">
      <c r="A57" s="5" t="inlineStr">
        <is>
          <t>숲속나라유치원</t>
        </is>
      </c>
      <c r="B57" s="5" t="inlineStr">
        <is>
          <t>유치원</t>
        </is>
      </c>
      <c r="C57" s="5" t="inlineStr">
        <is>
          <t>사립(사인)</t>
        </is>
      </c>
      <c r="D57" s="5" t="inlineStr">
        <is>
          <t>기장군</t>
        </is>
      </c>
      <c r="E57" s="5" t="inlineStr">
        <is>
          <t>부산광역시 기장군 산막길 46-28</t>
        </is>
      </c>
      <c r="F57" s="11" t="inlineStr">
        <is>
          <t>https://blog.naver.com/inthewoodkids</t>
        </is>
      </c>
      <c r="G57" s="5" t="inlineStr">
        <is>
          <t>051-728-2821</t>
        </is>
      </c>
      <c r="H57" s="12">
        <f>유치원!N57</f>
        <v/>
      </c>
      <c r="I57" s="5" t="inlineStr">
        <is>
          <t>만3세 8 / 만4세 15 / 만5세 16</t>
        </is>
      </c>
    </row>
    <row r="58">
      <c r="A58" s="5" t="inlineStr">
        <is>
          <t>숲속원광유치원</t>
        </is>
      </c>
      <c r="B58" s="5" t="inlineStr">
        <is>
          <t>유치원</t>
        </is>
      </c>
      <c r="C58" s="5" t="inlineStr">
        <is>
          <t>사립(법인)</t>
        </is>
      </c>
      <c r="D58" s="5" t="inlineStr">
        <is>
          <t>기장군</t>
        </is>
      </c>
      <c r="E58" s="5" t="inlineStr">
        <is>
          <t>부산광역시 기장군 곰내길 654-125</t>
        </is>
      </c>
      <c r="F58" s="5" t="inlineStr"/>
      <c r="G58" s="5" t="inlineStr">
        <is>
          <t>727-3844</t>
        </is>
      </c>
      <c r="H58" s="12">
        <f>유치원!N58</f>
        <v/>
      </c>
      <c r="I58" s="5" t="inlineStr"/>
    </row>
    <row r="59">
      <c r="A59" s="5" t="inlineStr">
        <is>
          <t>신진초등학교병설유치원</t>
        </is>
      </c>
      <c r="B59" s="5" t="inlineStr">
        <is>
          <t>유치원</t>
        </is>
      </c>
      <c r="C59" s="5" t="inlineStr">
        <is>
          <t>공립(병설)</t>
        </is>
      </c>
      <c r="D59" s="5" t="inlineStr">
        <is>
          <t>기장군</t>
        </is>
      </c>
      <c r="E59" s="5" t="inlineStr">
        <is>
          <t>부산광역시 기장군 고촌로28번길 6</t>
        </is>
      </c>
      <c r="F59" s="11" t="inlineStr">
        <is>
          <t>http://school.busanedu.net/sinjin-k</t>
        </is>
      </c>
      <c r="G59" s="5" t="inlineStr">
        <is>
          <t>051-720-8517</t>
        </is>
      </c>
      <c r="H59" s="12">
        <f>유치원!N59</f>
        <v/>
      </c>
      <c r="I59" s="5" t="inlineStr">
        <is>
          <t>연령혼합반 9 / 특수학급 2</t>
        </is>
      </c>
    </row>
    <row r="60">
      <c r="A60" s="5" t="inlineStr">
        <is>
          <t>용암초등학교병설유치원</t>
        </is>
      </c>
      <c r="B60" s="5" t="inlineStr">
        <is>
          <t>유치원</t>
        </is>
      </c>
      <c r="C60" s="5" t="inlineStr">
        <is>
          <t>공립(병설)</t>
        </is>
      </c>
      <c r="D60" s="5" t="inlineStr">
        <is>
          <t>기장군</t>
        </is>
      </c>
      <c r="E60" s="5" t="inlineStr">
        <is>
          <t>부산광역시 기장군 기장해안로 577</t>
        </is>
      </c>
      <c r="F60" s="5" t="inlineStr"/>
      <c r="G60" s="5" t="inlineStr">
        <is>
          <t>051-721-1413</t>
        </is>
      </c>
      <c r="H60" s="12">
        <f>유치원!N60</f>
        <v/>
      </c>
      <c r="I60" s="5" t="inlineStr"/>
    </row>
    <row r="61">
      <c r="A61" s="5" t="inlineStr">
        <is>
          <t>월내초등학교병설유치원</t>
        </is>
      </c>
      <c r="B61" s="5" t="inlineStr">
        <is>
          <t>유치원</t>
        </is>
      </c>
      <c r="C61" s="5" t="inlineStr">
        <is>
          <t>공립(병설)</t>
        </is>
      </c>
      <c r="D61" s="5" t="inlineStr">
        <is>
          <t>기장군</t>
        </is>
      </c>
      <c r="E61" s="5" t="inlineStr">
        <is>
          <t>부산광역시 기장군 길천2길 25</t>
        </is>
      </c>
      <c r="F61" s="11" t="inlineStr">
        <is>
          <t>http://wollae.es.kr/</t>
        </is>
      </c>
      <c r="G61" s="5" t="inlineStr">
        <is>
          <t>051-719-9771</t>
        </is>
      </c>
      <c r="H61" s="12">
        <f>유치원!N61</f>
        <v/>
      </c>
      <c r="I61" s="5" t="inlineStr">
        <is>
          <t>연령혼합반 2</t>
        </is>
      </c>
    </row>
    <row r="62">
      <c r="A62" s="5" t="inlineStr">
        <is>
          <t>월평초등학교병설유치원</t>
        </is>
      </c>
      <c r="B62" s="5" t="inlineStr">
        <is>
          <t>유치원</t>
        </is>
      </c>
      <c r="C62" s="5" t="inlineStr">
        <is>
          <t>공립(병설)</t>
        </is>
      </c>
      <c r="D62" s="5" t="inlineStr">
        <is>
          <t>기장군</t>
        </is>
      </c>
      <c r="E62" s="5" t="inlineStr">
        <is>
          <t>부산광역시 기장군 월평1길 21</t>
        </is>
      </c>
      <c r="F62" s="11" t="inlineStr">
        <is>
          <t>http://bswp.es.kr/</t>
        </is>
      </c>
      <c r="G62" s="5" t="inlineStr">
        <is>
          <t>051-508-8355</t>
        </is>
      </c>
      <c r="H62" s="12">
        <f>유치원!N62</f>
        <v/>
      </c>
      <c r="I62" s="5" t="inlineStr">
        <is>
          <t>연령혼합반 4</t>
        </is>
      </c>
    </row>
    <row r="63">
      <c r="A63" s="5" t="inlineStr">
        <is>
          <t>일광유치원</t>
        </is>
      </c>
      <c r="B63" s="5" t="inlineStr">
        <is>
          <t>유치원</t>
        </is>
      </c>
      <c r="C63" s="5" t="inlineStr">
        <is>
          <t>공립(단설)</t>
        </is>
      </c>
      <c r="D63" s="5" t="inlineStr">
        <is>
          <t>기장군</t>
        </is>
      </c>
      <c r="E63" s="5" t="inlineStr">
        <is>
          <t>부산광역시 기장군 일광읍 해빛로 42</t>
        </is>
      </c>
      <c r="F63" s="11" t="inlineStr">
        <is>
          <t>https://school.busanedu.net/ilgwang42-k/</t>
        </is>
      </c>
      <c r="G63" s="5" t="inlineStr">
        <is>
          <t>051-967-8800</t>
        </is>
      </c>
      <c r="H63" s="12">
        <f>유치원!N63</f>
        <v/>
      </c>
      <c r="I63" s="5" t="inlineStr">
        <is>
          <t>만3세 40 / 만4세 56 / 만5세 59 / 특수학급 4</t>
        </is>
      </c>
    </row>
    <row r="64">
      <c r="A64" s="5" t="inlineStr">
        <is>
          <t>장안초등학교병설유치원</t>
        </is>
      </c>
      <c r="B64" s="5" t="inlineStr">
        <is>
          <t>유치원</t>
        </is>
      </c>
      <c r="C64" s="5" t="inlineStr">
        <is>
          <t>공립(병설)</t>
        </is>
      </c>
      <c r="D64" s="5" t="inlineStr">
        <is>
          <t>기장군</t>
        </is>
      </c>
      <c r="E64" s="5" t="inlineStr">
        <is>
          <t>부산광역시 기장군 장안로 67-4</t>
        </is>
      </c>
      <c r="F64" s="11" t="inlineStr">
        <is>
          <t>http://jangancho.es.kr/</t>
        </is>
      </c>
      <c r="G64" s="5" t="inlineStr">
        <is>
          <t>051-720-1004</t>
        </is>
      </c>
      <c r="H64" s="12">
        <f>유치원!N64</f>
        <v/>
      </c>
      <c r="I64" s="5" t="inlineStr">
        <is>
          <t>연령혼합반 2</t>
        </is>
      </c>
    </row>
    <row r="65">
      <c r="A65" s="5" t="inlineStr">
        <is>
          <t>정관무지개유치원</t>
        </is>
      </c>
      <c r="B65" s="5" t="inlineStr">
        <is>
          <t>유치원</t>
        </is>
      </c>
      <c r="C65" s="5" t="inlineStr">
        <is>
          <t>사립(사인)</t>
        </is>
      </c>
      <c r="D65" s="5" t="inlineStr">
        <is>
          <t>기장군</t>
        </is>
      </c>
      <c r="E65" s="5" t="inlineStr">
        <is>
          <t>부산광역시 기장군 정관5로 127</t>
        </is>
      </c>
      <c r="F65" s="5" t="inlineStr"/>
      <c r="G65" s="5" t="inlineStr">
        <is>
          <t>051-728-2200</t>
        </is>
      </c>
      <c r="H65" s="12">
        <f>유치원!N65</f>
        <v/>
      </c>
      <c r="I65" s="5" t="inlineStr">
        <is>
          <t>만3세 52 / 만4세 48 / 만5세 51 / 연령혼합반 26</t>
        </is>
      </c>
    </row>
    <row r="66">
      <c r="A66" s="5" t="inlineStr">
        <is>
          <t>정관버클리유치원</t>
        </is>
      </c>
      <c r="B66" s="5" t="inlineStr">
        <is>
          <t>유치원</t>
        </is>
      </c>
      <c r="C66" s="5" t="inlineStr">
        <is>
          <t>사립(사인)</t>
        </is>
      </c>
      <c r="D66" s="5" t="inlineStr">
        <is>
          <t>기장군</t>
        </is>
      </c>
      <c r="E66" s="5" t="inlineStr">
        <is>
          <t>부산광역시 기장군 정관상곡1길 34</t>
        </is>
      </c>
      <c r="F66" s="11" t="inlineStr">
        <is>
          <t>http://school.busanedu.net/jgBerkeley-k</t>
        </is>
      </c>
      <c r="G66" s="5" t="inlineStr">
        <is>
          <t>051-939-0007</t>
        </is>
      </c>
      <c r="H66" s="12">
        <f>유치원!N66</f>
        <v/>
      </c>
      <c r="I66" s="5" t="inlineStr">
        <is>
          <t>만3세 32 / 만4세 66 / 만5세 93 / 연령혼합반 18</t>
        </is>
      </c>
    </row>
    <row r="67">
      <c r="A67" s="5" t="inlineStr">
        <is>
          <t>정관아이숲유치원</t>
        </is>
      </c>
      <c r="B67" s="5" t="inlineStr">
        <is>
          <t>유치원</t>
        </is>
      </c>
      <c r="C67" s="5" t="inlineStr">
        <is>
          <t>사립(사인)</t>
        </is>
      </c>
      <c r="D67" s="5" t="inlineStr">
        <is>
          <t>기장군</t>
        </is>
      </c>
      <c r="E67" s="5" t="inlineStr">
        <is>
          <t>부산광역시 기장군 병산로 24</t>
        </is>
      </c>
      <c r="F67" s="5" t="inlineStr"/>
      <c r="G67" s="5" t="inlineStr">
        <is>
          <t>051-997-3355</t>
        </is>
      </c>
      <c r="H67" s="12">
        <f>유치원!N67</f>
        <v/>
      </c>
      <c r="I67" s="5" t="inlineStr">
        <is>
          <t>만3세 18 / 만4세 18 / 만5세 37</t>
        </is>
      </c>
    </row>
    <row r="68">
      <c r="A68" s="5" t="inlineStr">
        <is>
          <t>정관유치원</t>
        </is>
      </c>
      <c r="B68" s="5" t="inlineStr">
        <is>
          <t>유치원</t>
        </is>
      </c>
      <c r="C68" s="5" t="inlineStr">
        <is>
          <t>공립(단설)</t>
        </is>
      </c>
      <c r="D68" s="5" t="inlineStr">
        <is>
          <t>기장군</t>
        </is>
      </c>
      <c r="E68" s="5" t="inlineStr">
        <is>
          <t>부산광역시 기장군 정관로 530</t>
        </is>
      </c>
      <c r="F68" s="11" t="inlineStr">
        <is>
          <t>http://school.busanedu.net/jkschool-k</t>
        </is>
      </c>
      <c r="G68" s="5" t="inlineStr">
        <is>
          <t>051-726-0102</t>
        </is>
      </c>
      <c r="H68" s="12">
        <f>유치원!N68</f>
        <v/>
      </c>
      <c r="I68" s="5" t="inlineStr">
        <is>
          <t>만3세 3 / 만4세 26 / 만5세 24 / 특수학급 3</t>
        </is>
      </c>
    </row>
    <row r="69">
      <c r="A69" s="5" t="inlineStr">
        <is>
          <t>정관피올라유치원</t>
        </is>
      </c>
      <c r="B69" s="5" t="inlineStr">
        <is>
          <t>유치원</t>
        </is>
      </c>
      <c r="C69" s="5" t="inlineStr">
        <is>
          <t>사립(사인)</t>
        </is>
      </c>
      <c r="D69" s="5" t="inlineStr">
        <is>
          <t>기장군</t>
        </is>
      </c>
      <c r="E69" s="5" t="inlineStr">
        <is>
          <t>부산광역시 기장군 가동2길 5</t>
        </is>
      </c>
      <c r="F69" s="11" t="inlineStr">
        <is>
          <t>http://school.busanedu.net/piola-k</t>
        </is>
      </c>
      <c r="G69" s="5" t="inlineStr">
        <is>
          <t>051-728-6998</t>
        </is>
      </c>
      <c r="H69" s="12">
        <f>유치원!N69</f>
        <v/>
      </c>
      <c r="I69" s="5" t="inlineStr"/>
    </row>
    <row r="70">
      <c r="A70" s="5" t="inlineStr">
        <is>
          <t>정원초등학교병설유치원</t>
        </is>
      </c>
      <c r="B70" s="5" t="inlineStr">
        <is>
          <t>유치원</t>
        </is>
      </c>
      <c r="C70" s="5" t="inlineStr">
        <is>
          <t>공립(병설)</t>
        </is>
      </c>
      <c r="D70" s="5" t="inlineStr">
        <is>
          <t>기장군</t>
        </is>
      </c>
      <c r="E70" s="5" t="inlineStr">
        <is>
          <t>부산광역시 기장군 정관로 423</t>
        </is>
      </c>
      <c r="F70" s="11" t="inlineStr">
        <is>
          <t>http://school.busanedu.net/jeongwon-k</t>
        </is>
      </c>
      <c r="G70" s="5" t="inlineStr">
        <is>
          <t>051-750-9181</t>
        </is>
      </c>
      <c r="H70" s="12">
        <f>유치원!N70</f>
        <v/>
      </c>
      <c r="I70" s="5" t="inlineStr">
        <is>
          <t>연령혼합반 13</t>
        </is>
      </c>
    </row>
    <row r="71">
      <c r="A71" s="5" t="inlineStr">
        <is>
          <t>좌천초등학교병설유치원</t>
        </is>
      </c>
      <c r="B71" s="5" t="inlineStr">
        <is>
          <t>유치원</t>
        </is>
      </c>
      <c r="C71" s="5" t="inlineStr">
        <is>
          <t>공립(병설)</t>
        </is>
      </c>
      <c r="D71" s="5" t="inlineStr">
        <is>
          <t>기장군</t>
        </is>
      </c>
      <c r="E71" s="5" t="inlineStr">
        <is>
          <t>부산광역시 기장군 좌천로 13-66</t>
        </is>
      </c>
      <c r="F71" s="11" t="inlineStr">
        <is>
          <t>https://school.busanedu.net/jwacheon-k/main.do</t>
        </is>
      </c>
      <c r="G71" s="5" t="inlineStr">
        <is>
          <t>051-720-4150</t>
        </is>
      </c>
      <c r="H71" s="12">
        <f>유치원!N71</f>
        <v/>
      </c>
      <c r="I71" s="5" t="inlineStr">
        <is>
          <t>연령혼합반 5</t>
        </is>
      </c>
    </row>
    <row r="72">
      <c r="A72" s="5" t="inlineStr">
        <is>
          <t>죽성초등학교병설유치원</t>
        </is>
      </c>
      <c r="B72" s="5" t="inlineStr">
        <is>
          <t>유치원</t>
        </is>
      </c>
      <c r="C72" s="5" t="inlineStr">
        <is>
          <t>공립(병설)</t>
        </is>
      </c>
      <c r="D72" s="5" t="inlineStr">
        <is>
          <t>기장군</t>
        </is>
      </c>
      <c r="E72" s="5" t="inlineStr">
        <is>
          <t>부산광역시 기장군 죽성로 270</t>
        </is>
      </c>
      <c r="F72" s="11" t="inlineStr">
        <is>
          <t>http://jukseong.es.kr/</t>
        </is>
      </c>
      <c r="G72" s="5" t="inlineStr">
        <is>
          <t>051-721-6461</t>
        </is>
      </c>
      <c r="H72" s="12">
        <f>유치원!N72</f>
        <v/>
      </c>
      <c r="I72" s="5" t="inlineStr">
        <is>
          <t>연령혼합반 2</t>
        </is>
      </c>
    </row>
    <row r="73">
      <c r="A73" s="5" t="inlineStr">
        <is>
          <t>철마초등학교병설유치원</t>
        </is>
      </c>
      <c r="B73" s="5" t="inlineStr">
        <is>
          <t>유치원</t>
        </is>
      </c>
      <c r="C73" s="5" t="inlineStr">
        <is>
          <t>공립(병설)</t>
        </is>
      </c>
      <c r="D73" s="5" t="inlineStr">
        <is>
          <t>기장군</t>
        </is>
      </c>
      <c r="E73" s="5" t="inlineStr">
        <is>
          <t>부산광역시 기장군 철마로 493</t>
        </is>
      </c>
      <c r="F73" s="11" t="inlineStr">
        <is>
          <t>http://school.busanedu.net/chulma-k/main.do</t>
        </is>
      </c>
      <c r="G73" s="5" t="inlineStr">
        <is>
          <t>051-721-0631</t>
        </is>
      </c>
      <c r="H73" s="12">
        <f>유치원!N73</f>
        <v/>
      </c>
      <c r="I73" s="5" t="inlineStr">
        <is>
          <t>연령혼합반 5</t>
        </is>
      </c>
    </row>
    <row r="74">
      <c r="A74" s="5" t="inlineStr">
        <is>
          <t>칠암초등학교병설유치원</t>
        </is>
      </c>
      <c r="B74" s="5" t="inlineStr">
        <is>
          <t>유치원</t>
        </is>
      </c>
      <c r="C74" s="5" t="inlineStr">
        <is>
          <t>공립(병설)</t>
        </is>
      </c>
      <c r="D74" s="5" t="inlineStr">
        <is>
          <t>기장군</t>
        </is>
      </c>
      <c r="E74" s="5" t="inlineStr">
        <is>
          <t>부산광역시 기장군 박영준길 19</t>
        </is>
      </c>
      <c r="F74" s="11" t="inlineStr">
        <is>
          <t>http://www.chilam.es.kr</t>
        </is>
      </c>
      <c r="G74" s="5" t="inlineStr">
        <is>
          <t>051-727-4467</t>
        </is>
      </c>
      <c r="H74" s="12">
        <f>유치원!N74</f>
        <v/>
      </c>
      <c r="I74" s="5" t="inlineStr">
        <is>
          <t>연령혼합반 2</t>
        </is>
      </c>
    </row>
    <row r="75">
      <c r="A75" s="5" t="inlineStr">
        <is>
          <t>큰별샘유치원</t>
        </is>
      </c>
      <c r="B75" s="5" t="inlineStr">
        <is>
          <t>유치원</t>
        </is>
      </c>
      <c r="C75" s="5" t="inlineStr">
        <is>
          <t>사립(사인)</t>
        </is>
      </c>
      <c r="D75" s="5" t="inlineStr">
        <is>
          <t>기장군</t>
        </is>
      </c>
      <c r="E75" s="5" t="inlineStr">
        <is>
          <t>부산광역시 기장군 산막길 26-76</t>
        </is>
      </c>
      <c r="F75" s="5" t="inlineStr"/>
      <c r="G75" s="5" t="inlineStr">
        <is>
          <t>051-953-3737</t>
        </is>
      </c>
      <c r="H75" s="12">
        <f>유치원!N75</f>
        <v/>
      </c>
      <c r="I75" s="5" t="inlineStr"/>
    </row>
    <row r="76">
      <c r="A76" s="5" t="inlineStr">
        <is>
          <t>피터팬유치원</t>
        </is>
      </c>
      <c r="B76" s="5" t="inlineStr">
        <is>
          <t>유치원</t>
        </is>
      </c>
      <c r="C76" s="5" t="inlineStr">
        <is>
          <t>사립(사인)</t>
        </is>
      </c>
      <c r="D76" s="5" t="inlineStr">
        <is>
          <t>기장군</t>
        </is>
      </c>
      <c r="E76" s="5" t="inlineStr">
        <is>
          <t>부산광역시 기장군 가동옛길 37</t>
        </is>
      </c>
      <c r="F76" s="5" t="inlineStr"/>
      <c r="G76" s="5" t="inlineStr">
        <is>
          <t>051-728-1902</t>
        </is>
      </c>
      <c r="H76" s="12">
        <f>유치원!N76</f>
        <v/>
      </c>
      <c r="I76" s="5" t="inlineStr">
        <is>
          <t>만3세 111 / 만4세 144 / 만5세 130</t>
        </is>
      </c>
    </row>
    <row r="77">
      <c r="A77" s="5" t="inlineStr">
        <is>
          <t>한솔기장유치원</t>
        </is>
      </c>
      <c r="B77" s="5" t="inlineStr">
        <is>
          <t>유치원</t>
        </is>
      </c>
      <c r="C77" s="5" t="inlineStr">
        <is>
          <t>사립(사인)</t>
        </is>
      </c>
      <c r="D77" s="5" t="inlineStr">
        <is>
          <t>기장군</t>
        </is>
      </c>
      <c r="E77" s="5" t="inlineStr">
        <is>
          <t>부산광역시 기장군 대청로45번길 6</t>
        </is>
      </c>
      <c r="F77" s="11" t="inlineStr">
        <is>
          <t>https://school.busanedu.net/hansol-k</t>
        </is>
      </c>
      <c r="G77" s="5" t="inlineStr">
        <is>
          <t>051-722-7489</t>
        </is>
      </c>
      <c r="H77" s="12">
        <f>유치원!N77</f>
        <v/>
      </c>
      <c r="I77" s="5" t="inlineStr">
        <is>
          <t>만4세 36 / 만5세 51</t>
        </is>
      </c>
    </row>
    <row r="78">
      <c r="A78" s="5" t="inlineStr">
        <is>
          <t>해누리유치원</t>
        </is>
      </c>
      <c r="B78" s="5" t="inlineStr">
        <is>
          <t>유치원</t>
        </is>
      </c>
      <c r="C78" s="5" t="inlineStr">
        <is>
          <t>공립(단설)</t>
        </is>
      </c>
      <c r="D78" s="5" t="inlineStr">
        <is>
          <t>기장군</t>
        </is>
      </c>
      <c r="E78" s="5" t="inlineStr">
        <is>
          <t>부산광역시 기장군 용수로 109-33</t>
        </is>
      </c>
      <c r="F78" s="11" t="inlineStr">
        <is>
          <t>http://school.busanedu.net/heanuri-k/main.do</t>
        </is>
      </c>
      <c r="G78" s="5" t="inlineStr">
        <is>
          <t>051-982-7700</t>
        </is>
      </c>
      <c r="H78" s="12">
        <f>유치원!N78</f>
        <v/>
      </c>
      <c r="I78" s="5" t="inlineStr">
        <is>
          <t>만3세 9 / 만4세 25 / 만5세 25 / 특수학급 3</t>
        </is>
      </c>
    </row>
    <row r="79">
      <c r="A79" s="5" t="inlineStr">
        <is>
          <t>해빛유치원</t>
        </is>
      </c>
      <c r="B79" s="5" t="inlineStr">
        <is>
          <t>유치원</t>
        </is>
      </c>
      <c r="C79" s="5" t="inlineStr">
        <is>
          <t>공립(단설)</t>
        </is>
      </c>
      <c r="D79" s="5" t="inlineStr">
        <is>
          <t>기장군</t>
        </is>
      </c>
      <c r="E79" s="5" t="inlineStr">
        <is>
          <t>부산광역시 기장군 해빛6로 17</t>
        </is>
      </c>
      <c r="F79" s="11" t="inlineStr">
        <is>
          <t>http://school.busanedu.net/haebitkg-k/</t>
        </is>
      </c>
      <c r="G79" s="5" t="inlineStr">
        <is>
          <t>051-982-1400</t>
        </is>
      </c>
      <c r="H79" s="12">
        <f>유치원!N79</f>
        <v/>
      </c>
      <c r="I79" s="5" t="inlineStr">
        <is>
          <t>만3세 56 / 만4세 76 / 만5세 80</t>
        </is>
      </c>
    </row>
    <row r="80">
      <c r="A80" s="5" t="inlineStr">
        <is>
          <t>해빛초등학교병설유치원</t>
        </is>
      </c>
      <c r="B80" s="5" t="inlineStr">
        <is>
          <t>유치원</t>
        </is>
      </c>
      <c r="C80" s="5" t="inlineStr">
        <is>
          <t>공립(병설)</t>
        </is>
      </c>
      <c r="D80" s="5" t="inlineStr">
        <is>
          <t>기장군</t>
        </is>
      </c>
      <c r="E80" s="5" t="inlineStr">
        <is>
          <t>부산광역시 기장군 해빛6로 9</t>
        </is>
      </c>
      <c r="F80" s="11" t="inlineStr">
        <is>
          <t>http://school.busanedu.net/haebit-k</t>
        </is>
      </c>
      <c r="G80" s="5" t="inlineStr">
        <is>
          <t>051-790-8382</t>
        </is>
      </c>
      <c r="H80" s="12">
        <f>유치원!N80</f>
        <v/>
      </c>
      <c r="I80" s="5" t="inlineStr">
        <is>
          <t>만5세 14 / 연령혼합반 17</t>
        </is>
      </c>
    </row>
    <row r="81">
      <c r="A81" s="5" t="inlineStr">
        <is>
          <t>행복엔젤유치원</t>
        </is>
      </c>
      <c r="B81" s="5" t="inlineStr">
        <is>
          <t>유치원</t>
        </is>
      </c>
      <c r="C81" s="5" t="inlineStr">
        <is>
          <t>사립(사인)</t>
        </is>
      </c>
      <c r="D81" s="5" t="inlineStr">
        <is>
          <t>기장군</t>
        </is>
      </c>
      <c r="E81" s="5" t="inlineStr">
        <is>
          <t>부산광역시 기장군 차성서로 44</t>
        </is>
      </c>
      <c r="F81" s="5" t="inlineStr"/>
      <c r="G81" s="5" t="inlineStr">
        <is>
          <t>051-502-4556</t>
        </is>
      </c>
      <c r="H81" s="12">
        <f>유치원!N81</f>
        <v/>
      </c>
      <c r="I81" s="5" t="inlineStr">
        <is>
          <t>만4세 23 / 만5세 14</t>
        </is>
      </c>
    </row>
    <row r="82">
      <c r="A82" s="5" t="inlineStr">
        <is>
          <t>효성유치원</t>
        </is>
      </c>
      <c r="B82" s="5" t="inlineStr">
        <is>
          <t>유치원</t>
        </is>
      </c>
      <c r="C82" s="5" t="inlineStr">
        <is>
          <t>사립(사인)</t>
        </is>
      </c>
      <c r="D82" s="5" t="inlineStr">
        <is>
          <t>기장군</t>
        </is>
      </c>
      <c r="E82" s="5" t="inlineStr">
        <is>
          <t>부산광역시 기장군 차성로344번길 13</t>
        </is>
      </c>
      <c r="F82" s="5" t="inlineStr"/>
      <c r="G82" s="5" t="inlineStr">
        <is>
          <t>051-722-0402</t>
        </is>
      </c>
      <c r="H82" s="12">
        <f>유치원!N82</f>
        <v/>
      </c>
      <c r="I82" s="5" t="inlineStr">
        <is>
          <t>만3세 26 / 만4세 26 / 만5세 26 / 연령혼합반 26</t>
        </is>
      </c>
    </row>
    <row r="83">
      <c r="A83" s="5" t="inlineStr">
        <is>
          <t>LG메트로시티유치원</t>
        </is>
      </c>
      <c r="B83" s="5" t="inlineStr">
        <is>
          <t>유치원</t>
        </is>
      </c>
      <c r="C83" s="5" t="inlineStr">
        <is>
          <t>사립(사인)</t>
        </is>
      </c>
      <c r="D83" s="5" t="inlineStr">
        <is>
          <t>남구</t>
        </is>
      </c>
      <c r="E83" s="5" t="inlineStr">
        <is>
          <t>부산광역시 남구 분포로 111</t>
        </is>
      </c>
      <c r="F83" s="11" t="inlineStr">
        <is>
          <t>http://school.busanedu.net/lgmetrocity-k</t>
        </is>
      </c>
      <c r="G83" s="5" t="inlineStr">
        <is>
          <t>051-612-7111</t>
        </is>
      </c>
      <c r="H83" s="12">
        <f>유치원!N83</f>
        <v/>
      </c>
      <c r="I83" s="5" t="inlineStr">
        <is>
          <t>만3세 78 / 만4세 52 / 만5세 77</t>
        </is>
      </c>
    </row>
    <row r="84">
      <c r="A84" s="5" t="inlineStr">
        <is>
          <t>계명유치원</t>
        </is>
      </c>
      <c r="B84" s="5" t="inlineStr">
        <is>
          <t>유치원</t>
        </is>
      </c>
      <c r="C84" s="5" t="inlineStr">
        <is>
          <t>사립(사인)</t>
        </is>
      </c>
      <c r="D84" s="5" t="inlineStr">
        <is>
          <t>남구</t>
        </is>
      </c>
      <c r="E84" s="5" t="inlineStr">
        <is>
          <t>부산광역시 남구 동명로145번다길 18</t>
        </is>
      </c>
      <c r="F84" s="5" t="inlineStr"/>
      <c r="G84" s="5" t="inlineStr">
        <is>
          <t>051-623-2637</t>
        </is>
      </c>
      <c r="H84" s="12">
        <f>유치원!N84</f>
        <v/>
      </c>
      <c r="I84" s="5" t="inlineStr">
        <is>
          <t>만3세 10 / 만4세 14 / 만5세 18</t>
        </is>
      </c>
    </row>
    <row r="85">
      <c r="A85" s="5" t="inlineStr">
        <is>
          <t>대연자연유치원</t>
        </is>
      </c>
      <c r="B85" s="5" t="inlineStr">
        <is>
          <t>유치원</t>
        </is>
      </c>
      <c r="C85" s="5" t="inlineStr">
        <is>
          <t>사립(사인)</t>
        </is>
      </c>
      <c r="D85" s="5" t="inlineStr">
        <is>
          <t>남구</t>
        </is>
      </c>
      <c r="E85" s="5" t="inlineStr">
        <is>
          <t>부산광역시 남구 수영로 345</t>
        </is>
      </c>
      <c r="F85" s="5" t="inlineStr"/>
      <c r="G85" s="5" t="inlineStr">
        <is>
          <t>051-894-6677</t>
        </is>
      </c>
      <c r="H85" s="12">
        <f>유치원!N85</f>
        <v/>
      </c>
      <c r="I85" s="5" t="inlineStr">
        <is>
          <t>만4세 96 / 만5세 100 / 연령혼합반 88</t>
        </is>
      </c>
    </row>
    <row r="86">
      <c r="A86" s="5" t="inlineStr">
        <is>
          <t>대천유치원</t>
        </is>
      </c>
      <c r="B86" s="5" t="inlineStr">
        <is>
          <t>유치원</t>
        </is>
      </c>
      <c r="C86" s="5" t="inlineStr">
        <is>
          <t>사립(사인)</t>
        </is>
      </c>
      <c r="D86" s="5" t="inlineStr">
        <is>
          <t>남구</t>
        </is>
      </c>
      <c r="E86" s="5" t="inlineStr">
        <is>
          <t>부산광역시 남구 유엔평화로47번길 125</t>
        </is>
      </c>
      <c r="F86" s="5" t="inlineStr"/>
      <c r="G86" s="5" t="inlineStr">
        <is>
          <t>051-627-5622</t>
        </is>
      </c>
      <c r="H86" s="12">
        <f>유치원!N86</f>
        <v/>
      </c>
      <c r="I86" s="5" t="inlineStr">
        <is>
          <t>만3세 33 / 만4세 34 / 만5세 29</t>
        </is>
      </c>
    </row>
    <row r="87">
      <c r="A87" s="5" t="inlineStr">
        <is>
          <t>롯데캐슬레전드유치원</t>
        </is>
      </c>
      <c r="B87" s="5" t="inlineStr">
        <is>
          <t>유치원</t>
        </is>
      </c>
      <c r="C87" s="5" t="inlineStr">
        <is>
          <t>사립(사인)</t>
        </is>
      </c>
      <c r="D87" s="5" t="inlineStr">
        <is>
          <t>남구</t>
        </is>
      </c>
      <c r="E87" s="5" t="inlineStr">
        <is>
          <t>부산광역시 남구 수영로 135</t>
        </is>
      </c>
      <c r="F87" s="5" t="inlineStr"/>
      <c r="G87" s="5" t="inlineStr">
        <is>
          <t>051-714-6757</t>
        </is>
      </c>
      <c r="H87" s="12">
        <f>유치원!N87</f>
        <v/>
      </c>
      <c r="I87" s="5" t="inlineStr">
        <is>
          <t>만4세 94 / 만5세 78 / 연령혼합반 66</t>
        </is>
      </c>
    </row>
    <row r="88">
      <c r="A88" s="5" t="inlineStr">
        <is>
          <t>마루유치원</t>
        </is>
      </c>
      <c r="B88" s="5" t="inlineStr">
        <is>
          <t>유치원</t>
        </is>
      </c>
      <c r="C88" s="5" t="inlineStr">
        <is>
          <t>사립(사인)</t>
        </is>
      </c>
      <c r="D88" s="5" t="inlineStr">
        <is>
          <t>남구</t>
        </is>
      </c>
      <c r="E88" s="5" t="inlineStr">
        <is>
          <t>부산광역시 남구 용주로30번길 69</t>
        </is>
      </c>
      <c r="F88" s="5" t="inlineStr"/>
      <c r="G88" s="5" t="inlineStr">
        <is>
          <t>051-714-7272</t>
        </is>
      </c>
      <c r="H88" s="12">
        <f>유치원!N88</f>
        <v/>
      </c>
      <c r="I88" s="5" t="inlineStr">
        <is>
          <t>만5세 52 / 연령혼합반 124</t>
        </is>
      </c>
    </row>
    <row r="89">
      <c r="A89" s="5" t="inlineStr">
        <is>
          <t>메트로자연유치원</t>
        </is>
      </c>
      <c r="B89" s="5" t="inlineStr">
        <is>
          <t>유치원</t>
        </is>
      </c>
      <c r="C89" s="5" t="inlineStr">
        <is>
          <t>사립(사인)</t>
        </is>
      </c>
      <c r="D89" s="5" t="inlineStr">
        <is>
          <t>남구</t>
        </is>
      </c>
      <c r="E89" s="5" t="inlineStr">
        <is>
          <t>부산광역시 남구 분포로 113</t>
        </is>
      </c>
      <c r="F89" s="5" t="inlineStr"/>
      <c r="G89" s="5" t="inlineStr">
        <is>
          <t>051-612-6677</t>
        </is>
      </c>
      <c r="H89" s="12">
        <f>유치원!N89</f>
        <v/>
      </c>
      <c r="I89" s="5" t="inlineStr">
        <is>
          <t>연령혼합반 156</t>
        </is>
      </c>
    </row>
    <row r="90">
      <c r="A90" s="5" t="inlineStr">
        <is>
          <t>명문글로벌유치원</t>
        </is>
      </c>
      <c r="B90" s="5" t="inlineStr">
        <is>
          <t>유치원</t>
        </is>
      </c>
      <c r="C90" s="5" t="inlineStr">
        <is>
          <t>사립(사인)</t>
        </is>
      </c>
      <c r="D90" s="5" t="inlineStr">
        <is>
          <t>남구</t>
        </is>
      </c>
      <c r="E90" s="5" t="inlineStr">
        <is>
          <t>부산광역시 남구 진남로232번길 51</t>
        </is>
      </c>
      <c r="F90" s="5" t="inlineStr"/>
      <c r="G90" s="5" t="inlineStr">
        <is>
          <t>051-636-0086</t>
        </is>
      </c>
      <c r="H90" s="12">
        <f>유치원!N90</f>
        <v/>
      </c>
      <c r="I90" s="5" t="inlineStr">
        <is>
          <t>연령혼합반 100</t>
        </is>
      </c>
    </row>
    <row r="91">
      <c r="A91" s="5" t="inlineStr">
        <is>
          <t>무지개유치원</t>
        </is>
      </c>
      <c r="B91" s="5" t="inlineStr">
        <is>
          <t>유치원</t>
        </is>
      </c>
      <c r="C91" s="5" t="inlineStr">
        <is>
          <t>사립(사인)</t>
        </is>
      </c>
      <c r="D91" s="5" t="inlineStr">
        <is>
          <t>남구</t>
        </is>
      </c>
      <c r="E91" s="5" t="inlineStr">
        <is>
          <t>부산광역시 남구 못골번영로 72</t>
        </is>
      </c>
      <c r="F91" s="5" t="inlineStr"/>
      <c r="G91" s="5" t="inlineStr">
        <is>
          <t>051-628-2878</t>
        </is>
      </c>
      <c r="H91" s="12">
        <f>유치원!N91</f>
        <v/>
      </c>
      <c r="I91" s="5" t="inlineStr">
        <is>
          <t>만3세 52 / 만4세 52 / 만5세 52</t>
        </is>
      </c>
    </row>
    <row r="92">
      <c r="A92" s="5" t="inlineStr">
        <is>
          <t>문현초등학교병설유치원</t>
        </is>
      </c>
      <c r="B92" s="5" t="inlineStr">
        <is>
          <t>유치원</t>
        </is>
      </c>
      <c r="C92" s="5" t="inlineStr">
        <is>
          <t>공립(병설)</t>
        </is>
      </c>
      <c r="D92" s="5" t="inlineStr">
        <is>
          <t>남구</t>
        </is>
      </c>
      <c r="E92" s="5" t="inlineStr">
        <is>
          <t>부산광역시 남구 고동골로 86-13</t>
        </is>
      </c>
      <c r="F92" s="11" t="inlineStr">
        <is>
          <t>http://moonhyun.es.kr/</t>
        </is>
      </c>
      <c r="G92" s="5" t="inlineStr">
        <is>
          <t>051-946-2122</t>
        </is>
      </c>
      <c r="H92" s="12">
        <f>유치원!N92</f>
        <v/>
      </c>
      <c r="I92" s="5" t="inlineStr">
        <is>
          <t>만3세 4 / 만4세 8 / 만5세 7 / 특수학급 2</t>
        </is>
      </c>
    </row>
    <row r="93">
      <c r="A93" s="5" t="inlineStr">
        <is>
          <t>백합유치원</t>
        </is>
      </c>
      <c r="B93" s="5" t="inlineStr">
        <is>
          <t>유치원</t>
        </is>
      </c>
      <c r="C93" s="5" t="inlineStr">
        <is>
          <t>사립(사인)</t>
        </is>
      </c>
      <c r="D93" s="5" t="inlineStr">
        <is>
          <t>남구</t>
        </is>
      </c>
      <c r="E93" s="5" t="inlineStr">
        <is>
          <t>부산광역시 남구 석포로73번나길 13</t>
        </is>
      </c>
      <c r="F93" s="5" t="inlineStr"/>
      <c r="G93" s="5" t="inlineStr">
        <is>
          <t>051-624-2980</t>
        </is>
      </c>
      <c r="H93" s="12">
        <f>유치원!N93</f>
        <v/>
      </c>
      <c r="I93" s="5" t="inlineStr">
        <is>
          <t>만3세 25 / 만4세 14 / 만5세 16</t>
        </is>
      </c>
    </row>
    <row r="94">
      <c r="A94" s="5" t="inlineStr">
        <is>
          <t>부산대연유치원</t>
        </is>
      </c>
      <c r="B94" s="5" t="inlineStr">
        <is>
          <t>유치원</t>
        </is>
      </c>
      <c r="C94" s="5" t="inlineStr">
        <is>
          <t>사립(사인)</t>
        </is>
      </c>
      <c r="D94" s="5" t="inlineStr">
        <is>
          <t>남구</t>
        </is>
      </c>
      <c r="E94" s="5" t="inlineStr">
        <is>
          <t>부산광역시 남구 진남로165번길 4</t>
        </is>
      </c>
      <c r="F94" s="11" t="inlineStr">
        <is>
          <t>https://school.busanedu.net/daeyeon-k</t>
        </is>
      </c>
      <c r="G94" s="5" t="inlineStr">
        <is>
          <t>051-633-7755</t>
        </is>
      </c>
      <c r="H94" s="12">
        <f>유치원!N94</f>
        <v/>
      </c>
      <c r="I94" s="5" t="inlineStr">
        <is>
          <t>만4세 70 / 만5세 77 / 연령혼합반 60</t>
        </is>
      </c>
    </row>
    <row r="95">
      <c r="A95" s="5" t="inlineStr">
        <is>
          <t>새부산유치원</t>
        </is>
      </c>
      <c r="B95" s="5" t="inlineStr">
        <is>
          <t>유치원</t>
        </is>
      </c>
      <c r="C95" s="5" t="inlineStr">
        <is>
          <t>사립(사인)</t>
        </is>
      </c>
      <c r="D95" s="5" t="inlineStr">
        <is>
          <t>남구</t>
        </is>
      </c>
      <c r="E95" s="5" t="inlineStr">
        <is>
          <t>부산광역시 남구 황령대로319번나길 14</t>
        </is>
      </c>
      <c r="F95" s="11" t="inlineStr">
        <is>
          <t>http://home.saebusan.modukids.com</t>
        </is>
      </c>
      <c r="G95" s="5" t="inlineStr">
        <is>
          <t>051-611-2277</t>
        </is>
      </c>
      <c r="H95" s="12">
        <f>유치원!N95</f>
        <v/>
      </c>
      <c r="I95" s="5" t="inlineStr">
        <is>
          <t>만3세 48 / 만4세 61 / 만5세 57 / 연령혼합반 33</t>
        </is>
      </c>
    </row>
    <row r="96">
      <c r="A96" s="5" t="inlineStr">
        <is>
          <t>색동유치원</t>
        </is>
      </c>
      <c r="B96" s="5" t="inlineStr">
        <is>
          <t>유치원</t>
        </is>
      </c>
      <c r="C96" s="5" t="inlineStr">
        <is>
          <t>사립(사인)</t>
        </is>
      </c>
      <c r="D96" s="5" t="inlineStr">
        <is>
          <t>남구</t>
        </is>
      </c>
      <c r="E96" s="5" t="inlineStr">
        <is>
          <t>부산광역시 남구 유엔로120번가길 121</t>
        </is>
      </c>
      <c r="F96" s="5" t="inlineStr"/>
      <c r="G96" s="5" t="inlineStr">
        <is>
          <t>051-647-6033</t>
        </is>
      </c>
      <c r="H96" s="12">
        <f>유치원!N96</f>
        <v/>
      </c>
      <c r="I96" s="5" t="inlineStr">
        <is>
          <t>만4세 69 / 만5세 52 / 연령혼합반 44</t>
        </is>
      </c>
    </row>
    <row r="97">
      <c r="A97" s="5" t="inlineStr">
        <is>
          <t>선화유치원</t>
        </is>
      </c>
      <c r="B97" s="5" t="inlineStr">
        <is>
          <t>유치원</t>
        </is>
      </c>
      <c r="C97" s="5" t="inlineStr">
        <is>
          <t>사립(사인)</t>
        </is>
      </c>
      <c r="D97" s="5" t="inlineStr">
        <is>
          <t>남구</t>
        </is>
      </c>
      <c r="E97" s="5" t="inlineStr">
        <is>
          <t>부산광역시 남구 우암로2번길 5</t>
        </is>
      </c>
      <c r="F97" s="5" t="inlineStr"/>
      <c r="G97" s="5" t="inlineStr">
        <is>
          <t>051-636-7886</t>
        </is>
      </c>
      <c r="H97" s="12">
        <f>유치원!N97</f>
        <v/>
      </c>
      <c r="I97" s="5" t="inlineStr"/>
    </row>
    <row r="98">
      <c r="A98" s="5" t="inlineStr">
        <is>
          <t>성동초등학교병설유치원</t>
        </is>
      </c>
      <c r="B98" s="5" t="inlineStr">
        <is>
          <t>유치원</t>
        </is>
      </c>
      <c r="C98" s="5" t="inlineStr">
        <is>
          <t>공립(병설)</t>
        </is>
      </c>
      <c r="D98" s="5" t="inlineStr">
        <is>
          <t>남구</t>
        </is>
      </c>
      <c r="E98" s="5" t="inlineStr">
        <is>
          <t>부산광역시 남구 전포대로68번길 27</t>
        </is>
      </c>
      <c r="F98" s="11" t="inlineStr">
        <is>
          <t>http://school.busanedu.net/esungdong-k/main.do</t>
        </is>
      </c>
      <c r="G98" s="5" t="inlineStr">
        <is>
          <t>051-950-1100</t>
        </is>
      </c>
      <c r="H98" s="12">
        <f>유치원!N98</f>
        <v/>
      </c>
      <c r="I98" s="5" t="inlineStr">
        <is>
          <t>만3세 11 / 만4세 14 / 만5세 21 / 특수학급 1</t>
        </is>
      </c>
    </row>
    <row r="99">
      <c r="A99" s="5" t="inlineStr">
        <is>
          <t>성신유치원</t>
        </is>
      </c>
      <c r="B99" s="5" t="inlineStr">
        <is>
          <t>유치원</t>
        </is>
      </c>
      <c r="C99" s="5" t="inlineStr">
        <is>
          <t>사립(법인)</t>
        </is>
      </c>
      <c r="D99" s="5" t="inlineStr">
        <is>
          <t>남구</t>
        </is>
      </c>
      <c r="E99" s="5" t="inlineStr">
        <is>
          <t>부산광역시 남구 수영로49번길 5</t>
        </is>
      </c>
      <c r="F99" s="11" t="inlineStr">
        <is>
          <t>http://school.busanedu.net/sungsin-k</t>
        </is>
      </c>
      <c r="G99" s="5" t="inlineStr">
        <is>
          <t>051-647-5654</t>
        </is>
      </c>
      <c r="H99" s="12">
        <f>유치원!N99</f>
        <v/>
      </c>
      <c r="I99" s="5" t="inlineStr">
        <is>
          <t>만3세 14 / 만4세 16 / 만5세 21</t>
        </is>
      </c>
    </row>
    <row r="100">
      <c r="A100" s="5" t="inlineStr">
        <is>
          <t>솔유치원</t>
        </is>
      </c>
      <c r="B100" s="5" t="inlineStr">
        <is>
          <t>유치원</t>
        </is>
      </c>
      <c r="C100" s="5" t="inlineStr">
        <is>
          <t>사립(사인)</t>
        </is>
      </c>
      <c r="D100" s="5" t="inlineStr">
        <is>
          <t>남구</t>
        </is>
      </c>
      <c r="E100" s="5" t="inlineStr">
        <is>
          <t>부산광역시 남구 용호로231번길 128</t>
        </is>
      </c>
      <c r="F100" s="11" t="inlineStr">
        <is>
          <t>http://school.busanedu.net/sol-k</t>
        </is>
      </c>
      <c r="G100" s="5" t="inlineStr">
        <is>
          <t>051-611-1955</t>
        </is>
      </c>
      <c r="H100" s="12">
        <f>유치원!N100</f>
        <v/>
      </c>
      <c r="I100" s="5" t="inlineStr">
        <is>
          <t>만3세 14 / 만4세 8 / 만5세 7</t>
        </is>
      </c>
    </row>
    <row r="101">
      <c r="A101" s="5" t="inlineStr">
        <is>
          <t>연포초등학교병설유치원</t>
        </is>
      </c>
      <c r="B101" s="5" t="inlineStr">
        <is>
          <t>유치원</t>
        </is>
      </c>
      <c r="C101" s="5" t="inlineStr">
        <is>
          <t>공립(병설)</t>
        </is>
      </c>
      <c r="D101" s="5" t="inlineStr">
        <is>
          <t>남구</t>
        </is>
      </c>
      <c r="E101" s="5" t="inlineStr">
        <is>
          <t>부산광역시 남구 못골로 17</t>
        </is>
      </c>
      <c r="F101" s="11" t="inlineStr">
        <is>
          <t>http://school.busanedu.net/yonpo-k/main.do</t>
        </is>
      </c>
      <c r="G101" s="5" t="inlineStr">
        <is>
          <t>051-630-1090</t>
        </is>
      </c>
      <c r="H101" s="12">
        <f>유치원!N101</f>
        <v/>
      </c>
      <c r="I101" s="5" t="inlineStr">
        <is>
          <t>만3세 13 / 만4세 19 / 만5세 26 / 특수학급 5</t>
        </is>
      </c>
    </row>
    <row r="102">
      <c r="A102" s="5" t="inlineStr">
        <is>
          <t>용산초등학교병설유치원</t>
        </is>
      </c>
      <c r="B102" s="5" t="inlineStr">
        <is>
          <t>유치원</t>
        </is>
      </c>
      <c r="C102" s="5" t="inlineStr">
        <is>
          <t>공립(병설)</t>
        </is>
      </c>
      <c r="D102" s="5" t="inlineStr">
        <is>
          <t>남구</t>
        </is>
      </c>
      <c r="E102" s="5" t="inlineStr">
        <is>
          <t>부산광역시 남구 동명로176번길 55</t>
        </is>
      </c>
      <c r="F102" s="11" t="inlineStr">
        <is>
          <t>http://school.busanedu.net/yong-san-k/main.do</t>
        </is>
      </c>
      <c r="G102" s="5" t="inlineStr">
        <is>
          <t>051-610-7326</t>
        </is>
      </c>
      <c r="H102" s="12">
        <f>유치원!N102</f>
        <v/>
      </c>
      <c r="I102" s="5" t="inlineStr">
        <is>
          <t>만5세 8 / 연령혼합반 8 / 특수학급 1</t>
        </is>
      </c>
    </row>
    <row r="103">
      <c r="A103" s="5" t="inlineStr">
        <is>
          <t>용소초등학교병설유치원</t>
        </is>
      </c>
      <c r="B103" s="5" t="inlineStr">
        <is>
          <t>유치원</t>
        </is>
      </c>
      <c r="C103" s="5" t="inlineStr">
        <is>
          <t>공립(병설)</t>
        </is>
      </c>
      <c r="D103" s="5" t="inlineStr">
        <is>
          <t>남구</t>
        </is>
      </c>
      <c r="E103" s="5" t="inlineStr">
        <is>
          <t>부산광역시 남구 수영로325번길 114</t>
        </is>
      </c>
      <c r="F103" s="11" t="inlineStr">
        <is>
          <t>http://school.busanedu.net/yong-so-k/main.do</t>
        </is>
      </c>
      <c r="G103" s="5" t="inlineStr">
        <is>
          <t>051-750-9780</t>
        </is>
      </c>
      <c r="H103" s="12">
        <f>유치원!N103</f>
        <v/>
      </c>
      <c r="I103" s="5" t="inlineStr">
        <is>
          <t>만3세 13 / 만4세 22 / 만5세 17</t>
        </is>
      </c>
    </row>
    <row r="104">
      <c r="A104" s="5" t="inlineStr">
        <is>
          <t>우암초등학교병설유치원</t>
        </is>
      </c>
      <c r="B104" s="5" t="inlineStr">
        <is>
          <t>유치원</t>
        </is>
      </c>
      <c r="C104" s="5" t="inlineStr">
        <is>
          <t>공립(병설)</t>
        </is>
      </c>
      <c r="D104" s="5" t="inlineStr">
        <is>
          <t>남구</t>
        </is>
      </c>
      <c r="E104" s="5" t="inlineStr">
        <is>
          <t>부산광역시 남구 우암로 190-19</t>
        </is>
      </c>
      <c r="F104" s="11" t="inlineStr">
        <is>
          <t>http://school.busanedu.net/uambusan-k</t>
        </is>
      </c>
      <c r="G104" s="5" t="inlineStr">
        <is>
          <t>070-8709-2117</t>
        </is>
      </c>
      <c r="H104" s="12">
        <f>유치원!N104</f>
        <v/>
      </c>
      <c r="I104" s="5" t="inlineStr">
        <is>
          <t>연령혼합반 9</t>
        </is>
      </c>
    </row>
    <row r="105">
      <c r="A105" s="5" t="inlineStr">
        <is>
          <t>은하유치원</t>
        </is>
      </c>
      <c r="B105" s="5" t="inlineStr">
        <is>
          <t>유치원</t>
        </is>
      </c>
      <c r="C105" s="5" t="inlineStr">
        <is>
          <t>사립(법인)</t>
        </is>
      </c>
      <c r="D105" s="5" t="inlineStr">
        <is>
          <t>남구</t>
        </is>
      </c>
      <c r="E105" s="5" t="inlineStr">
        <is>
          <t>부산광역시 남구 수영로266번길 54</t>
        </is>
      </c>
      <c r="F105" s="11" t="inlineStr">
        <is>
          <t>http://school.busanedu.net/eunha-k/main.do</t>
        </is>
      </c>
      <c r="G105" s="5" t="inlineStr">
        <is>
          <t>051-627-0635</t>
        </is>
      </c>
      <c r="H105" s="12">
        <f>유치원!N105</f>
        <v/>
      </c>
      <c r="I105" s="5" t="inlineStr">
        <is>
          <t>만3세 16 / 만4세 18 / 만5세 23</t>
        </is>
      </c>
    </row>
    <row r="106">
      <c r="A106" s="5" t="inlineStr">
        <is>
          <t>키즈포레유치원</t>
        </is>
      </c>
      <c r="B106" s="5" t="inlineStr">
        <is>
          <t>유치원</t>
        </is>
      </c>
      <c r="C106" s="5" t="inlineStr">
        <is>
          <t>사립(사인)</t>
        </is>
      </c>
      <c r="D106" s="5" t="inlineStr">
        <is>
          <t>남구</t>
        </is>
      </c>
      <c r="E106" s="5" t="inlineStr">
        <is>
          <t>부산광역시 남구 유엔평화로47번길 98</t>
        </is>
      </c>
      <c r="F106" s="5" t="inlineStr"/>
      <c r="G106" s="5" t="inlineStr">
        <is>
          <t>051-621-1331</t>
        </is>
      </c>
      <c r="H106" s="12">
        <f>유치원!N106</f>
        <v/>
      </c>
      <c r="I106" s="5" t="inlineStr">
        <is>
          <t>만4세 48 / 만5세 42 / 연령혼합반 44</t>
        </is>
      </c>
    </row>
    <row r="107">
      <c r="A107" s="5" t="inlineStr">
        <is>
          <t>해맑은유치원</t>
        </is>
      </c>
      <c r="B107" s="5" t="inlineStr">
        <is>
          <t>유치원</t>
        </is>
      </c>
      <c r="C107" s="5" t="inlineStr">
        <is>
          <t>사립(사인)</t>
        </is>
      </c>
      <c r="D107" s="5" t="inlineStr">
        <is>
          <t>남구</t>
        </is>
      </c>
      <c r="E107" s="5" t="inlineStr">
        <is>
          <t>부산광역시 남구 동명로118번길 63</t>
        </is>
      </c>
      <c r="F107" s="11" t="inlineStr">
        <is>
          <t>https://school.busanedu.net/haemalkeun-k</t>
        </is>
      </c>
      <c r="G107" s="5" t="inlineStr">
        <is>
          <t>051-624-0630</t>
        </is>
      </c>
      <c r="H107" s="12">
        <f>유치원!N107</f>
        <v/>
      </c>
      <c r="I107" s="5" t="inlineStr">
        <is>
          <t>만3세 12 / 만4세 24 / 만5세 24</t>
        </is>
      </c>
    </row>
    <row r="108">
      <c r="A108" s="5" t="inlineStr">
        <is>
          <t>동일유치원</t>
        </is>
      </c>
      <c r="B108" s="5" t="inlineStr">
        <is>
          <t>유치원</t>
        </is>
      </c>
      <c r="C108" s="5" t="inlineStr">
        <is>
          <t>공립(단설)</t>
        </is>
      </c>
      <c r="D108" s="5" t="inlineStr">
        <is>
          <t>동구</t>
        </is>
      </c>
      <c r="E108" s="5" t="inlineStr">
        <is>
          <t>부산광역시 동구 구봉로 46</t>
        </is>
      </c>
      <c r="F108" s="11" t="inlineStr">
        <is>
          <t>http://school.busanedu.net/dongilkid-k</t>
        </is>
      </c>
      <c r="G108" s="5" t="inlineStr">
        <is>
          <t>051-468-9882</t>
        </is>
      </c>
      <c r="H108" s="12">
        <f>유치원!N108</f>
        <v/>
      </c>
      <c r="I108" s="5" t="inlineStr">
        <is>
          <t>만3세 28 / 만4세 36 / 만5세 33 / 특수학급 4</t>
        </is>
      </c>
    </row>
    <row r="109">
      <c r="A109" s="5" t="inlineStr">
        <is>
          <t>묘음유치원</t>
        </is>
      </c>
      <c r="B109" s="5" t="inlineStr">
        <is>
          <t>유치원</t>
        </is>
      </c>
      <c r="C109" s="5" t="inlineStr">
        <is>
          <t>사립(사인)</t>
        </is>
      </c>
      <c r="D109" s="5" t="inlineStr">
        <is>
          <t>동구</t>
        </is>
      </c>
      <c r="E109" s="5" t="inlineStr">
        <is>
          <t>부산광역시 동구 홍곡남로53번길 19-6</t>
        </is>
      </c>
      <c r="F109" s="5" t="inlineStr"/>
      <c r="G109" s="5" t="inlineStr">
        <is>
          <t>051-465-2277</t>
        </is>
      </c>
      <c r="H109" s="12">
        <f>유치원!N109</f>
        <v/>
      </c>
      <c r="I109" s="5" t="inlineStr">
        <is>
          <t>만3세 28 / 만4세 39 / 만5세 42</t>
        </is>
      </c>
    </row>
    <row r="110">
      <c r="A110" s="5" t="inlineStr">
        <is>
          <t>범일초등학교병설유치원</t>
        </is>
      </c>
      <c r="B110" s="5" t="inlineStr">
        <is>
          <t>유치원</t>
        </is>
      </c>
      <c r="C110" s="5" t="inlineStr">
        <is>
          <t>공립(병설)</t>
        </is>
      </c>
      <c r="D110" s="5" t="inlineStr">
        <is>
          <t>동구</t>
        </is>
      </c>
      <c r="E110" s="5" t="inlineStr">
        <is>
          <t>부산광역시 동구 증산서로 55</t>
        </is>
      </c>
      <c r="F110" s="11" t="inlineStr">
        <is>
          <t>http://beom-il.es.kr</t>
        </is>
      </c>
      <c r="G110" s="5" t="inlineStr">
        <is>
          <t>051-630-6070</t>
        </is>
      </c>
      <c r="H110" s="12">
        <f>유치원!N110</f>
        <v/>
      </c>
      <c r="I110" s="5" t="inlineStr">
        <is>
          <t>연령혼합반 8</t>
        </is>
      </c>
    </row>
    <row r="111">
      <c r="A111" s="5" t="inlineStr">
        <is>
          <t>성남초등학교병설유치원</t>
        </is>
      </c>
      <c r="B111" s="5" t="inlineStr">
        <is>
          <t>유치원</t>
        </is>
      </c>
      <c r="C111" s="5" t="inlineStr">
        <is>
          <t>공립(병설)</t>
        </is>
      </c>
      <c r="D111" s="5" t="inlineStr">
        <is>
          <t>동구</t>
        </is>
      </c>
      <c r="E111" s="5" t="inlineStr">
        <is>
          <t>부산광역시 동구 범일로53번길 14</t>
        </is>
      </c>
      <c r="F111" s="11" t="inlineStr">
        <is>
          <t>http://school.busanedu.net/pusansungnam-k</t>
        </is>
      </c>
      <c r="G111" s="5" t="inlineStr">
        <is>
          <t>051-646-9754</t>
        </is>
      </c>
      <c r="H111" s="12">
        <f>유치원!N111</f>
        <v/>
      </c>
      <c r="I111" s="5" t="inlineStr">
        <is>
          <t>만3세 14 / 만4세 16 / 만5세 21</t>
        </is>
      </c>
    </row>
    <row r="112">
      <c r="A112" s="5" t="inlineStr">
        <is>
          <t>수성초등학교병설유치원</t>
        </is>
      </c>
      <c r="B112" s="5" t="inlineStr">
        <is>
          <t>유치원</t>
        </is>
      </c>
      <c r="C112" s="5" t="inlineStr">
        <is>
          <t>공립(병설)</t>
        </is>
      </c>
      <c r="D112" s="5" t="inlineStr">
        <is>
          <t>동구</t>
        </is>
      </c>
      <c r="E112" s="5" t="inlineStr">
        <is>
          <t>부산광역시 동구 망양로 807</t>
        </is>
      </c>
      <c r="F112" s="11" t="inlineStr">
        <is>
          <t>http://suseong.es.kr</t>
        </is>
      </c>
      <c r="G112" s="5" t="inlineStr">
        <is>
          <t>051-466-1838</t>
        </is>
      </c>
      <c r="H112" s="12">
        <f>유치원!N112</f>
        <v/>
      </c>
      <c r="I112" s="5" t="inlineStr">
        <is>
          <t>만3세 4 / 연령혼합반 5</t>
        </is>
      </c>
    </row>
    <row r="113">
      <c r="A113" s="5" t="inlineStr">
        <is>
          <t>일신유치원</t>
        </is>
      </c>
      <c r="B113" s="5" t="inlineStr">
        <is>
          <t>유치원</t>
        </is>
      </c>
      <c r="C113" s="5" t="inlineStr">
        <is>
          <t>사립(사인)</t>
        </is>
      </c>
      <c r="D113" s="5" t="inlineStr">
        <is>
          <t>동구</t>
        </is>
      </c>
      <c r="E113" s="5" t="inlineStr">
        <is>
          <t>부산광역시 동구 정공단로 17</t>
        </is>
      </c>
      <c r="F113" s="5" t="inlineStr"/>
      <c r="G113" s="5" t="inlineStr">
        <is>
          <t>051-632-3371</t>
        </is>
      </c>
      <c r="H113" s="12">
        <f>유치원!N113</f>
        <v/>
      </c>
      <c r="I113" s="5" t="inlineStr">
        <is>
          <t>만3세 8 / 만4세 7 / 만5세 19</t>
        </is>
      </c>
    </row>
    <row r="114">
      <c r="A114" s="5" t="inlineStr">
        <is>
          <t>한림유치원</t>
        </is>
      </c>
      <c r="B114" s="5" t="inlineStr">
        <is>
          <t>유치원</t>
        </is>
      </c>
      <c r="C114" s="5" t="inlineStr">
        <is>
          <t>사립(사인)</t>
        </is>
      </c>
      <c r="D114" s="5" t="inlineStr">
        <is>
          <t>동구</t>
        </is>
      </c>
      <c r="E114" s="5" t="inlineStr">
        <is>
          <t>부산광역시 동구 홍곡남로 3</t>
        </is>
      </c>
      <c r="F114" s="11" t="inlineStr">
        <is>
          <t>http://school.busanedu.net/hanlim-k</t>
        </is>
      </c>
      <c r="G114" s="5" t="inlineStr">
        <is>
          <t>051-464-1224</t>
        </is>
      </c>
      <c r="H114" s="12">
        <f>유치원!N114</f>
        <v/>
      </c>
      <c r="I114" s="5" t="inlineStr">
        <is>
          <t>만3세 76 / 만4세 78 / 만5세 75</t>
        </is>
      </c>
    </row>
    <row r="115">
      <c r="A115" s="5" t="inlineStr">
        <is>
          <t>교동초등학교병설유치원</t>
        </is>
      </c>
      <c r="B115" s="5" t="inlineStr">
        <is>
          <t>유치원</t>
        </is>
      </c>
      <c r="C115" s="5" t="inlineStr">
        <is>
          <t>공립(병설)</t>
        </is>
      </c>
      <c r="D115" s="5" t="inlineStr">
        <is>
          <t>동래구</t>
        </is>
      </c>
      <c r="E115" s="5" t="inlineStr">
        <is>
          <t>부산광역시 동래구 시실로 73-13</t>
        </is>
      </c>
      <c r="F115" s="11" t="inlineStr">
        <is>
          <t>http://school.busanedu.net/kd-k/main.do</t>
        </is>
      </c>
      <c r="G115" s="5" t="inlineStr">
        <is>
          <t>051-620-0191</t>
        </is>
      </c>
      <c r="H115" s="12">
        <f>유치원!N115</f>
        <v/>
      </c>
      <c r="I115" s="5" t="inlineStr">
        <is>
          <t>연령혼합반 4</t>
        </is>
      </c>
    </row>
    <row r="116">
      <c r="A116" s="5" t="inlineStr">
        <is>
          <t>낙민초등학교병설유치원</t>
        </is>
      </c>
      <c r="B116" s="5" t="inlineStr">
        <is>
          <t>유치원</t>
        </is>
      </c>
      <c r="C116" s="5" t="inlineStr">
        <is>
          <t>공립(병설)</t>
        </is>
      </c>
      <c r="D116" s="5" t="inlineStr">
        <is>
          <t>동래구</t>
        </is>
      </c>
      <c r="E116" s="5" t="inlineStr">
        <is>
          <t>부산광역시 동래구 충렬대로272번길 34</t>
        </is>
      </c>
      <c r="F116" s="11" t="inlineStr">
        <is>
          <t>http://school.busanedu.net/nakmin-k/main.do</t>
        </is>
      </c>
      <c r="G116" s="5" t="inlineStr">
        <is>
          <t>051-712-5270</t>
        </is>
      </c>
      <c r="H116" s="12">
        <f>유치원!N116</f>
        <v/>
      </c>
      <c r="I116" s="5" t="inlineStr">
        <is>
          <t>만3세 10 / 만4세 9 / 만5세 19</t>
        </is>
      </c>
    </row>
    <row r="117">
      <c r="A117" s="5" t="inlineStr">
        <is>
          <t>내성초등학교병설유치원</t>
        </is>
      </c>
      <c r="B117" s="5" t="inlineStr">
        <is>
          <t>유치원</t>
        </is>
      </c>
      <c r="C117" s="5" t="inlineStr">
        <is>
          <t>공립(병설)</t>
        </is>
      </c>
      <c r="D117" s="5" t="inlineStr">
        <is>
          <t>동래구</t>
        </is>
      </c>
      <c r="E117" s="5" t="inlineStr">
        <is>
          <t>부산광역시 동래구 동래로 173</t>
        </is>
      </c>
      <c r="F117" s="11" t="inlineStr">
        <is>
          <t>https://school.busanedu.net/naesung-k</t>
        </is>
      </c>
      <c r="G117" s="5" t="inlineStr">
        <is>
          <t>051-550-8695</t>
        </is>
      </c>
      <c r="H117" s="12">
        <f>유치원!N117</f>
        <v/>
      </c>
      <c r="I117" s="5" t="inlineStr">
        <is>
          <t>만3세 11 / 만4세 24 / 만5세 31 / 특수학급 4</t>
        </is>
      </c>
    </row>
    <row r="118">
      <c r="A118" s="5" t="inlineStr">
        <is>
          <t>느티나무유치원</t>
        </is>
      </c>
      <c r="B118" s="5" t="inlineStr">
        <is>
          <t>유치원</t>
        </is>
      </c>
      <c r="C118" s="5" t="inlineStr">
        <is>
          <t>사립(사인)</t>
        </is>
      </c>
      <c r="D118" s="5" t="inlineStr">
        <is>
          <t>동래구</t>
        </is>
      </c>
      <c r="E118" s="5" t="inlineStr">
        <is>
          <t>부산광역시 동래구 온천천로453번길 6</t>
        </is>
      </c>
      <c r="F118" s="5" t="inlineStr"/>
      <c r="G118" s="5" t="inlineStr">
        <is>
          <t>051-523-3970</t>
        </is>
      </c>
      <c r="H118" s="12">
        <f>유치원!N118</f>
        <v/>
      </c>
      <c r="I118" s="5" t="inlineStr">
        <is>
          <t>만3세 33 / 만4세 24 / 만5세 25</t>
        </is>
      </c>
    </row>
    <row r="119">
      <c r="A119" s="5" t="inlineStr">
        <is>
          <t>동래유치원</t>
        </is>
      </c>
      <c r="B119" s="5" t="inlineStr">
        <is>
          <t>유치원</t>
        </is>
      </c>
      <c r="C119" s="5" t="inlineStr">
        <is>
          <t>사립(법인)</t>
        </is>
      </c>
      <c r="D119" s="5" t="inlineStr">
        <is>
          <t>동래구</t>
        </is>
      </c>
      <c r="E119" s="5" t="inlineStr">
        <is>
          <t>부산광역시 동래구 동래로152번가길 21-9</t>
        </is>
      </c>
      <c r="F119" s="11" t="inlineStr">
        <is>
          <t>https://school.busanedu.net/dongnae-k/main.do</t>
        </is>
      </c>
      <c r="G119" s="5" t="inlineStr">
        <is>
          <t>051-552-4539</t>
        </is>
      </c>
      <c r="H119" s="12">
        <f>유치원!N119</f>
        <v/>
      </c>
      <c r="I119" s="5" t="inlineStr">
        <is>
          <t>만3세 11 / 만4세 11 / 만5세 15</t>
        </is>
      </c>
    </row>
    <row r="120">
      <c r="A120" s="5" t="inlineStr">
        <is>
          <t>럭키동래유치원</t>
        </is>
      </c>
      <c r="B120" s="5" t="inlineStr">
        <is>
          <t>유치원</t>
        </is>
      </c>
      <c r="C120" s="5" t="inlineStr">
        <is>
          <t>사립(사인)</t>
        </is>
      </c>
      <c r="D120" s="5" t="inlineStr">
        <is>
          <t>동래구</t>
        </is>
      </c>
      <c r="E120" s="5" t="inlineStr">
        <is>
          <t>부산광역시 동래구 중앙대로1367번길 85</t>
        </is>
      </c>
      <c r="F120" s="5" t="inlineStr"/>
      <c r="G120" s="5" t="inlineStr">
        <is>
          <t>051-554-6666</t>
        </is>
      </c>
      <c r="H120" s="12">
        <f>유치원!N120</f>
        <v/>
      </c>
      <c r="I120" s="5" t="inlineStr">
        <is>
          <t>만4세 24 / 만5세 51 / 연령혼합반 84</t>
        </is>
      </c>
    </row>
    <row r="121">
      <c r="A121" s="5" t="inlineStr">
        <is>
          <t>명륜자연유치원</t>
        </is>
      </c>
      <c r="B121" s="5" t="inlineStr">
        <is>
          <t>유치원</t>
        </is>
      </c>
      <c r="C121" s="5" t="inlineStr">
        <is>
          <t>사립(사인)</t>
        </is>
      </c>
      <c r="D121" s="5" t="inlineStr">
        <is>
          <t>동래구</t>
        </is>
      </c>
      <c r="E121" s="5" t="inlineStr">
        <is>
          <t>부산광역시 동래구 명륜로250번길 43</t>
        </is>
      </c>
      <c r="F121" s="5" t="inlineStr"/>
      <c r="G121" s="5" t="inlineStr">
        <is>
          <t>051-555-7650</t>
        </is>
      </c>
      <c r="H121" s="12">
        <f>유치원!N121</f>
        <v/>
      </c>
      <c r="I121" s="5" t="inlineStr">
        <is>
          <t>만3세 34 / 만4세 57 / 만5세 68</t>
        </is>
      </c>
    </row>
    <row r="122">
      <c r="A122" s="5" t="inlineStr">
        <is>
          <t>민들레유치원</t>
        </is>
      </c>
      <c r="B122" s="5" t="inlineStr">
        <is>
          <t>유치원</t>
        </is>
      </c>
      <c r="C122" s="5" t="inlineStr">
        <is>
          <t>사립(사인)</t>
        </is>
      </c>
      <c r="D122" s="5" t="inlineStr">
        <is>
          <t>동래구</t>
        </is>
      </c>
      <c r="E122" s="5" t="inlineStr">
        <is>
          <t>부산광역시 동래구 차밭골로49번길 41</t>
        </is>
      </c>
      <c r="F122" s="11" t="inlineStr">
        <is>
          <t>http://cafe.daum.net/mindulekids</t>
        </is>
      </c>
      <c r="G122" s="5" t="inlineStr">
        <is>
          <t>051-505-6116</t>
        </is>
      </c>
      <c r="H122" s="12">
        <f>유치원!N122</f>
        <v/>
      </c>
      <c r="I122" s="5" t="inlineStr">
        <is>
          <t>만4세 72 / 만5세 78 / 연령혼합반 66</t>
        </is>
      </c>
    </row>
    <row r="123">
      <c r="A123" s="5" t="inlineStr">
        <is>
          <t>법륜유치원</t>
        </is>
      </c>
      <c r="B123" s="5" t="inlineStr">
        <is>
          <t>유치원</t>
        </is>
      </c>
      <c r="C123" s="5" t="inlineStr">
        <is>
          <t>사립(사인)</t>
        </is>
      </c>
      <c r="D123" s="5" t="inlineStr">
        <is>
          <t>동래구</t>
        </is>
      </c>
      <c r="E123" s="5" t="inlineStr">
        <is>
          <t>부산광역시 동래구 동래로 160</t>
        </is>
      </c>
      <c r="F123" s="11" t="inlineStr">
        <is>
          <t>https://school.busanedu.net/pupryun-k</t>
        </is>
      </c>
      <c r="G123" s="5" t="inlineStr">
        <is>
          <t>051-553-7773</t>
        </is>
      </c>
      <c r="H123" s="12">
        <f>유치원!N123</f>
        <v/>
      </c>
      <c r="I123" s="5" t="inlineStr">
        <is>
          <t>만3세 27 / 만4세 21 / 만5세 16</t>
        </is>
      </c>
    </row>
    <row r="124">
      <c r="A124" s="5" t="inlineStr">
        <is>
          <t>쁘띠쁘아유치원</t>
        </is>
      </c>
      <c r="B124" s="5" t="inlineStr">
        <is>
          <t>유치원</t>
        </is>
      </c>
      <c r="C124" s="5" t="inlineStr">
        <is>
          <t>사립(사인)</t>
        </is>
      </c>
      <c r="D124" s="5" t="inlineStr">
        <is>
          <t>동래구</t>
        </is>
      </c>
      <c r="E124" s="5" t="inlineStr">
        <is>
          <t>부산광역시 동래구 쇠미로129번길 102-13</t>
        </is>
      </c>
      <c r="F124" s="5" t="inlineStr"/>
      <c r="G124" s="5" t="inlineStr">
        <is>
          <t>051-710-7179</t>
        </is>
      </c>
      <c r="H124" s="12">
        <f>유치원!N124</f>
        <v/>
      </c>
      <c r="I124" s="5" t="inlineStr">
        <is>
          <t>만3세 48 / 만4세 66 / 만5세 51 / 연령혼합반 25</t>
        </is>
      </c>
    </row>
    <row r="125">
      <c r="A125" s="5" t="inlineStr">
        <is>
          <t>사직유치원</t>
        </is>
      </c>
      <c r="B125" s="5" t="inlineStr">
        <is>
          <t>유치원</t>
        </is>
      </c>
      <c r="C125" s="5" t="inlineStr">
        <is>
          <t>사립(사인)</t>
        </is>
      </c>
      <c r="D125" s="5" t="inlineStr">
        <is>
          <t>동래구</t>
        </is>
      </c>
      <c r="E125" s="5" t="inlineStr">
        <is>
          <t>부산광역시 동래구 사직북로34번길 62</t>
        </is>
      </c>
      <c r="F125" s="11" t="inlineStr">
        <is>
          <t>https://school.busanedu.net/sajik-k</t>
        </is>
      </c>
      <c r="G125" s="5" t="inlineStr">
        <is>
          <t>051-502-4707</t>
        </is>
      </c>
      <c r="H125" s="12">
        <f>유치원!N125</f>
        <v/>
      </c>
      <c r="I125" s="5" t="inlineStr">
        <is>
          <t>만3세 16 / 만4세 37 / 만5세 24</t>
        </is>
      </c>
    </row>
    <row r="126">
      <c r="A126" s="5" t="inlineStr">
        <is>
          <t>사직자연유치원</t>
        </is>
      </c>
      <c r="B126" s="5" t="inlineStr">
        <is>
          <t>유치원</t>
        </is>
      </c>
      <c r="C126" s="5" t="inlineStr">
        <is>
          <t>사립(사인)</t>
        </is>
      </c>
      <c r="D126" s="5" t="inlineStr">
        <is>
          <t>동래구</t>
        </is>
      </c>
      <c r="E126" s="5" t="inlineStr">
        <is>
          <t>부산광역시 동래구 사직로 80</t>
        </is>
      </c>
      <c r="F126" s="11" t="inlineStr">
        <is>
          <t>http://school.busanedu.net/sajik6677-k/main.do</t>
        </is>
      </c>
      <c r="G126" s="5" t="inlineStr">
        <is>
          <t>051-517-6677</t>
        </is>
      </c>
      <c r="H126" s="12">
        <f>유치원!N126</f>
        <v/>
      </c>
      <c r="I126" s="5" t="inlineStr">
        <is>
          <t>만5세 104 / 연령혼합반 159</t>
        </is>
      </c>
    </row>
    <row r="127">
      <c r="A127" s="5" t="inlineStr">
        <is>
          <t>수안유치원</t>
        </is>
      </c>
      <c r="B127" s="5" t="inlineStr">
        <is>
          <t>유치원</t>
        </is>
      </c>
      <c r="C127" s="5" t="inlineStr">
        <is>
          <t>사립(법인)</t>
        </is>
      </c>
      <c r="D127" s="5" t="inlineStr">
        <is>
          <t>동래구</t>
        </is>
      </c>
      <c r="E127" s="5" t="inlineStr">
        <is>
          <t>부산광역시 동래구 충렬대로237번길 57</t>
        </is>
      </c>
      <c r="F127" s="11" t="inlineStr">
        <is>
          <t>http://school.busanedu.net/suan-k</t>
        </is>
      </c>
      <c r="G127" s="5" t="inlineStr">
        <is>
          <t>051-552-6992</t>
        </is>
      </c>
      <c r="H127" s="12">
        <f>유치원!N127</f>
        <v/>
      </c>
      <c r="I127" s="5" t="inlineStr">
        <is>
          <t>만5세 6 / 연령혼합반 14</t>
        </is>
      </c>
    </row>
    <row r="128">
      <c r="A128" s="5" t="inlineStr">
        <is>
          <t>스펀지유치원</t>
        </is>
      </c>
      <c r="B128" s="5" t="inlineStr">
        <is>
          <t>유치원</t>
        </is>
      </c>
      <c r="C128" s="5" t="inlineStr">
        <is>
          <t>사립(사인)</t>
        </is>
      </c>
      <c r="D128" s="5" t="inlineStr">
        <is>
          <t>동래구</t>
        </is>
      </c>
      <c r="E128" s="5" t="inlineStr">
        <is>
          <t>부산광역시 동래구 안남로 36</t>
        </is>
      </c>
      <c r="F128" s="5" t="inlineStr"/>
      <c r="G128" s="5" t="inlineStr">
        <is>
          <t>051-523-7050</t>
        </is>
      </c>
      <c r="H128" s="12">
        <f>유치원!N128</f>
        <v/>
      </c>
      <c r="I128" s="5" t="inlineStr">
        <is>
          <t>만3세 31 / 만4세 24 / 만5세 23 / 연령혼합반 22</t>
        </is>
      </c>
    </row>
    <row r="129">
      <c r="A129" s="5" t="inlineStr">
        <is>
          <t>승원유치원</t>
        </is>
      </c>
      <c r="B129" s="5" t="inlineStr">
        <is>
          <t>유치원</t>
        </is>
      </c>
      <c r="C129" s="5" t="inlineStr">
        <is>
          <t>사립(사인)</t>
        </is>
      </c>
      <c r="D129" s="5" t="inlineStr">
        <is>
          <t>동래구</t>
        </is>
      </c>
      <c r="E129" s="5" t="inlineStr">
        <is>
          <t>부산광역시 동래구 아시아드대로108번길 85</t>
        </is>
      </c>
      <c r="F129" s="5" t="inlineStr"/>
      <c r="G129" s="5" t="inlineStr">
        <is>
          <t>051-502-4007</t>
        </is>
      </c>
      <c r="H129" s="12">
        <f>유치원!N129</f>
        <v/>
      </c>
      <c r="I129" s="5" t="inlineStr">
        <is>
          <t>만5세 78 / 연령혼합반 130</t>
        </is>
      </c>
    </row>
    <row r="130">
      <c r="A130" s="5" t="inlineStr">
        <is>
          <t>아이숲유치원</t>
        </is>
      </c>
      <c r="B130" s="5" t="inlineStr">
        <is>
          <t>유치원</t>
        </is>
      </c>
      <c r="C130" s="5" t="inlineStr">
        <is>
          <t>사립(사인)</t>
        </is>
      </c>
      <c r="D130" s="5" t="inlineStr">
        <is>
          <t>동래구</t>
        </is>
      </c>
      <c r="E130" s="5" t="inlineStr">
        <is>
          <t>부산광역시 동래구 옥봉로14번길 25</t>
        </is>
      </c>
      <c r="F130" s="5" t="inlineStr"/>
      <c r="G130" s="5" t="inlineStr">
        <is>
          <t>051-524-5279</t>
        </is>
      </c>
      <c r="H130" s="12">
        <f>유치원!N130</f>
        <v/>
      </c>
      <c r="I130" s="5" t="inlineStr">
        <is>
          <t>만3세 29 / 만4세 38 / 만5세 25</t>
        </is>
      </c>
    </row>
    <row r="131">
      <c r="A131" s="5" t="inlineStr">
        <is>
          <t>안락초등학교병설유치원</t>
        </is>
      </c>
      <c r="B131" s="5" t="inlineStr">
        <is>
          <t>유치원</t>
        </is>
      </c>
      <c r="C131" s="5" t="inlineStr">
        <is>
          <t>공립(병설)</t>
        </is>
      </c>
      <c r="D131" s="5" t="inlineStr">
        <is>
          <t>동래구</t>
        </is>
      </c>
      <c r="E131" s="5" t="inlineStr">
        <is>
          <t>부산광역시 동래구 명안로53번길 22</t>
        </is>
      </c>
      <c r="F131" s="11" t="inlineStr">
        <is>
          <t>http://anrak.es.kr/</t>
        </is>
      </c>
      <c r="G131" s="5" t="inlineStr">
        <is>
          <t>051-713-8515</t>
        </is>
      </c>
      <c r="H131" s="12">
        <f>유치원!N131</f>
        <v/>
      </c>
      <c r="I131" s="5" t="inlineStr">
        <is>
          <t>만3세 7 / 만4세 10 / 만5세 9</t>
        </is>
      </c>
    </row>
    <row r="132">
      <c r="A132" s="5" t="inlineStr">
        <is>
          <t>안성자연유치원</t>
        </is>
      </c>
      <c r="B132" s="5" t="inlineStr">
        <is>
          <t>유치원</t>
        </is>
      </c>
      <c r="C132" s="5" t="inlineStr">
        <is>
          <t>사립(사인)</t>
        </is>
      </c>
      <c r="D132" s="5" t="inlineStr">
        <is>
          <t>동래구</t>
        </is>
      </c>
      <c r="E132" s="5" t="inlineStr">
        <is>
          <t>부산광역시 동래구 명안로77번길 35</t>
        </is>
      </c>
      <c r="F132" s="5" t="inlineStr"/>
      <c r="G132" s="5" t="inlineStr">
        <is>
          <t>051-523-9785</t>
        </is>
      </c>
      <c r="H132" s="12">
        <f>유치원!N132</f>
        <v/>
      </c>
      <c r="I132" s="5" t="inlineStr">
        <is>
          <t>만3세 16 / 만4세 44 / 만5세 39</t>
        </is>
      </c>
    </row>
    <row r="133">
      <c r="A133" s="5" t="inlineStr">
        <is>
          <t>안진초등학교병설유치원</t>
        </is>
      </c>
      <c r="B133" s="5" t="inlineStr">
        <is>
          <t>유치원</t>
        </is>
      </c>
      <c r="C133" s="5" t="inlineStr">
        <is>
          <t>공립(병설)</t>
        </is>
      </c>
      <c r="D133" s="5" t="inlineStr">
        <is>
          <t>동래구</t>
        </is>
      </c>
      <c r="E133" s="5" t="inlineStr">
        <is>
          <t>부산광역시 동래구 안남로 63</t>
        </is>
      </c>
      <c r="F133" s="11" t="inlineStr">
        <is>
          <t>https://school.busanedu.net/anjin-k/main.do</t>
        </is>
      </c>
      <c r="G133" s="5" t="inlineStr">
        <is>
          <t>051-520-1646</t>
        </is>
      </c>
      <c r="H133" s="12">
        <f>유치원!N133</f>
        <v/>
      </c>
      <c r="I133" s="5" t="inlineStr">
        <is>
          <t>만3세 8 / 만4세 19 / 만5세 19</t>
        </is>
      </c>
    </row>
    <row r="134">
      <c r="A134" s="5" t="inlineStr">
        <is>
          <t>여고유치원</t>
        </is>
      </c>
      <c r="B134" s="5" t="inlineStr">
        <is>
          <t>유치원</t>
        </is>
      </c>
      <c r="C134" s="5" t="inlineStr">
        <is>
          <t>사립(사인)</t>
        </is>
      </c>
      <c r="D134" s="5" t="inlineStr">
        <is>
          <t>동래구</t>
        </is>
      </c>
      <c r="E134" s="5" t="inlineStr">
        <is>
          <t>부산광역시 동래구 여고북로60번길 18</t>
        </is>
      </c>
      <c r="F134" s="11" t="inlineStr">
        <is>
          <t>https://www.yeogo.co.kr</t>
        </is>
      </c>
      <c r="G134" s="5" t="inlineStr">
        <is>
          <t>051-502-9479</t>
        </is>
      </c>
      <c r="H134" s="12">
        <f>유치원!N134</f>
        <v/>
      </c>
      <c r="I134" s="5" t="inlineStr">
        <is>
          <t>만3세 16 / 만4세 48 / 만5세 78</t>
        </is>
      </c>
    </row>
    <row r="135">
      <c r="A135" s="5" t="inlineStr">
        <is>
          <t>예람유치원</t>
        </is>
      </c>
      <c r="B135" s="5" t="inlineStr">
        <is>
          <t>유치원</t>
        </is>
      </c>
      <c r="C135" s="5" t="inlineStr">
        <is>
          <t>사립(법인)</t>
        </is>
      </c>
      <c r="D135" s="5" t="inlineStr">
        <is>
          <t>동래구</t>
        </is>
      </c>
      <c r="E135" s="5" t="inlineStr">
        <is>
          <t>부산광역시 동래구 충렬대로202번가길 24</t>
        </is>
      </c>
      <c r="F135" s="5" t="inlineStr"/>
      <c r="G135" s="5" t="inlineStr">
        <is>
          <t>051-555-7537</t>
        </is>
      </c>
      <c r="H135" s="12">
        <f>유치원!N135</f>
        <v/>
      </c>
      <c r="I135" s="5" t="inlineStr">
        <is>
          <t>만3세 11 / 만4세 10 / 만5세 6</t>
        </is>
      </c>
    </row>
    <row r="136">
      <c r="A136" s="5" t="inlineStr">
        <is>
          <t>예인유치원</t>
        </is>
      </c>
      <c r="B136" s="5" t="inlineStr">
        <is>
          <t>유치원</t>
        </is>
      </c>
      <c r="C136" s="5" t="inlineStr">
        <is>
          <t>사립(사인)</t>
        </is>
      </c>
      <c r="D136" s="5" t="inlineStr">
        <is>
          <t>동래구</t>
        </is>
      </c>
      <c r="E136" s="5" t="inlineStr">
        <is>
          <t>부산광역시 동래구 쇠미로 37</t>
        </is>
      </c>
      <c r="F136" s="11" t="inlineStr">
        <is>
          <t>https://school.busanedu.net/yeinkid-k/main.do</t>
        </is>
      </c>
      <c r="G136" s="5" t="inlineStr">
        <is>
          <t>051-501-6655</t>
        </is>
      </c>
      <c r="H136" s="12">
        <f>유치원!N136</f>
        <v/>
      </c>
      <c r="I136" s="5" t="inlineStr">
        <is>
          <t>만3세 63 / 만4세 65 / 만5세 74</t>
        </is>
      </c>
    </row>
    <row r="137">
      <c r="A137" s="5" t="inlineStr">
        <is>
          <t>온샘초등학교병설유치원</t>
        </is>
      </c>
      <c r="B137" s="5" t="inlineStr">
        <is>
          <t>유치원</t>
        </is>
      </c>
      <c r="C137" s="5" t="inlineStr">
        <is>
          <t>공립(병설)</t>
        </is>
      </c>
      <c r="D137" s="5" t="inlineStr">
        <is>
          <t>동래구</t>
        </is>
      </c>
      <c r="E137" s="5" t="inlineStr">
        <is>
          <t>부산광역시 동래구 충렬대로75번길 25</t>
        </is>
      </c>
      <c r="F137" s="11" t="inlineStr">
        <is>
          <t>http://school.busanedu.net/onsaem-k/main.do</t>
        </is>
      </c>
      <c r="G137" s="5" t="inlineStr">
        <is>
          <t>051-667-6997</t>
        </is>
      </c>
      <c r="H137" s="12">
        <f>유치원!N137</f>
        <v/>
      </c>
      <c r="I137" s="5" t="inlineStr">
        <is>
          <t>만3세 14 / 만4세 18 / 만5세 36</t>
        </is>
      </c>
    </row>
    <row r="138">
      <c r="A138" s="5" t="inlineStr">
        <is>
          <t>한누리유치원</t>
        </is>
      </c>
      <c r="B138" s="5" t="inlineStr">
        <is>
          <t>유치원</t>
        </is>
      </c>
      <c r="C138" s="5" t="inlineStr">
        <is>
          <t>사립(사인)</t>
        </is>
      </c>
      <c r="D138" s="5" t="inlineStr">
        <is>
          <t>동래구</t>
        </is>
      </c>
      <c r="E138" s="5" t="inlineStr">
        <is>
          <t>부산광역시 동래구 쇠미로71번길 47-2</t>
        </is>
      </c>
      <c r="F138" s="11" t="inlineStr">
        <is>
          <t>http://cafe.daum.net/hannuri2207</t>
        </is>
      </c>
      <c r="G138" s="5" t="inlineStr">
        <is>
          <t>051-507-2207</t>
        </is>
      </c>
      <c r="H138" s="12">
        <f>유치원!N138</f>
        <v/>
      </c>
      <c r="I138" s="5" t="inlineStr">
        <is>
          <t>만3세 16 / 만4세 72 / 만5세 52</t>
        </is>
      </c>
    </row>
    <row r="139">
      <c r="A139" s="5" t="inlineStr">
        <is>
          <t>해솔유치원</t>
        </is>
      </c>
      <c r="B139" s="5" t="inlineStr">
        <is>
          <t>유치원</t>
        </is>
      </c>
      <c r="C139" s="5" t="inlineStr">
        <is>
          <t>사립(사인)</t>
        </is>
      </c>
      <c r="D139" s="5" t="inlineStr">
        <is>
          <t>동래구</t>
        </is>
      </c>
      <c r="E139" s="5" t="inlineStr">
        <is>
          <t>부산광역시 동래구 명륜로236번길 9</t>
        </is>
      </c>
      <c r="F139" s="5" t="inlineStr"/>
      <c r="G139" s="5" t="inlineStr">
        <is>
          <t>051-714-5508</t>
        </is>
      </c>
      <c r="H139" s="12">
        <f>유치원!N139</f>
        <v/>
      </c>
      <c r="I139" s="5" t="inlineStr">
        <is>
          <t>만3세 16 / 만4세 20 / 만5세 37 / 연령혼합반 37</t>
        </is>
      </c>
    </row>
    <row r="140">
      <c r="A140" s="5" t="inlineStr">
        <is>
          <t>혜화유치원</t>
        </is>
      </c>
      <c r="B140" s="5" t="inlineStr">
        <is>
          <t>유치원</t>
        </is>
      </c>
      <c r="C140" s="5" t="inlineStr">
        <is>
          <t>사립(법인)</t>
        </is>
      </c>
      <c r="D140" s="5" t="inlineStr">
        <is>
          <t>동래구</t>
        </is>
      </c>
      <c r="E140" s="5" t="inlineStr">
        <is>
          <t>부산광역시 동래구 명장로99번길 27</t>
        </is>
      </c>
      <c r="F140" s="11" t="inlineStr">
        <is>
          <t>https://school.busanedu.net/hyehwa-k</t>
        </is>
      </c>
      <c r="G140" s="5" t="inlineStr">
        <is>
          <t>051-521-0630</t>
        </is>
      </c>
      <c r="H140" s="12">
        <f>유치원!N140</f>
        <v/>
      </c>
      <c r="I140" s="5" t="inlineStr">
        <is>
          <t>만3세 28 / 만4세 44 / 만5세 47</t>
        </is>
      </c>
    </row>
    <row r="141">
      <c r="A141" s="5" t="inlineStr">
        <is>
          <t>홍익유치원</t>
        </is>
      </c>
      <c r="B141" s="5" t="inlineStr">
        <is>
          <t>유치원</t>
        </is>
      </c>
      <c r="C141" s="5" t="inlineStr">
        <is>
          <t>사립(법인)</t>
        </is>
      </c>
      <c r="D141" s="5" t="inlineStr">
        <is>
          <t>동래구</t>
        </is>
      </c>
      <c r="E141" s="5" t="inlineStr">
        <is>
          <t>부산광역시 동래구 명안로25번길 9</t>
        </is>
      </c>
      <c r="F141" s="11" t="inlineStr">
        <is>
          <t>http://school.busanedu.net/HongikKindergarten-k</t>
        </is>
      </c>
      <c r="G141" s="5" t="inlineStr">
        <is>
          <t>051-527-4678</t>
        </is>
      </c>
      <c r="H141" s="12">
        <f>유치원!N141</f>
        <v/>
      </c>
      <c r="I141" s="5" t="inlineStr"/>
    </row>
    <row r="142">
      <c r="A142" s="5" t="inlineStr">
        <is>
          <t>개금유치원</t>
        </is>
      </c>
      <c r="B142" s="5" t="inlineStr">
        <is>
          <t>유치원</t>
        </is>
      </c>
      <c r="C142" s="5" t="inlineStr">
        <is>
          <t>사립(사인)</t>
        </is>
      </c>
      <c r="D142" s="5" t="inlineStr">
        <is>
          <t>부산진구</t>
        </is>
      </c>
      <c r="E142" s="5" t="inlineStr">
        <is>
          <t>부산광역시 부산진구 냉정로178번길 13</t>
        </is>
      </c>
      <c r="F142" s="5" t="inlineStr"/>
      <c r="G142" s="5" t="inlineStr">
        <is>
          <t>051-891-0031</t>
        </is>
      </c>
      <c r="H142" s="12">
        <f>유치원!N142</f>
        <v/>
      </c>
      <c r="I142" s="5" t="inlineStr"/>
    </row>
    <row r="143">
      <c r="A143" s="5" t="inlineStr">
        <is>
          <t>개림초등학교병설유치원</t>
        </is>
      </c>
      <c r="B143" s="5" t="inlineStr">
        <is>
          <t>유치원</t>
        </is>
      </c>
      <c r="C143" s="5" t="inlineStr">
        <is>
          <t>공립(병설)</t>
        </is>
      </c>
      <c r="D143" s="5" t="inlineStr">
        <is>
          <t>부산진구</t>
        </is>
      </c>
      <c r="E143" s="5" t="inlineStr">
        <is>
          <t>부산광역시 부산진구 백양대로320번길 40</t>
        </is>
      </c>
      <c r="F143" s="11" t="inlineStr">
        <is>
          <t>http://school.busanedu.net/gaerim-k</t>
        </is>
      </c>
      <c r="G143" s="5" t="inlineStr">
        <is>
          <t>051-607-7091</t>
        </is>
      </c>
      <c r="H143" s="12">
        <f>유치원!N143</f>
        <v/>
      </c>
      <c r="I143" s="5" t="inlineStr">
        <is>
          <t>만4세 12 / 만5세 17 / 연령혼합반 3</t>
        </is>
      </c>
    </row>
    <row r="144">
      <c r="A144" s="5" t="inlineStr">
        <is>
          <t>개포초등학교병설유치원</t>
        </is>
      </c>
      <c r="B144" s="5" t="inlineStr">
        <is>
          <t>유치원</t>
        </is>
      </c>
      <c r="C144" s="5" t="inlineStr">
        <is>
          <t>공립(병설)</t>
        </is>
      </c>
      <c r="D144" s="5" t="inlineStr">
        <is>
          <t>부산진구</t>
        </is>
      </c>
      <c r="E144" s="5" t="inlineStr">
        <is>
          <t>부산광역시 부산진구 백양대로208번길 9</t>
        </is>
      </c>
      <c r="F144" s="11" t="inlineStr">
        <is>
          <t>http://school.busanedu.net/gaepo-k</t>
        </is>
      </c>
      <c r="G144" s="5" t="inlineStr">
        <is>
          <t>051-930-8037</t>
        </is>
      </c>
      <c r="H144" s="12">
        <f>유치원!N144</f>
        <v/>
      </c>
      <c r="I144" s="5" t="inlineStr">
        <is>
          <t>연령혼합반 4 / 특수학급 3</t>
        </is>
      </c>
    </row>
    <row r="145">
      <c r="A145" s="5" t="inlineStr">
        <is>
          <t>금란유치원</t>
        </is>
      </c>
      <c r="B145" s="5" t="inlineStr">
        <is>
          <t>유치원</t>
        </is>
      </c>
      <c r="C145" s="5" t="inlineStr">
        <is>
          <t>사립(사인)</t>
        </is>
      </c>
      <c r="D145" s="5" t="inlineStr">
        <is>
          <t>부산진구</t>
        </is>
      </c>
      <c r="E145" s="5" t="inlineStr">
        <is>
          <t>부산광역시 부산진구 백양관문로 25-29</t>
        </is>
      </c>
      <c r="F145" s="5" t="inlineStr"/>
      <c r="G145" s="5" t="inlineStr">
        <is>
          <t>051-896-5100</t>
        </is>
      </c>
      <c r="H145" s="12">
        <f>유치원!N145</f>
        <v/>
      </c>
      <c r="I145" s="5" t="inlineStr">
        <is>
          <t>만4세 23 / 만5세 24 / 연령혼합반 146</t>
        </is>
      </c>
    </row>
    <row r="146">
      <c r="A146" s="5" t="inlineStr">
        <is>
          <t>늘푸른유치원</t>
        </is>
      </c>
      <c r="B146" s="5" t="inlineStr">
        <is>
          <t>유치원</t>
        </is>
      </c>
      <c r="C146" s="5" t="inlineStr">
        <is>
          <t>사립(사인)</t>
        </is>
      </c>
      <c r="D146" s="5" t="inlineStr">
        <is>
          <t>부산진구</t>
        </is>
      </c>
      <c r="E146" s="5" t="inlineStr">
        <is>
          <t>부산광역시 부산진구 복지로 70</t>
        </is>
      </c>
      <c r="F146" s="11" t="inlineStr">
        <is>
          <t>http://school.busanedu.net/nuelpureun-k/main.do</t>
        </is>
      </c>
      <c r="G146" s="5" t="inlineStr">
        <is>
          <t>051-896-6001</t>
        </is>
      </c>
      <c r="H146" s="12">
        <f>유치원!N146</f>
        <v/>
      </c>
      <c r="I146" s="5" t="inlineStr">
        <is>
          <t>만3세 22 / 만4세 17 / 만5세 17</t>
        </is>
      </c>
    </row>
    <row r="147">
      <c r="A147" s="5" t="inlineStr">
        <is>
          <t>다원유치원</t>
        </is>
      </c>
      <c r="B147" s="5" t="inlineStr">
        <is>
          <t>유치원</t>
        </is>
      </c>
      <c r="C147" s="5" t="inlineStr">
        <is>
          <t>사립(사인)</t>
        </is>
      </c>
      <c r="D147" s="5" t="inlineStr">
        <is>
          <t>부산진구</t>
        </is>
      </c>
      <c r="E147" s="5" t="inlineStr">
        <is>
          <t>부산광역시 부산진구 성지로74번나길 60-8</t>
        </is>
      </c>
      <c r="F147" s="11" t="inlineStr">
        <is>
          <t>https://cafe.naver.com/dawon8097335</t>
        </is>
      </c>
      <c r="G147" s="5" t="inlineStr">
        <is>
          <t>051-809-7335</t>
        </is>
      </c>
      <c r="H147" s="12">
        <f>유치원!N147</f>
        <v/>
      </c>
      <c r="I147" s="5" t="inlineStr">
        <is>
          <t>연령혼합반 164</t>
        </is>
      </c>
    </row>
    <row r="148">
      <c r="A148" s="5" t="inlineStr">
        <is>
          <t>당감초등학교병설유치원</t>
        </is>
      </c>
      <c r="B148" s="5" t="inlineStr">
        <is>
          <t>유치원</t>
        </is>
      </c>
      <c r="C148" s="5" t="inlineStr">
        <is>
          <t>공립(병설)</t>
        </is>
      </c>
      <c r="D148" s="5" t="inlineStr">
        <is>
          <t>부산진구</t>
        </is>
      </c>
      <c r="E148" s="5" t="inlineStr">
        <is>
          <t>부산광역시 부산진구 당감로 22-5</t>
        </is>
      </c>
      <c r="F148" s="11" t="inlineStr">
        <is>
          <t>http://school.busanedu.net/danggam-k</t>
        </is>
      </c>
      <c r="G148" s="5" t="inlineStr">
        <is>
          <t>051-894-5924</t>
        </is>
      </c>
      <c r="H148" s="12">
        <f>유치원!N148</f>
        <v/>
      </c>
      <c r="I148" s="5" t="inlineStr">
        <is>
          <t>만3세 4 / 만4세 4 / 만5세 11 / 특수학급 3</t>
        </is>
      </c>
    </row>
    <row r="149">
      <c r="A149" s="5" t="inlineStr">
        <is>
          <t>당평초등학교병설유치원</t>
        </is>
      </c>
      <c r="B149" s="5" t="inlineStr">
        <is>
          <t>유치원</t>
        </is>
      </c>
      <c r="C149" s="5" t="inlineStr">
        <is>
          <t>공립(병설)</t>
        </is>
      </c>
      <c r="D149" s="5" t="inlineStr">
        <is>
          <t>부산진구</t>
        </is>
      </c>
      <c r="E149" s="5" t="inlineStr">
        <is>
          <t>부산광역시 부산진구 백양대로136번길 26</t>
        </is>
      </c>
      <c r="F149" s="11" t="inlineStr">
        <is>
          <t>http://school.busanedu.net/dangpyung-k</t>
        </is>
      </c>
      <c r="G149" s="5" t="inlineStr">
        <is>
          <t>051-890-8577</t>
        </is>
      </c>
      <c r="H149" s="12">
        <f>유치원!N149</f>
        <v/>
      </c>
      <c r="I149" s="5" t="inlineStr">
        <is>
          <t>만3세 10 / 만4세 13 / 만5세 10 / 특수학급 3</t>
        </is>
      </c>
    </row>
    <row r="150">
      <c r="A150" s="5" t="inlineStr">
        <is>
          <t>동경유치원</t>
        </is>
      </c>
      <c r="B150" s="5" t="inlineStr">
        <is>
          <t>유치원</t>
        </is>
      </c>
      <c r="C150" s="5" t="inlineStr">
        <is>
          <t>사립(사인)</t>
        </is>
      </c>
      <c r="D150" s="5" t="inlineStr">
        <is>
          <t>부산진구</t>
        </is>
      </c>
      <c r="E150" s="5" t="inlineStr">
        <is>
          <t>부산광역시 부산진구 백양대로208번길 174</t>
        </is>
      </c>
      <c r="F150" s="5" t="inlineStr"/>
      <c r="G150" s="5" t="inlineStr">
        <is>
          <t>051-000-0000</t>
        </is>
      </c>
      <c r="H150" s="12">
        <f>유치원!N150</f>
        <v/>
      </c>
      <c r="I150" s="5" t="inlineStr"/>
    </row>
    <row r="151">
      <c r="A151" s="5" t="inlineStr">
        <is>
          <t>동성유치원</t>
        </is>
      </c>
      <c r="B151" s="5" t="inlineStr">
        <is>
          <t>유치원</t>
        </is>
      </c>
      <c r="C151" s="5" t="inlineStr">
        <is>
          <t>사립(법인)</t>
        </is>
      </c>
      <c r="D151" s="5" t="inlineStr">
        <is>
          <t>부산진구</t>
        </is>
      </c>
      <c r="E151" s="5" t="inlineStr">
        <is>
          <t>부산광역시 부산진구 동성로 26</t>
        </is>
      </c>
      <c r="F151" s="11" t="inlineStr">
        <is>
          <t>https://school.busanedu.net/dongsungkids-k</t>
        </is>
      </c>
      <c r="G151" s="5" t="inlineStr">
        <is>
          <t>051-802-7145</t>
        </is>
      </c>
      <c r="H151" s="12">
        <f>유치원!N151</f>
        <v/>
      </c>
      <c r="I151" s="5" t="inlineStr">
        <is>
          <t>만3세 44 / 만4세 78 / 만5세 78</t>
        </is>
      </c>
    </row>
    <row r="152">
      <c r="A152" s="5" t="inlineStr">
        <is>
          <t>미리내유치원</t>
        </is>
      </c>
      <c r="B152" s="5" t="inlineStr">
        <is>
          <t>유치원</t>
        </is>
      </c>
      <c r="C152" s="5" t="inlineStr">
        <is>
          <t>사립(사인)</t>
        </is>
      </c>
      <c r="D152" s="5" t="inlineStr">
        <is>
          <t>부산진구</t>
        </is>
      </c>
      <c r="E152" s="5" t="inlineStr">
        <is>
          <t>부산광역시 부산진구 백양순환로18번길 36</t>
        </is>
      </c>
      <c r="F152" s="5" t="inlineStr"/>
      <c r="G152" s="5" t="inlineStr">
        <is>
          <t>051-895-6677</t>
        </is>
      </c>
      <c r="H152" s="12">
        <f>유치원!N152</f>
        <v/>
      </c>
      <c r="I152" s="5" t="inlineStr"/>
    </row>
    <row r="153">
      <c r="A153" s="5" t="inlineStr">
        <is>
          <t>미소유치원</t>
        </is>
      </c>
      <c r="B153" s="5" t="inlineStr">
        <is>
          <t>유치원</t>
        </is>
      </c>
      <c r="C153" s="5" t="inlineStr">
        <is>
          <t>사립(사인)</t>
        </is>
      </c>
      <c r="D153" s="5" t="inlineStr">
        <is>
          <t>부산진구</t>
        </is>
      </c>
      <c r="E153" s="5" t="inlineStr">
        <is>
          <t>부산광역시 부산진구 백양관문로 112</t>
        </is>
      </c>
      <c r="F153" s="5" t="inlineStr"/>
      <c r="G153" s="5" t="inlineStr">
        <is>
          <t>051-891-9844</t>
        </is>
      </c>
      <c r="H153" s="12">
        <f>유치원!N153</f>
        <v/>
      </c>
      <c r="I153" s="5" t="inlineStr">
        <is>
          <t>만3세 16 / 연령혼합반 96</t>
        </is>
      </c>
    </row>
    <row r="154">
      <c r="A154" s="5" t="inlineStr">
        <is>
          <t>벽산유치원</t>
        </is>
      </c>
      <c r="B154" s="5" t="inlineStr">
        <is>
          <t>유치원</t>
        </is>
      </c>
      <c r="C154" s="5" t="inlineStr">
        <is>
          <t>사립(사인)</t>
        </is>
      </c>
      <c r="D154" s="5" t="inlineStr">
        <is>
          <t>부산진구</t>
        </is>
      </c>
      <c r="E154" s="5" t="inlineStr">
        <is>
          <t>부산광역시 부산진구 엄광로 122</t>
        </is>
      </c>
      <c r="F154" s="5" t="inlineStr"/>
      <c r="G154" s="5" t="inlineStr">
        <is>
          <t>051-893-2351</t>
        </is>
      </c>
      <c r="H154" s="12">
        <f>유치원!N154</f>
        <v/>
      </c>
      <c r="I154" s="5" t="inlineStr">
        <is>
          <t>만4세 16 / 만5세 26 / 연령혼합반 36</t>
        </is>
      </c>
    </row>
    <row r="155">
      <c r="A155" s="5" t="inlineStr">
        <is>
          <t>부산여자대학부속유치원</t>
        </is>
      </c>
      <c r="B155" s="5" t="inlineStr">
        <is>
          <t>유치원</t>
        </is>
      </c>
      <c r="C155" s="5" t="inlineStr">
        <is>
          <t>사립(법인)</t>
        </is>
      </c>
      <c r="D155" s="5" t="inlineStr">
        <is>
          <t>부산진구</t>
        </is>
      </c>
      <c r="E155" s="5" t="inlineStr">
        <is>
          <t>부산광역시 부산진구 진남로 506</t>
        </is>
      </c>
      <c r="F155" s="11" t="inlineStr">
        <is>
          <t>http://kids.bwc.ac.kr</t>
        </is>
      </c>
      <c r="G155" s="5" t="inlineStr">
        <is>
          <t>051-865-7003</t>
        </is>
      </c>
      <c r="H155" s="12">
        <f>유치원!N155</f>
        <v/>
      </c>
      <c r="I155" s="5" t="inlineStr">
        <is>
          <t>만3세 52 / 만4세 71 / 만5세 78</t>
        </is>
      </c>
    </row>
    <row r="156">
      <c r="A156" s="5" t="inlineStr">
        <is>
          <t>부산진유치원</t>
        </is>
      </c>
      <c r="B156" s="5" t="inlineStr">
        <is>
          <t>유치원</t>
        </is>
      </c>
      <c r="C156" s="5" t="inlineStr">
        <is>
          <t>공립(단설)</t>
        </is>
      </c>
      <c r="D156" s="5" t="inlineStr">
        <is>
          <t>부산진구</t>
        </is>
      </c>
      <c r="E156" s="5" t="inlineStr">
        <is>
          <t>부산광역시 부산진구 범천로 30-1</t>
        </is>
      </c>
      <c r="F156" s="11" t="inlineStr">
        <is>
          <t>http://school.busanedu.net/busanjin-k/</t>
        </is>
      </c>
      <c r="G156" s="5" t="inlineStr">
        <is>
          <t>051-806-2880</t>
        </is>
      </c>
      <c r="H156" s="12">
        <f>유치원!N156</f>
        <v/>
      </c>
      <c r="I156" s="5" t="inlineStr">
        <is>
          <t>만3세 42 / 만4세 36 / 만5세 44 / 특수학급 4</t>
        </is>
      </c>
    </row>
    <row r="157">
      <c r="A157" s="5" t="inlineStr">
        <is>
          <t>부전초등학교병설유치원</t>
        </is>
      </c>
      <c r="B157" s="5" t="inlineStr">
        <is>
          <t>유치원</t>
        </is>
      </c>
      <c r="C157" s="5" t="inlineStr">
        <is>
          <t>공립(병설)</t>
        </is>
      </c>
      <c r="D157" s="5" t="inlineStr">
        <is>
          <t>부산진구</t>
        </is>
      </c>
      <c r="E157" s="5" t="inlineStr">
        <is>
          <t>부산광역시 부산진구 부전로65번길 25</t>
        </is>
      </c>
      <c r="F157" s="11" t="inlineStr">
        <is>
          <t>http://school.busanedu.net/pspujun-k</t>
        </is>
      </c>
      <c r="G157" s="5" t="inlineStr">
        <is>
          <t>051-811-7878</t>
        </is>
      </c>
      <c r="H157" s="12">
        <f>유치원!N157</f>
        <v/>
      </c>
      <c r="I157" s="5" t="inlineStr">
        <is>
          <t>만5세 13 / 연령혼합반 15</t>
        </is>
      </c>
    </row>
    <row r="158">
      <c r="A158" s="5" t="inlineStr">
        <is>
          <t>빛나라유치원</t>
        </is>
      </c>
      <c r="B158" s="5" t="inlineStr">
        <is>
          <t>유치원</t>
        </is>
      </c>
      <c r="C158" s="5" t="inlineStr">
        <is>
          <t>사립(사인)</t>
        </is>
      </c>
      <c r="D158" s="5" t="inlineStr">
        <is>
          <t>부산진구</t>
        </is>
      </c>
      <c r="E158" s="5" t="inlineStr">
        <is>
          <t>부산광역시 부산진구 엄광로182번길 15-14</t>
        </is>
      </c>
      <c r="F158" s="5" t="inlineStr"/>
      <c r="G158" s="5" t="inlineStr">
        <is>
          <t>051-891-2229</t>
        </is>
      </c>
      <c r="H158" s="12">
        <f>유치원!N158</f>
        <v/>
      </c>
      <c r="I158" s="5" t="inlineStr">
        <is>
          <t>만3세 7 / 만4세 15 / 만5세 15</t>
        </is>
      </c>
    </row>
    <row r="159">
      <c r="A159" s="5" t="inlineStr">
        <is>
          <t>새동유치원</t>
        </is>
      </c>
      <c r="B159" s="5" t="inlineStr">
        <is>
          <t>유치원</t>
        </is>
      </c>
      <c r="C159" s="5" t="inlineStr">
        <is>
          <t>사립(사인)</t>
        </is>
      </c>
      <c r="D159" s="5" t="inlineStr">
        <is>
          <t>부산진구</t>
        </is>
      </c>
      <c r="E159" s="5" t="inlineStr">
        <is>
          <t>부산광역시 부산진구 동평로183번길 114</t>
        </is>
      </c>
      <c r="F159" s="5" t="inlineStr"/>
      <c r="G159" s="5" t="inlineStr">
        <is>
          <t>051-819-4571</t>
        </is>
      </c>
      <c r="H159" s="12">
        <f>유치원!N159</f>
        <v/>
      </c>
      <c r="I159" s="5" t="inlineStr">
        <is>
          <t>만4세 72 / 만5세 51 / 연령혼합반 74</t>
        </is>
      </c>
    </row>
    <row r="160">
      <c r="A160" s="5" t="inlineStr">
        <is>
          <t>서면원광유치원</t>
        </is>
      </c>
      <c r="B160" s="5" t="inlineStr">
        <is>
          <t>유치원</t>
        </is>
      </c>
      <c r="C160" s="5" t="inlineStr">
        <is>
          <t>사립(사인)</t>
        </is>
      </c>
      <c r="D160" s="5" t="inlineStr">
        <is>
          <t>부산진구</t>
        </is>
      </c>
      <c r="E160" s="5" t="inlineStr">
        <is>
          <t>부산광역시 부산진구 시민공원로19번길 62</t>
        </is>
      </c>
      <c r="F160" s="5" t="inlineStr"/>
      <c r="G160" s="5" t="inlineStr">
        <is>
          <t>051-805-3359</t>
        </is>
      </c>
      <c r="H160" s="12">
        <f>유치원!N160</f>
        <v/>
      </c>
      <c r="I160" s="5" t="inlineStr"/>
    </row>
    <row r="161">
      <c r="A161" s="5" t="inlineStr">
        <is>
          <t>선암유치원</t>
        </is>
      </c>
      <c r="B161" s="5" t="inlineStr">
        <is>
          <t>유치원</t>
        </is>
      </c>
      <c r="C161" s="5" t="inlineStr">
        <is>
          <t>사립(사인)</t>
        </is>
      </c>
      <c r="D161" s="5" t="inlineStr">
        <is>
          <t>부산진구</t>
        </is>
      </c>
      <c r="E161" s="5" t="inlineStr">
        <is>
          <t>부산광역시 부산진구 신암로 97</t>
        </is>
      </c>
      <c r="F161" s="11" t="inlineStr">
        <is>
          <t>http://school.busanedu.net/sunam-k</t>
        </is>
      </c>
      <c r="G161" s="5" t="inlineStr">
        <is>
          <t>051-643-4629</t>
        </is>
      </c>
      <c r="H161" s="12">
        <f>유치원!N161</f>
        <v/>
      </c>
      <c r="I161" s="5" t="inlineStr">
        <is>
          <t>만3세 13 / 만5세 15 / 연령혼합반 5</t>
        </is>
      </c>
    </row>
    <row r="162">
      <c r="A162" s="5" t="inlineStr">
        <is>
          <t>성북초등학교병설유치원</t>
        </is>
      </c>
      <c r="B162" s="5" t="inlineStr">
        <is>
          <t>유치원</t>
        </is>
      </c>
      <c r="C162" s="5" t="inlineStr">
        <is>
          <t>공립(병설)</t>
        </is>
      </c>
      <c r="D162" s="5" t="inlineStr">
        <is>
          <t>부산진구</t>
        </is>
      </c>
      <c r="E162" s="5" t="inlineStr">
        <is>
          <t>부산광역시 부산진구 황령대로 79</t>
        </is>
      </c>
      <c r="F162" s="11" t="inlineStr">
        <is>
          <t>https://school.busanedu.net/seongbuk-k/main.do</t>
        </is>
      </c>
      <c r="G162" s="5" t="inlineStr">
        <is>
          <t>051-803-5878</t>
        </is>
      </c>
      <c r="H162" s="12">
        <f>유치원!N162</f>
        <v/>
      </c>
      <c r="I162" s="5" t="inlineStr">
        <is>
          <t>만4세 7 / 만5세 12</t>
        </is>
      </c>
    </row>
    <row r="163">
      <c r="A163" s="5" t="inlineStr">
        <is>
          <t>성지유치원</t>
        </is>
      </c>
      <c r="B163" s="5" t="inlineStr">
        <is>
          <t>유치원</t>
        </is>
      </c>
      <c r="C163" s="5" t="inlineStr">
        <is>
          <t>사립(사인)</t>
        </is>
      </c>
      <c r="D163" s="5" t="inlineStr">
        <is>
          <t>부산진구</t>
        </is>
      </c>
      <c r="E163" s="5" t="inlineStr">
        <is>
          <t>부산광역시 부산진구 백양산로 23</t>
        </is>
      </c>
      <c r="F163" s="5" t="inlineStr"/>
      <c r="G163" s="5" t="inlineStr">
        <is>
          <t>051-898-0802</t>
        </is>
      </c>
      <c r="H163" s="12">
        <f>유치원!N163</f>
        <v/>
      </c>
      <c r="I163" s="5" t="inlineStr">
        <is>
          <t>만4세 50 / 만5세 48</t>
        </is>
      </c>
    </row>
    <row r="164">
      <c r="A164" s="5" t="inlineStr">
        <is>
          <t>성지초등학교병설유치원</t>
        </is>
      </c>
      <c r="B164" s="5" t="inlineStr">
        <is>
          <t>유치원</t>
        </is>
      </c>
      <c r="C164" s="5" t="inlineStr">
        <is>
          <t>공립(병설)</t>
        </is>
      </c>
      <c r="D164" s="5" t="inlineStr">
        <is>
          <t>부산진구</t>
        </is>
      </c>
      <c r="E164" s="5" t="inlineStr">
        <is>
          <t>부산광역시 부산진구 시민공원로 62</t>
        </is>
      </c>
      <c r="F164" s="11" t="inlineStr">
        <is>
          <t>https://school.busanedu.net/sungji-e/main.do</t>
        </is>
      </c>
      <c r="G164" s="5" t="inlineStr">
        <is>
          <t>051-816-0226</t>
        </is>
      </c>
      <c r="H164" s="12">
        <f>유치원!N164</f>
        <v/>
      </c>
      <c r="I164" s="5" t="inlineStr">
        <is>
          <t>만3세 14 / 만4세 25 / 만5세 17 / 특수학급 2</t>
        </is>
      </c>
    </row>
    <row r="165">
      <c r="A165" s="5" t="inlineStr">
        <is>
          <t>양정원광유치원</t>
        </is>
      </c>
      <c r="B165" s="5" t="inlineStr">
        <is>
          <t>유치원</t>
        </is>
      </c>
      <c r="C165" s="5" t="inlineStr">
        <is>
          <t>사립(사인)</t>
        </is>
      </c>
      <c r="D165" s="5" t="inlineStr">
        <is>
          <t>부산진구</t>
        </is>
      </c>
      <c r="E165" s="5" t="inlineStr">
        <is>
          <t>부산광역시 부산진구 양지로17번길 28</t>
        </is>
      </c>
      <c r="F165" s="5" t="inlineStr"/>
      <c r="G165" s="5" t="inlineStr">
        <is>
          <t>051-865-1860</t>
        </is>
      </c>
      <c r="H165" s="12">
        <f>유치원!N165</f>
        <v/>
      </c>
      <c r="I165" s="5" t="inlineStr">
        <is>
          <t>만3세 52 / 만4세 77 / 만5세 52</t>
        </is>
      </c>
    </row>
    <row r="166">
      <c r="A166" s="5" t="inlineStr">
        <is>
          <t>양정유치원</t>
        </is>
      </c>
      <c r="B166" s="5" t="inlineStr">
        <is>
          <t>유치원</t>
        </is>
      </c>
      <c r="C166" s="5" t="inlineStr">
        <is>
          <t>사립(사인)</t>
        </is>
      </c>
      <c r="D166" s="5" t="inlineStr">
        <is>
          <t>부산진구</t>
        </is>
      </c>
      <c r="E166" s="5" t="inlineStr">
        <is>
          <t>부산광역시 부산진구 양지로5번길 31</t>
        </is>
      </c>
      <c r="F166" s="5" t="inlineStr"/>
      <c r="G166" s="5" t="inlineStr">
        <is>
          <t>051-862-9329</t>
        </is>
      </c>
      <c r="H166" s="12">
        <f>유치원!N166</f>
        <v/>
      </c>
      <c r="I166" s="5" t="inlineStr">
        <is>
          <t>만3세 16 / 만5세 25 / 연령혼합반 19</t>
        </is>
      </c>
    </row>
    <row r="167">
      <c r="A167" s="5" t="inlineStr">
        <is>
          <t>양정현대유치원</t>
        </is>
      </c>
      <c r="B167" s="5" t="inlineStr">
        <is>
          <t>유치원</t>
        </is>
      </c>
      <c r="C167" s="5" t="inlineStr">
        <is>
          <t>사립(사인)</t>
        </is>
      </c>
      <c r="D167" s="5" t="inlineStr">
        <is>
          <t>부산진구</t>
        </is>
      </c>
      <c r="E167" s="5" t="inlineStr">
        <is>
          <t>부산광역시 부산진구 범양로 101-20</t>
        </is>
      </c>
      <c r="F167" s="5" t="inlineStr"/>
      <c r="G167" s="5" t="inlineStr">
        <is>
          <t>051-853-4895</t>
        </is>
      </c>
      <c r="H167" s="12">
        <f>유치원!N167</f>
        <v/>
      </c>
      <c r="I167" s="5" t="inlineStr">
        <is>
          <t>만5세 26 / 연령혼합반 150</t>
        </is>
      </c>
    </row>
    <row r="168">
      <c r="A168" s="5" t="inlineStr">
        <is>
          <t>엘지유치원</t>
        </is>
      </c>
      <c r="B168" s="5" t="inlineStr">
        <is>
          <t>유치원</t>
        </is>
      </c>
      <c r="C168" s="5" t="inlineStr">
        <is>
          <t>사립(사인)</t>
        </is>
      </c>
      <c r="D168" s="5" t="inlineStr">
        <is>
          <t>부산진구</t>
        </is>
      </c>
      <c r="E168" s="5" t="inlineStr">
        <is>
          <t>부산광역시 부산진구 백양대로300번길 30</t>
        </is>
      </c>
      <c r="F168" s="11" t="inlineStr">
        <is>
          <t>https://school.busanedu.net/lgkid7002-k/main.do</t>
        </is>
      </c>
      <c r="G168" s="5" t="inlineStr">
        <is>
          <t>051-895-7002</t>
        </is>
      </c>
      <c r="H168" s="12">
        <f>유치원!N168</f>
        <v/>
      </c>
      <c r="I168" s="5" t="inlineStr">
        <is>
          <t>만3세 23 / 만4세 29 / 만5세 29</t>
        </is>
      </c>
    </row>
    <row r="169">
      <c r="A169" s="5" t="inlineStr">
        <is>
          <t>영림유치원</t>
        </is>
      </c>
      <c r="B169" s="5" t="inlineStr">
        <is>
          <t>유치원</t>
        </is>
      </c>
      <c r="C169" s="5" t="inlineStr">
        <is>
          <t>사립(사인)</t>
        </is>
      </c>
      <c r="D169" s="5" t="inlineStr">
        <is>
          <t>부산진구</t>
        </is>
      </c>
      <c r="E169" s="5" t="inlineStr">
        <is>
          <t>부산광역시 부산진구 냉정로 199</t>
        </is>
      </c>
      <c r="F169" s="5" t="inlineStr"/>
      <c r="G169" s="5" t="inlineStr">
        <is>
          <t>051-895-2500</t>
        </is>
      </c>
      <c r="H169" s="12">
        <f>유치원!N169</f>
        <v/>
      </c>
      <c r="I169" s="5" t="inlineStr">
        <is>
          <t>만5세 26 / 연령혼합반 94</t>
        </is>
      </c>
    </row>
    <row r="170">
      <c r="A170" s="5" t="inlineStr">
        <is>
          <t>예종유치원</t>
        </is>
      </c>
      <c r="B170" s="5" t="inlineStr">
        <is>
          <t>유치원</t>
        </is>
      </c>
      <c r="C170" s="5" t="inlineStr">
        <is>
          <t>사립(사인)</t>
        </is>
      </c>
      <c r="D170" s="5" t="inlineStr">
        <is>
          <t>부산진구</t>
        </is>
      </c>
      <c r="E170" s="5" t="inlineStr">
        <is>
          <t>부산광역시 부산진구 성지로 116</t>
        </is>
      </c>
      <c r="F170" s="11" t="inlineStr">
        <is>
          <t>https://school.busanedu.net/yejong-k</t>
        </is>
      </c>
      <c r="G170" s="5" t="inlineStr">
        <is>
          <t>051-806-1237</t>
        </is>
      </c>
      <c r="H170" s="12">
        <f>유치원!N170</f>
        <v/>
      </c>
      <c r="I170" s="5" t="inlineStr">
        <is>
          <t>연령혼합반 195</t>
        </is>
      </c>
    </row>
    <row r="171">
      <c r="A171" s="5" t="inlineStr">
        <is>
          <t>전원유치원</t>
        </is>
      </c>
      <c r="B171" s="5" t="inlineStr">
        <is>
          <t>유치원</t>
        </is>
      </c>
      <c r="C171" s="5" t="inlineStr">
        <is>
          <t>사립(사인)</t>
        </is>
      </c>
      <c r="D171" s="5" t="inlineStr">
        <is>
          <t>부산진구</t>
        </is>
      </c>
      <c r="E171" s="5" t="inlineStr">
        <is>
          <t>부산광역시 부산진구 당감로 126</t>
        </is>
      </c>
      <c r="F171" s="5" t="inlineStr"/>
      <c r="G171" s="5" t="inlineStr">
        <is>
          <t>051-806-3131</t>
        </is>
      </c>
      <c r="H171" s="12">
        <f>유치원!N171</f>
        <v/>
      </c>
      <c r="I171" s="5" t="inlineStr">
        <is>
          <t>만3세 22 / 만4세 26 / 만5세 45</t>
        </is>
      </c>
    </row>
    <row r="172">
      <c r="A172" s="5" t="inlineStr">
        <is>
          <t>전포유치원</t>
        </is>
      </c>
      <c r="B172" s="5" t="inlineStr">
        <is>
          <t>유치원</t>
        </is>
      </c>
      <c r="C172" s="5" t="inlineStr">
        <is>
          <t>공립(단설)</t>
        </is>
      </c>
      <c r="D172" s="5" t="inlineStr">
        <is>
          <t>부산진구</t>
        </is>
      </c>
      <c r="E172" s="5" t="inlineStr">
        <is>
          <t>부산광역시 부산진구 동성로 34</t>
        </is>
      </c>
      <c r="F172" s="11" t="inlineStr">
        <is>
          <t>http://school.busanedu.net/jeonpoyu-k</t>
        </is>
      </c>
      <c r="G172" s="5" t="inlineStr">
        <is>
          <t>051-816-8743</t>
        </is>
      </c>
      <c r="H172" s="12">
        <f>유치원!N172</f>
        <v/>
      </c>
      <c r="I172" s="5" t="inlineStr">
        <is>
          <t>만3세 28 / 만4세 33 / 만5세 36 / 특수학급 4</t>
        </is>
      </c>
    </row>
    <row r="173">
      <c r="A173" s="5" t="inlineStr">
        <is>
          <t>주례초등학교병설유치원</t>
        </is>
      </c>
      <c r="B173" s="5" t="inlineStr">
        <is>
          <t>유치원</t>
        </is>
      </c>
      <c r="C173" s="5" t="inlineStr">
        <is>
          <t>공립(병설)</t>
        </is>
      </c>
      <c r="D173" s="5" t="inlineStr">
        <is>
          <t>부산진구</t>
        </is>
      </c>
      <c r="E173" s="5" t="inlineStr">
        <is>
          <t>부산광역시 부산진구 진사로61번길 28-7</t>
        </is>
      </c>
      <c r="F173" s="11" t="inlineStr">
        <is>
          <t>https://school.busanedu.net/jure-k/</t>
        </is>
      </c>
      <c r="G173" s="5" t="inlineStr">
        <is>
          <t>051-890-5570</t>
        </is>
      </c>
      <c r="H173" s="12">
        <f>유치원!N173</f>
        <v/>
      </c>
      <c r="I173" s="5" t="inlineStr">
        <is>
          <t>만3세 1 / 연령혼합반 4 / 특수학급 2</t>
        </is>
      </c>
    </row>
    <row r="174">
      <c r="A174" s="5" t="inlineStr">
        <is>
          <t>초예유치원</t>
        </is>
      </c>
      <c r="B174" s="5" t="inlineStr">
        <is>
          <t>유치원</t>
        </is>
      </c>
      <c r="C174" s="5" t="inlineStr">
        <is>
          <t>사립(법인)</t>
        </is>
      </c>
      <c r="D174" s="5" t="inlineStr">
        <is>
          <t>부산진구</t>
        </is>
      </c>
      <c r="E174" s="5" t="inlineStr">
        <is>
          <t>부산광역시 부산진구 월드컵대로449번길 44-6</t>
        </is>
      </c>
      <c r="F174" s="5" t="inlineStr"/>
      <c r="G174" s="5" t="inlineStr">
        <is>
          <t>051-805-7644</t>
        </is>
      </c>
      <c r="H174" s="12">
        <f>유치원!N174</f>
        <v/>
      </c>
      <c r="I174" s="5" t="inlineStr">
        <is>
          <t>만4세 22 / 만5세 24 / 연령혼합반 48</t>
        </is>
      </c>
    </row>
    <row r="175">
      <c r="A175" s="5" t="inlineStr">
        <is>
          <t>춘해유치원</t>
        </is>
      </c>
      <c r="B175" s="5" t="inlineStr">
        <is>
          <t>유치원</t>
        </is>
      </c>
      <c r="C175" s="5" t="inlineStr">
        <is>
          <t>사립(사인)</t>
        </is>
      </c>
      <c r="D175" s="5" t="inlineStr">
        <is>
          <t>부산진구</t>
        </is>
      </c>
      <c r="E175" s="5" t="inlineStr">
        <is>
          <t>부산광역시 부산진구 안창로14번길 78</t>
        </is>
      </c>
      <c r="F175" s="5" t="inlineStr"/>
      <c r="G175" s="5" t="inlineStr">
        <is>
          <t>051-646-1900</t>
        </is>
      </c>
      <c r="H175" s="12">
        <f>유치원!N175</f>
        <v/>
      </c>
      <c r="I175" s="5" t="inlineStr"/>
    </row>
    <row r="176">
      <c r="A176" s="5" t="inlineStr">
        <is>
          <t>큰별유치원</t>
        </is>
      </c>
      <c r="B176" s="5" t="inlineStr">
        <is>
          <t>유치원</t>
        </is>
      </c>
      <c r="C176" s="5" t="inlineStr">
        <is>
          <t>사립(사인)</t>
        </is>
      </c>
      <c r="D176" s="5" t="inlineStr">
        <is>
          <t>부산진구</t>
        </is>
      </c>
      <c r="E176" s="5" t="inlineStr">
        <is>
          <t>부산광역시 부산진구 백양대로260번길 16</t>
        </is>
      </c>
      <c r="F176" s="5" t="inlineStr"/>
      <c r="G176" s="5" t="inlineStr">
        <is>
          <t>051-892-0075</t>
        </is>
      </c>
      <c r="H176" s="12">
        <f>유치원!N176</f>
        <v/>
      </c>
      <c r="I176" s="5" t="inlineStr">
        <is>
          <t>만3세 8 / 연령혼합반 11</t>
        </is>
      </c>
    </row>
    <row r="177">
      <c r="A177" s="5" t="inlineStr">
        <is>
          <t>한사랑유치원</t>
        </is>
      </c>
      <c r="B177" s="5" t="inlineStr">
        <is>
          <t>유치원</t>
        </is>
      </c>
      <c r="C177" s="5" t="inlineStr">
        <is>
          <t>사립(사인)</t>
        </is>
      </c>
      <c r="D177" s="5" t="inlineStr">
        <is>
          <t>부산진구</t>
        </is>
      </c>
      <c r="E177" s="5" t="inlineStr">
        <is>
          <t>부산광역시 부산진구 양지로11번길 64</t>
        </is>
      </c>
      <c r="F177" s="11" t="inlineStr">
        <is>
          <t>https://school.busanedu.net/hansalang-k</t>
        </is>
      </c>
      <c r="G177" s="5" t="inlineStr">
        <is>
          <t>051-866-3556</t>
        </is>
      </c>
      <c r="H177" s="12">
        <f>유치원!N177</f>
        <v/>
      </c>
      <c r="I177" s="5" t="inlineStr"/>
    </row>
    <row r="178">
      <c r="A178" s="5" t="inlineStr">
        <is>
          <t>해바라기자연유치원</t>
        </is>
      </c>
      <c r="B178" s="5" t="inlineStr">
        <is>
          <t>유치원</t>
        </is>
      </c>
      <c r="C178" s="5" t="inlineStr">
        <is>
          <t>사립(사인)</t>
        </is>
      </c>
      <c r="D178" s="5" t="inlineStr">
        <is>
          <t>부산진구</t>
        </is>
      </c>
      <c r="E178" s="5" t="inlineStr">
        <is>
          <t>부산광역시 부산진구 개금본동로9번길 48</t>
        </is>
      </c>
      <c r="F178" s="11" t="inlineStr">
        <is>
          <t>http://dabuler.github.io/5400/</t>
        </is>
      </c>
      <c r="G178" s="5" t="inlineStr">
        <is>
          <t>051-894-5400</t>
        </is>
      </c>
      <c r="H178" s="12">
        <f>유치원!N178</f>
        <v/>
      </c>
      <c r="I178" s="5" t="inlineStr">
        <is>
          <t>연령혼합반 128</t>
        </is>
      </c>
    </row>
    <row r="179">
      <c r="A179" s="5" t="inlineStr">
        <is>
          <t>현대일신유치원</t>
        </is>
      </c>
      <c r="B179" s="5" t="inlineStr">
        <is>
          <t>유치원</t>
        </is>
      </c>
      <c r="C179" s="5" t="inlineStr">
        <is>
          <t>사립(사인)</t>
        </is>
      </c>
      <c r="D179" s="5" t="inlineStr">
        <is>
          <t>부산진구</t>
        </is>
      </c>
      <c r="E179" s="5" t="inlineStr">
        <is>
          <t>부산광역시 부산진구 거제대로 37</t>
        </is>
      </c>
      <c r="F179" s="5" t="inlineStr"/>
      <c r="G179" s="5" t="inlineStr">
        <is>
          <t>051-851-7799</t>
        </is>
      </c>
      <c r="H179" s="12">
        <f>유치원!N179</f>
        <v/>
      </c>
      <c r="I179" s="5" t="inlineStr">
        <is>
          <t>만3세 52 / 만4세 51 / 만5세 54</t>
        </is>
      </c>
    </row>
    <row r="180">
      <c r="A180" s="5" t="inlineStr">
        <is>
          <t>화승예그린유치원</t>
        </is>
      </c>
      <c r="B180" s="5" t="inlineStr">
        <is>
          <t>유치원</t>
        </is>
      </c>
      <c r="C180" s="5" t="inlineStr">
        <is>
          <t>사립(사인)</t>
        </is>
      </c>
      <c r="D180" s="5" t="inlineStr">
        <is>
          <t>부산진구</t>
        </is>
      </c>
      <c r="E180" s="5" t="inlineStr">
        <is>
          <t>부산광역시 부산진구 백양순환로 70-11</t>
        </is>
      </c>
      <c r="F180" s="5" t="inlineStr"/>
      <c r="G180" s="5" t="inlineStr">
        <is>
          <t>051-894-1515</t>
        </is>
      </c>
      <c r="H180" s="12">
        <f>유치원!N180</f>
        <v/>
      </c>
      <c r="I180" s="5" t="inlineStr">
        <is>
          <t>만4세 71 / 만5세 69 / 연령혼합반 65</t>
        </is>
      </c>
    </row>
    <row r="181">
      <c r="A181" s="5" t="inlineStr">
        <is>
          <t>화승유치원</t>
        </is>
      </c>
      <c r="B181" s="5" t="inlineStr">
        <is>
          <t>유치원</t>
        </is>
      </c>
      <c r="C181" s="5" t="inlineStr">
        <is>
          <t>사립(사인)</t>
        </is>
      </c>
      <c r="D181" s="5" t="inlineStr">
        <is>
          <t>부산진구</t>
        </is>
      </c>
      <c r="E181" s="5" t="inlineStr">
        <is>
          <t>부산광역시 부산진구 당감로 79</t>
        </is>
      </c>
      <c r="F181" s="5" t="inlineStr"/>
      <c r="G181" s="5" t="inlineStr">
        <is>
          <t>051-819-3372</t>
        </is>
      </c>
      <c r="H181" s="12">
        <f>유치원!N181</f>
        <v/>
      </c>
      <c r="I181" s="5" t="inlineStr">
        <is>
          <t>만3세 47 / 만5세 26 / 연령혼합반 24</t>
        </is>
      </c>
    </row>
    <row r="182">
      <c r="A182" s="5" t="inlineStr">
        <is>
          <t>화인유치원</t>
        </is>
      </c>
      <c r="B182" s="5" t="inlineStr">
        <is>
          <t>유치원</t>
        </is>
      </c>
      <c r="C182" s="5" t="inlineStr">
        <is>
          <t>사립(사인)</t>
        </is>
      </c>
      <c r="D182" s="5" t="inlineStr">
        <is>
          <t>부산진구</t>
        </is>
      </c>
      <c r="E182" s="5" t="inlineStr">
        <is>
          <t>부산광역시 부산진구 동평로291번길 30</t>
        </is>
      </c>
      <c r="F182" s="5" t="inlineStr"/>
      <c r="G182" s="5" t="inlineStr">
        <is>
          <t>051-818-6556</t>
        </is>
      </c>
      <c r="H182" s="12">
        <f>유치원!N182</f>
        <v/>
      </c>
      <c r="I182" s="5" t="inlineStr">
        <is>
          <t>만3세 32 / 만4세 43 / 만5세 40 / 연령혼합반 21</t>
        </is>
      </c>
    </row>
    <row r="183">
      <c r="A183" s="5" t="inlineStr">
        <is>
          <t>21세기유치원</t>
        </is>
      </c>
      <c r="B183" s="5" t="inlineStr">
        <is>
          <t>유치원</t>
        </is>
      </c>
      <c r="C183" s="5" t="inlineStr">
        <is>
          <t>사립(사인)</t>
        </is>
      </c>
      <c r="D183" s="5" t="inlineStr">
        <is>
          <t>북구</t>
        </is>
      </c>
      <c r="E183" s="5" t="inlineStr">
        <is>
          <t>부산광역시 북구 금곡대로330번길 20</t>
        </is>
      </c>
      <c r="F183" s="11" t="inlineStr">
        <is>
          <t>https://school.busanedu.net/21c5200-k</t>
        </is>
      </c>
      <c r="G183" s="5" t="inlineStr">
        <is>
          <t>051-343-5200</t>
        </is>
      </c>
      <c r="H183" s="12">
        <f>유치원!N183</f>
        <v/>
      </c>
      <c r="I183" s="5" t="inlineStr">
        <is>
          <t>만4세 72 / 만5세 51 / 연령혼합반 45</t>
        </is>
      </c>
    </row>
    <row r="184">
      <c r="A184" s="5" t="inlineStr">
        <is>
          <t>구남초등학교병설유치원</t>
        </is>
      </c>
      <c r="B184" s="5" t="inlineStr">
        <is>
          <t>유치원</t>
        </is>
      </c>
      <c r="C184" s="5" t="inlineStr">
        <is>
          <t>공립(병설)</t>
        </is>
      </c>
      <c r="D184" s="5" t="inlineStr">
        <is>
          <t>북구</t>
        </is>
      </c>
      <c r="E184" s="5" t="inlineStr">
        <is>
          <t>부산광역시 북구 구남로14번가길 23</t>
        </is>
      </c>
      <c r="F184" s="11" t="inlineStr">
        <is>
          <t>https://school.busanedu.net/kunam-k/main.do</t>
        </is>
      </c>
      <c r="G184" s="5" t="inlineStr">
        <is>
          <t>051-937-6650</t>
        </is>
      </c>
      <c r="H184" s="12">
        <f>유치원!N184</f>
        <v/>
      </c>
      <c r="I184" s="5" t="inlineStr">
        <is>
          <t>만5세 10 / 연령혼합반 7</t>
        </is>
      </c>
    </row>
    <row r="185">
      <c r="A185" s="5" t="inlineStr">
        <is>
          <t>구포성당부설소화유치원</t>
        </is>
      </c>
      <c r="B185" s="5" t="inlineStr">
        <is>
          <t>유치원</t>
        </is>
      </c>
      <c r="C185" s="5" t="inlineStr">
        <is>
          <t>사립(법인)</t>
        </is>
      </c>
      <c r="D185" s="5" t="inlineStr">
        <is>
          <t>북구</t>
        </is>
      </c>
      <c r="E185" s="5" t="inlineStr">
        <is>
          <t>부산광역시 북구 가람로52번길 44</t>
        </is>
      </c>
      <c r="F185" s="5" t="inlineStr"/>
      <c r="G185" s="5" t="inlineStr">
        <is>
          <t>051-332-6315</t>
        </is>
      </c>
      <c r="H185" s="12">
        <f>유치원!N185</f>
        <v/>
      </c>
      <c r="I185" s="5" t="inlineStr"/>
    </row>
    <row r="186">
      <c r="A186" s="5" t="inlineStr">
        <is>
          <t>그린코아유치원</t>
        </is>
      </c>
      <c r="B186" s="5" t="inlineStr">
        <is>
          <t>유치원</t>
        </is>
      </c>
      <c r="C186" s="5" t="inlineStr">
        <is>
          <t>사립(사인)</t>
        </is>
      </c>
      <c r="D186" s="5" t="inlineStr">
        <is>
          <t>북구</t>
        </is>
      </c>
      <c r="E186" s="5" t="inlineStr">
        <is>
          <t>부산광역시 북구 덕천로234번길 47</t>
        </is>
      </c>
      <c r="F186" s="11" t="inlineStr">
        <is>
          <t>http://school.busanedu.net/greencore-k/main.do</t>
        </is>
      </c>
      <c r="G186" s="5" t="inlineStr">
        <is>
          <t>051-336-8751</t>
        </is>
      </c>
      <c r="H186" s="12">
        <f>유치원!N186</f>
        <v/>
      </c>
      <c r="I186" s="5" t="inlineStr">
        <is>
          <t>만3세 7 / 만4세 5 / 만5세 11</t>
        </is>
      </c>
    </row>
    <row r="187">
      <c r="A187" s="5" t="inlineStr">
        <is>
          <t>금곡나래유치원</t>
        </is>
      </c>
      <c r="B187" s="5" t="inlineStr">
        <is>
          <t>유치원</t>
        </is>
      </c>
      <c r="C187" s="5" t="inlineStr">
        <is>
          <t>공립(단설)</t>
        </is>
      </c>
      <c r="D187" s="5" t="inlineStr">
        <is>
          <t>북구</t>
        </is>
      </c>
      <c r="E187" s="5" t="inlineStr">
        <is>
          <t>부산광역시 북구 효열로220번길 35</t>
        </is>
      </c>
      <c r="F187" s="11" t="inlineStr">
        <is>
          <t>http://school.busanedu.net/gnr-k/main.do</t>
        </is>
      </c>
      <c r="G187" s="5" t="inlineStr">
        <is>
          <t>051-790-9500</t>
        </is>
      </c>
      <c r="H187" s="12">
        <f>유치원!N187</f>
        <v/>
      </c>
      <c r="I187" s="5" t="inlineStr">
        <is>
          <t>만3세 15 / 만4세 6 / 만5세 13 / 특수학급 8</t>
        </is>
      </c>
    </row>
    <row r="188">
      <c r="A188" s="5" t="inlineStr">
        <is>
          <t>금란자연유치원</t>
        </is>
      </c>
      <c r="B188" s="5" t="inlineStr">
        <is>
          <t>유치원</t>
        </is>
      </c>
      <c r="C188" s="5" t="inlineStr">
        <is>
          <t>사립(사인)</t>
        </is>
      </c>
      <c r="D188" s="5" t="inlineStr">
        <is>
          <t>북구</t>
        </is>
      </c>
      <c r="E188" s="5" t="inlineStr">
        <is>
          <t>부산광역시 북구 의성로33번길 184</t>
        </is>
      </c>
      <c r="F188" s="5" t="inlineStr"/>
      <c r="G188" s="5" t="inlineStr">
        <is>
          <t>051-714-0515</t>
        </is>
      </c>
      <c r="H188" s="12">
        <f>유치원!N188</f>
        <v/>
      </c>
      <c r="I188" s="5" t="inlineStr">
        <is>
          <t>만4세 39 / 만5세 61 / 연령혼합반 48</t>
        </is>
      </c>
    </row>
    <row r="189">
      <c r="A189" s="5" t="inlineStr">
        <is>
          <t>금명초등학교병설유치원</t>
        </is>
      </c>
      <c r="B189" s="5" t="inlineStr">
        <is>
          <t>유치원</t>
        </is>
      </c>
      <c r="C189" s="5" t="inlineStr">
        <is>
          <t>공립(병설)</t>
        </is>
      </c>
      <c r="D189" s="5" t="inlineStr">
        <is>
          <t>북구</t>
        </is>
      </c>
      <c r="E189" s="5" t="inlineStr">
        <is>
          <t>부산광역시 북구 화명신도시로 197</t>
        </is>
      </c>
      <c r="F189" s="11" t="inlineStr">
        <is>
          <t>http://school.busanedu.net/geummyeong-k</t>
        </is>
      </c>
      <c r="G189" s="5" t="inlineStr">
        <is>
          <t>051-361-1837</t>
        </is>
      </c>
      <c r="H189" s="12">
        <f>유치원!N189</f>
        <v/>
      </c>
      <c r="I189" s="5" t="inlineStr">
        <is>
          <t>만3세 5 / 만4세 12 / 만5세 15</t>
        </is>
      </c>
    </row>
    <row r="190">
      <c r="A190" s="5" t="inlineStr">
        <is>
          <t>금창초등학교병설유치원</t>
        </is>
      </c>
      <c r="B190" s="5" t="inlineStr">
        <is>
          <t>유치원</t>
        </is>
      </c>
      <c r="C190" s="5" t="inlineStr">
        <is>
          <t>공립(병설)</t>
        </is>
      </c>
      <c r="D190" s="5" t="inlineStr">
        <is>
          <t>북구</t>
        </is>
      </c>
      <c r="E190" s="5" t="inlineStr">
        <is>
          <t>부산광역시 북구 효열로235번길 14</t>
        </is>
      </c>
      <c r="F190" s="11" t="inlineStr">
        <is>
          <t>http://school.busanedu.net/geumchang-k/</t>
        </is>
      </c>
      <c r="G190" s="5" t="inlineStr">
        <is>
          <t>051-320-5680</t>
        </is>
      </c>
      <c r="H190" s="12">
        <f>유치원!N190</f>
        <v/>
      </c>
      <c r="I190" s="5" t="inlineStr"/>
    </row>
    <row r="191">
      <c r="A191" s="5" t="inlineStr">
        <is>
          <t>금화유치원</t>
        </is>
      </c>
      <c r="B191" s="5" t="inlineStr">
        <is>
          <t>유치원</t>
        </is>
      </c>
      <c r="C191" s="5" t="inlineStr">
        <is>
          <t>사립(사인)</t>
        </is>
      </c>
      <c r="D191" s="5" t="inlineStr">
        <is>
          <t>북구</t>
        </is>
      </c>
      <c r="E191" s="5" t="inlineStr">
        <is>
          <t>부산광역시 북구 화명대로 85</t>
        </is>
      </c>
      <c r="F191" s="5" t="inlineStr"/>
      <c r="G191" s="5" t="inlineStr">
        <is>
          <t>051-331-6006</t>
        </is>
      </c>
      <c r="H191" s="12">
        <f>유치원!N191</f>
        <v/>
      </c>
      <c r="I191" s="5" t="inlineStr">
        <is>
          <t>만3세 48 / 만4세 23 / 만5세 66</t>
        </is>
      </c>
    </row>
    <row r="192">
      <c r="A192" s="5" t="inlineStr">
        <is>
          <t>꽃사슴유치원</t>
        </is>
      </c>
      <c r="B192" s="5" t="inlineStr">
        <is>
          <t>유치원</t>
        </is>
      </c>
      <c r="C192" s="5" t="inlineStr">
        <is>
          <t>사립(사인)</t>
        </is>
      </c>
      <c r="D192" s="5" t="inlineStr">
        <is>
          <t>북구</t>
        </is>
      </c>
      <c r="E192" s="5" t="inlineStr">
        <is>
          <t>부산광역시 북구 모분재로 92</t>
        </is>
      </c>
      <c r="F192" s="5" t="inlineStr"/>
      <c r="G192" s="5" t="inlineStr">
        <is>
          <t>051-333-4676</t>
        </is>
      </c>
      <c r="H192" s="12">
        <f>유치원!N192</f>
        <v/>
      </c>
      <c r="I192" s="5" t="inlineStr"/>
    </row>
    <row r="193">
      <c r="A193" s="5" t="inlineStr">
        <is>
          <t>대림유치원</t>
        </is>
      </c>
      <c r="B193" s="5" t="inlineStr">
        <is>
          <t>유치원</t>
        </is>
      </c>
      <c r="C193" s="5" t="inlineStr">
        <is>
          <t>사립(사인)</t>
        </is>
      </c>
      <c r="D193" s="5" t="inlineStr">
        <is>
          <t>북구</t>
        </is>
      </c>
      <c r="E193" s="5" t="inlineStr">
        <is>
          <t>부산광역시 북구 금곡대로 268</t>
        </is>
      </c>
      <c r="F193" s="5" t="inlineStr"/>
      <c r="G193" s="5" t="inlineStr">
        <is>
          <t>051-361-4333</t>
        </is>
      </c>
      <c r="H193" s="12">
        <f>유치원!N193</f>
        <v/>
      </c>
      <c r="I193" s="5" t="inlineStr">
        <is>
          <t>만3세 13 / 만4세 23 / 만5세 17</t>
        </is>
      </c>
    </row>
    <row r="194">
      <c r="A194" s="5" t="inlineStr">
        <is>
          <t>대천리초등학교병설유치원</t>
        </is>
      </c>
      <c r="B194" s="5" t="inlineStr">
        <is>
          <t>유치원</t>
        </is>
      </c>
      <c r="C194" s="5" t="inlineStr">
        <is>
          <t>공립(병설)</t>
        </is>
      </c>
      <c r="D194" s="5" t="inlineStr">
        <is>
          <t>북구</t>
        </is>
      </c>
      <c r="E194" s="5" t="inlineStr">
        <is>
          <t>부산광역시 북구 산성로 87-10</t>
        </is>
      </c>
      <c r="F194" s="11" t="inlineStr">
        <is>
          <t>https://school.busanedu.net/daechunlee-k</t>
        </is>
      </c>
      <c r="G194" s="5" t="inlineStr">
        <is>
          <t>051-366-2740</t>
        </is>
      </c>
      <c r="H194" s="12">
        <f>유치원!N194</f>
        <v/>
      </c>
      <c r="I194" s="5" t="inlineStr">
        <is>
          <t>연령혼합반 6</t>
        </is>
      </c>
    </row>
    <row r="195">
      <c r="A195" s="5" t="inlineStr">
        <is>
          <t>덕성초등학교병설유치원</t>
        </is>
      </c>
      <c r="B195" s="5" t="inlineStr">
        <is>
          <t>유치원</t>
        </is>
      </c>
      <c r="C195" s="5" t="inlineStr">
        <is>
          <t>공립(병설)</t>
        </is>
      </c>
      <c r="D195" s="5" t="inlineStr">
        <is>
          <t>북구</t>
        </is>
      </c>
      <c r="E195" s="5" t="inlineStr">
        <is>
          <t>부산광역시 북구 만덕대로39번길 45</t>
        </is>
      </c>
      <c r="F195" s="11" t="inlineStr">
        <is>
          <t>http://dsedu.es.kr</t>
        </is>
      </c>
      <c r="G195" s="5" t="inlineStr">
        <is>
          <t>051-330-3616</t>
        </is>
      </c>
      <c r="H195" s="12">
        <f>유치원!N195</f>
        <v/>
      </c>
      <c r="I195" s="5" t="inlineStr">
        <is>
          <t>만3세 3 / 만4세 11 / 만5세 9</t>
        </is>
      </c>
    </row>
    <row r="196">
      <c r="A196" s="5" t="inlineStr">
        <is>
          <t>덕양초등학교병설유치원</t>
        </is>
      </c>
      <c r="B196" s="5" t="inlineStr">
        <is>
          <t>유치원</t>
        </is>
      </c>
      <c r="C196" s="5" t="inlineStr">
        <is>
          <t>공립(병설)</t>
        </is>
      </c>
      <c r="D196" s="5" t="inlineStr">
        <is>
          <t>북구</t>
        </is>
      </c>
      <c r="E196" s="5" t="inlineStr">
        <is>
          <t>부산광역시 북구 함박봉로 42</t>
        </is>
      </c>
      <c r="F196" s="11" t="inlineStr">
        <is>
          <t>https://school.busanedu.net/dukyang-k/main.do</t>
        </is>
      </c>
      <c r="G196" s="5" t="inlineStr">
        <is>
          <t>055-338-8355</t>
        </is>
      </c>
      <c r="H196" s="12">
        <f>유치원!N196</f>
        <v/>
      </c>
      <c r="I196" s="5" t="inlineStr">
        <is>
          <t>만5세 7 / 연령혼합반 7</t>
        </is>
      </c>
    </row>
    <row r="197">
      <c r="A197" s="5" t="inlineStr">
        <is>
          <t>덕천유치원</t>
        </is>
      </c>
      <c r="B197" s="5" t="inlineStr">
        <is>
          <t>유치원</t>
        </is>
      </c>
      <c r="C197" s="5" t="inlineStr">
        <is>
          <t>공립(단설)</t>
        </is>
      </c>
      <c r="D197" s="5" t="inlineStr">
        <is>
          <t>북구</t>
        </is>
      </c>
      <c r="E197" s="5" t="inlineStr">
        <is>
          <t>부산광역시 북구 덕천2길 10</t>
        </is>
      </c>
      <c r="F197" s="11" t="inlineStr">
        <is>
          <t>http://school.busanedu.net/dck99-k/main.do</t>
        </is>
      </c>
      <c r="G197" s="5" t="inlineStr">
        <is>
          <t>051-341-6463</t>
        </is>
      </c>
      <c r="H197" s="12">
        <f>유치원!N197</f>
        <v/>
      </c>
      <c r="I197" s="5" t="inlineStr">
        <is>
          <t>만3세 26 / 만4세 20 / 만5세 33 / 특수학급 3</t>
        </is>
      </c>
    </row>
    <row r="198">
      <c r="A198" s="5" t="inlineStr">
        <is>
          <t>롯데캐슬카이저유치원</t>
        </is>
      </c>
      <c r="B198" s="5" t="inlineStr">
        <is>
          <t>유치원</t>
        </is>
      </c>
      <c r="C198" s="5" t="inlineStr">
        <is>
          <t>사립(사인)</t>
        </is>
      </c>
      <c r="D198" s="5" t="inlineStr">
        <is>
          <t>북구</t>
        </is>
      </c>
      <c r="E198" s="5" t="inlineStr">
        <is>
          <t>부산광역시 북구 금곡대로 166</t>
        </is>
      </c>
      <c r="F198" s="11" t="inlineStr">
        <is>
          <t>http://school.busanedu.net/kiser-k/main.do</t>
        </is>
      </c>
      <c r="G198" s="5" t="inlineStr">
        <is>
          <t>051-365-1713</t>
        </is>
      </c>
      <c r="H198" s="12">
        <f>유치원!N198</f>
        <v/>
      </c>
      <c r="I198" s="5" t="inlineStr">
        <is>
          <t>만3세 51 / 만4세 57 / 만5세 47</t>
        </is>
      </c>
    </row>
    <row r="199">
      <c r="A199" s="5" t="inlineStr">
        <is>
          <t>만덕자연유치원</t>
        </is>
      </c>
      <c r="B199" s="5" t="inlineStr">
        <is>
          <t>유치원</t>
        </is>
      </c>
      <c r="C199" s="5" t="inlineStr">
        <is>
          <t>사립(사인)</t>
        </is>
      </c>
      <c r="D199" s="5" t="inlineStr">
        <is>
          <t>북구</t>
        </is>
      </c>
      <c r="E199" s="5" t="inlineStr">
        <is>
          <t>부산광역시 북구 만덕1로100번길 14</t>
        </is>
      </c>
      <c r="F199" s="5" t="inlineStr"/>
      <c r="G199" s="5" t="inlineStr">
        <is>
          <t>051-337-7771</t>
        </is>
      </c>
      <c r="H199" s="12">
        <f>유치원!N199</f>
        <v/>
      </c>
      <c r="I199" s="5" t="inlineStr">
        <is>
          <t>만3세 64 / 만4세 70 / 만5세 70 / 연령혼합반 44</t>
        </is>
      </c>
    </row>
    <row r="200">
      <c r="A200" s="5" t="inlineStr">
        <is>
          <t>명덕초등학교병설유치원</t>
        </is>
      </c>
      <c r="B200" s="5" t="inlineStr">
        <is>
          <t>유치원</t>
        </is>
      </c>
      <c r="C200" s="5" t="inlineStr">
        <is>
          <t>공립(병설)</t>
        </is>
      </c>
      <c r="D200" s="5" t="inlineStr">
        <is>
          <t>북구</t>
        </is>
      </c>
      <c r="E200" s="5" t="inlineStr">
        <is>
          <t>부산광역시 북구 금곡대로186번길 43</t>
        </is>
      </c>
      <c r="F200" s="11" t="inlineStr">
        <is>
          <t>http://school.busanedu.net/myd-k</t>
        </is>
      </c>
      <c r="G200" s="5" t="inlineStr">
        <is>
          <t>051-331-6850</t>
        </is>
      </c>
      <c r="H200" s="12">
        <f>유치원!N200</f>
        <v/>
      </c>
      <c r="I200" s="5" t="inlineStr">
        <is>
          <t>만3세 4 / 만4세 10 / 만5세 11</t>
        </is>
      </c>
    </row>
    <row r="201">
      <c r="A201" s="5" t="inlineStr">
        <is>
          <t>명진초등학교병설유치원</t>
        </is>
      </c>
      <c r="B201" s="5" t="inlineStr">
        <is>
          <t>유치원</t>
        </is>
      </c>
      <c r="C201" s="5" t="inlineStr">
        <is>
          <t>공립(병설)</t>
        </is>
      </c>
      <c r="D201" s="5" t="inlineStr">
        <is>
          <t>북구</t>
        </is>
      </c>
      <c r="E201" s="5" t="inlineStr">
        <is>
          <t>부산광역시 북구 화명신도시로 159</t>
        </is>
      </c>
      <c r="F201" s="11" t="inlineStr">
        <is>
          <t>http://myungjin.es.kr/</t>
        </is>
      </c>
      <c r="G201" s="5" t="inlineStr">
        <is>
          <t>051-330-4704</t>
        </is>
      </c>
      <c r="H201" s="12">
        <f>유치원!N201</f>
        <v/>
      </c>
      <c r="I201" s="5" t="inlineStr"/>
    </row>
    <row r="202">
      <c r="A202" s="5" t="inlineStr">
        <is>
          <t>백산유치원</t>
        </is>
      </c>
      <c r="B202" s="5" t="inlineStr">
        <is>
          <t>유치원</t>
        </is>
      </c>
      <c r="C202" s="5" t="inlineStr">
        <is>
          <t>사립(사인)</t>
        </is>
      </c>
      <c r="D202" s="5" t="inlineStr">
        <is>
          <t>북구</t>
        </is>
      </c>
      <c r="E202" s="5" t="inlineStr">
        <is>
          <t>부산광역시 북구 만덕3로48번다길 21</t>
        </is>
      </c>
      <c r="F202" s="5" t="inlineStr"/>
      <c r="G202" s="5" t="inlineStr">
        <is>
          <t>051-341-2216</t>
        </is>
      </c>
      <c r="H202" s="12">
        <f>유치원!N202</f>
        <v/>
      </c>
      <c r="I202" s="5" t="inlineStr"/>
    </row>
    <row r="203">
      <c r="A203" s="5" t="inlineStr">
        <is>
          <t>백양유치원</t>
        </is>
      </c>
      <c r="B203" s="5" t="inlineStr">
        <is>
          <t>유치원</t>
        </is>
      </c>
      <c r="C203" s="5" t="inlineStr">
        <is>
          <t>사립(사인)</t>
        </is>
      </c>
      <c r="D203" s="5" t="inlineStr">
        <is>
          <t>북구</t>
        </is>
      </c>
      <c r="E203" s="5" t="inlineStr">
        <is>
          <t>부산광역시 북구 만덕2로 10</t>
        </is>
      </c>
      <c r="F203" s="11" t="inlineStr">
        <is>
          <t>https://school.busanedu.net/baekyang-k/main.do</t>
        </is>
      </c>
      <c r="G203" s="5" t="inlineStr">
        <is>
          <t>051-333-0002</t>
        </is>
      </c>
      <c r="H203" s="12">
        <f>유치원!N203</f>
        <v/>
      </c>
      <c r="I203" s="5" t="inlineStr">
        <is>
          <t>만3세 52 / 만4세 26 / 만5세 26</t>
        </is>
      </c>
    </row>
    <row r="204">
      <c r="A204" s="5" t="inlineStr">
        <is>
          <t>백조명문유치원</t>
        </is>
      </c>
      <c r="B204" s="5" t="inlineStr">
        <is>
          <t>유치원</t>
        </is>
      </c>
      <c r="C204" s="5" t="inlineStr">
        <is>
          <t>사립(사인)</t>
        </is>
      </c>
      <c r="D204" s="5" t="inlineStr">
        <is>
          <t>북구</t>
        </is>
      </c>
      <c r="E204" s="5" t="inlineStr">
        <is>
          <t>부산광역시 북구 효열로 39</t>
        </is>
      </c>
      <c r="F204" s="11" t="inlineStr">
        <is>
          <t>https://school.busanedu.net/bjmm-k</t>
        </is>
      </c>
      <c r="G204" s="5" t="inlineStr">
        <is>
          <t>051-361-5871</t>
        </is>
      </c>
      <c r="H204" s="12">
        <f>유치원!N204</f>
        <v/>
      </c>
      <c r="I204" s="5" t="inlineStr">
        <is>
          <t>만3세 28 / 만4세 38 / 만5세 23</t>
        </is>
      </c>
    </row>
    <row r="205">
      <c r="A205" s="5" t="inlineStr">
        <is>
          <t>비젼이화유치원</t>
        </is>
      </c>
      <c r="B205" s="5" t="inlineStr">
        <is>
          <t>유치원</t>
        </is>
      </c>
      <c r="C205" s="5" t="inlineStr">
        <is>
          <t>사립(사인)</t>
        </is>
      </c>
      <c r="D205" s="5" t="inlineStr">
        <is>
          <t>북구</t>
        </is>
      </c>
      <c r="E205" s="5" t="inlineStr">
        <is>
          <t>부산광역시 북구 화명신도시로 70</t>
        </is>
      </c>
      <c r="F205" s="5" t="inlineStr"/>
      <c r="G205" s="5" t="inlineStr">
        <is>
          <t>051-364-4600</t>
        </is>
      </c>
      <c r="H205" s="12">
        <f>유치원!N205</f>
        <v/>
      </c>
      <c r="I205" s="5" t="inlineStr">
        <is>
          <t>만3세 41 / 만4세 29 / 만5세 15</t>
        </is>
      </c>
    </row>
    <row r="206">
      <c r="A206" s="5" t="inlineStr">
        <is>
          <t>사랑나무유치원</t>
        </is>
      </c>
      <c r="B206" s="5" t="inlineStr">
        <is>
          <t>유치원</t>
        </is>
      </c>
      <c r="C206" s="5" t="inlineStr">
        <is>
          <t>사립(사인)</t>
        </is>
      </c>
      <c r="D206" s="5" t="inlineStr">
        <is>
          <t>북구</t>
        </is>
      </c>
      <c r="E206" s="5" t="inlineStr">
        <is>
          <t>부산광역시 북구 덕천로276번길 60</t>
        </is>
      </c>
      <c r="F206" s="5" t="inlineStr"/>
      <c r="G206" s="5" t="inlineStr">
        <is>
          <t>051-335-1222</t>
        </is>
      </c>
      <c r="H206" s="12">
        <f>유치원!N206</f>
        <v/>
      </c>
      <c r="I206" s="5" t="inlineStr">
        <is>
          <t>연령혼합반 96</t>
        </is>
      </c>
    </row>
    <row r="207">
      <c r="A207" s="5" t="inlineStr">
        <is>
          <t>새들유치원</t>
        </is>
      </c>
      <c r="B207" s="5" t="inlineStr">
        <is>
          <t>유치원</t>
        </is>
      </c>
      <c r="C207" s="5" t="inlineStr">
        <is>
          <t>사립(사인)</t>
        </is>
      </c>
      <c r="D207" s="5" t="inlineStr">
        <is>
          <t>북구</t>
        </is>
      </c>
      <c r="E207" s="5" t="inlineStr">
        <is>
          <t>부산광역시 북구 의성로122번길 25</t>
        </is>
      </c>
      <c r="F207" s="5" t="inlineStr"/>
      <c r="G207" s="5" t="inlineStr">
        <is>
          <t>051-333-5441</t>
        </is>
      </c>
      <c r="H207" s="12">
        <f>유치원!N207</f>
        <v/>
      </c>
      <c r="I207" s="5" t="inlineStr">
        <is>
          <t>만3세 10 / 만4세 13 / 만5세 11</t>
        </is>
      </c>
    </row>
    <row r="208">
      <c r="A208" s="5" t="inlineStr">
        <is>
          <t>수정캐슬유치원</t>
        </is>
      </c>
      <c r="B208" s="5" t="inlineStr">
        <is>
          <t>유치원</t>
        </is>
      </c>
      <c r="C208" s="5" t="inlineStr">
        <is>
          <t>사립(사인)</t>
        </is>
      </c>
      <c r="D208" s="5" t="inlineStr">
        <is>
          <t>북구</t>
        </is>
      </c>
      <c r="E208" s="5" t="inlineStr">
        <is>
          <t>부산광역시 북구 화명대로94번길 102</t>
        </is>
      </c>
      <c r="F208" s="5" t="inlineStr"/>
      <c r="G208" s="5" t="inlineStr">
        <is>
          <t>051-331-9378</t>
        </is>
      </c>
      <c r="H208" s="12">
        <f>유치원!N208</f>
        <v/>
      </c>
      <c r="I208" s="5" t="inlineStr">
        <is>
          <t>만4세 37 / 만5세 57 / 연령혼합반 56</t>
        </is>
      </c>
    </row>
    <row r="209">
      <c r="A209" s="5" t="inlineStr">
        <is>
          <t>숲속은성유치원</t>
        </is>
      </c>
      <c r="B209" s="5" t="inlineStr">
        <is>
          <t>유치원</t>
        </is>
      </c>
      <c r="C209" s="5" t="inlineStr">
        <is>
          <t>사립(사인)</t>
        </is>
      </c>
      <c r="D209" s="5" t="inlineStr">
        <is>
          <t>북구</t>
        </is>
      </c>
      <c r="E209" s="5" t="inlineStr">
        <is>
          <t>부산광역시 북구 낙동북로772번길 32</t>
        </is>
      </c>
      <c r="F209" s="11" t="inlineStr">
        <is>
          <t>https://m.blog.naver.com/PostList.naver?blogId=eunsung567-</t>
        </is>
      </c>
      <c r="G209" s="5" t="inlineStr">
        <is>
          <t>051-333-7655</t>
        </is>
      </c>
      <c r="H209" s="12">
        <f>유치원!N209</f>
        <v/>
      </c>
      <c r="I209" s="5" t="inlineStr">
        <is>
          <t>만3세 30 / 만4세 37 / 만5세 45</t>
        </is>
      </c>
    </row>
    <row r="210">
      <c r="A210" s="5" t="inlineStr">
        <is>
          <t>신금초등학교병설유치원</t>
        </is>
      </c>
      <c r="B210" s="5" t="inlineStr">
        <is>
          <t>유치원</t>
        </is>
      </c>
      <c r="C210" s="5" t="inlineStr">
        <is>
          <t>공립(병설)</t>
        </is>
      </c>
      <c r="D210" s="5" t="inlineStr">
        <is>
          <t>북구</t>
        </is>
      </c>
      <c r="E210" s="5" t="inlineStr">
        <is>
          <t>부산광역시 북구 효열로 42</t>
        </is>
      </c>
      <c r="F210" s="11" t="inlineStr">
        <is>
          <t>http://school.busanedu.net/sinkum-k/main.do</t>
        </is>
      </c>
      <c r="G210" s="5" t="inlineStr">
        <is>
          <t>051-330-6490</t>
        </is>
      </c>
      <c r="H210" s="12">
        <f>유치원!N210</f>
        <v/>
      </c>
      <c r="I210" s="5" t="inlineStr"/>
    </row>
    <row r="211">
      <c r="A211" s="5" t="inlineStr">
        <is>
          <t>신덕초등학교병설유치원</t>
        </is>
      </c>
      <c r="B211" s="5" t="inlineStr">
        <is>
          <t>유치원</t>
        </is>
      </c>
      <c r="C211" s="5" t="inlineStr">
        <is>
          <t>공립(병설)</t>
        </is>
      </c>
      <c r="D211" s="5" t="inlineStr">
        <is>
          <t>북구</t>
        </is>
      </c>
      <c r="E211" s="5" t="inlineStr">
        <is>
          <t>부산광역시 북구 함박봉로140번가길 25</t>
        </is>
      </c>
      <c r="F211" s="11" t="inlineStr">
        <is>
          <t>http://school.busanedu.net/sinduk-k/main.do</t>
        </is>
      </c>
      <c r="G211" s="5" t="inlineStr">
        <is>
          <t>051-330-2928</t>
        </is>
      </c>
      <c r="H211" s="12">
        <f>유치원!N211</f>
        <v/>
      </c>
      <c r="I211" s="5" t="inlineStr">
        <is>
          <t>만3세 5 / 만4세 7 / 만5세 8</t>
        </is>
      </c>
    </row>
    <row r="212">
      <c r="A212" s="5" t="inlineStr">
        <is>
          <t>와석초등학교병설유치원</t>
        </is>
      </c>
      <c r="B212" s="5" t="inlineStr">
        <is>
          <t>유치원</t>
        </is>
      </c>
      <c r="C212" s="5" t="inlineStr">
        <is>
          <t>공립(병설)</t>
        </is>
      </c>
      <c r="D212" s="5" t="inlineStr">
        <is>
          <t>북구</t>
        </is>
      </c>
      <c r="E212" s="5" t="inlineStr">
        <is>
          <t>부산광역시 북구 화명대로94번길 83</t>
        </is>
      </c>
      <c r="F212" s="11" t="inlineStr">
        <is>
          <t>http://school.busanedu.net/waseok-k/</t>
        </is>
      </c>
      <c r="G212" s="5" t="inlineStr">
        <is>
          <t>051-791-5271</t>
        </is>
      </c>
      <c r="H212" s="12">
        <f>유치원!N212</f>
        <v/>
      </c>
      <c r="I212" s="5" t="inlineStr">
        <is>
          <t>만5세 6 / 연령혼합반 10</t>
        </is>
      </c>
    </row>
    <row r="213">
      <c r="A213" s="5" t="inlineStr">
        <is>
          <t>용수초등학교병설유치원</t>
        </is>
      </c>
      <c r="B213" s="5" t="inlineStr">
        <is>
          <t>유치원</t>
        </is>
      </c>
      <c r="C213" s="5" t="inlineStr">
        <is>
          <t>공립(병설)</t>
        </is>
      </c>
      <c r="D213" s="5" t="inlineStr">
        <is>
          <t>북구</t>
        </is>
      </c>
      <c r="E213" s="5" t="inlineStr">
        <is>
          <t>부산광역시 북구 화명신도시로 53</t>
        </is>
      </c>
      <c r="F213" s="11" t="inlineStr">
        <is>
          <t>https://school.busanedu.net/yongsu-k</t>
        </is>
      </c>
      <c r="G213" s="5" t="inlineStr">
        <is>
          <t>051-330-3794</t>
        </is>
      </c>
      <c r="H213" s="12">
        <f>유치원!N213</f>
        <v/>
      </c>
      <c r="I213" s="5" t="inlineStr">
        <is>
          <t>만3세 5 / 연령혼합반 8 / 특수학급 3</t>
        </is>
      </c>
    </row>
    <row r="214">
      <c r="A214" s="5" t="inlineStr">
        <is>
          <t>원효정사유치원</t>
        </is>
      </c>
      <c r="B214" s="5" t="inlineStr">
        <is>
          <t>유치원</t>
        </is>
      </c>
      <c r="C214" s="5" t="inlineStr">
        <is>
          <t>사립(법인)</t>
        </is>
      </c>
      <c r="D214" s="5" t="inlineStr">
        <is>
          <t>북구</t>
        </is>
      </c>
      <c r="E214" s="5" t="inlineStr">
        <is>
          <t>부산광역시 북구 효열로162번길 180-14</t>
        </is>
      </c>
      <c r="F214" s="11" t="inlineStr">
        <is>
          <t>https://school.busanedu.net/wonhyojungsa-k/main.do</t>
        </is>
      </c>
      <c r="G214" s="5" t="inlineStr">
        <is>
          <t>051-343-0567</t>
        </is>
      </c>
      <c r="H214" s="12">
        <f>유치원!N214</f>
        <v/>
      </c>
      <c r="I214" s="5" t="inlineStr">
        <is>
          <t>만3세 19 / 만4세 7 / 만5세 22</t>
        </is>
      </c>
    </row>
    <row r="215">
      <c r="A215" s="5" t="inlineStr">
        <is>
          <t>포천초등학교병설유치원</t>
        </is>
      </c>
      <c r="B215" s="5" t="inlineStr">
        <is>
          <t>유치원</t>
        </is>
      </c>
      <c r="C215" s="5" t="inlineStr">
        <is>
          <t>공립(병설)</t>
        </is>
      </c>
      <c r="D215" s="5" t="inlineStr">
        <is>
          <t>북구</t>
        </is>
      </c>
      <c r="E215" s="5" t="inlineStr">
        <is>
          <t>부산광역시 북구 시랑로 115</t>
        </is>
      </c>
      <c r="F215" s="11" t="inlineStr">
        <is>
          <t>http://school.busanedu.net/pochen-k/main.do</t>
        </is>
      </c>
      <c r="G215" s="5" t="inlineStr">
        <is>
          <t>051-366-3372</t>
        </is>
      </c>
      <c r="H215" s="12">
        <f>유치원!N215</f>
        <v/>
      </c>
      <c r="I215" s="5" t="inlineStr">
        <is>
          <t>만3세 5 / 만4세 6 / 만5세 12 / 특수학급 2</t>
        </is>
      </c>
    </row>
    <row r="216">
      <c r="A216" s="5" t="inlineStr">
        <is>
          <t>햇빛유치원</t>
        </is>
      </c>
      <c r="B216" s="5" t="inlineStr">
        <is>
          <t>유치원</t>
        </is>
      </c>
      <c r="C216" s="5" t="inlineStr">
        <is>
          <t>사립(사인)</t>
        </is>
      </c>
      <c r="D216" s="5" t="inlineStr">
        <is>
          <t>북구</t>
        </is>
      </c>
      <c r="E216" s="5" t="inlineStr">
        <is>
          <t>부산광역시 북구 효열로 117</t>
        </is>
      </c>
      <c r="F216" s="11" t="inlineStr">
        <is>
          <t>http://school.busanedu.net/sunlight-k</t>
        </is>
      </c>
      <c r="G216" s="5" t="inlineStr">
        <is>
          <t>051-362-6636</t>
        </is>
      </c>
      <c r="H216" s="12">
        <f>유치원!N216</f>
        <v/>
      </c>
      <c r="I216" s="5" t="inlineStr">
        <is>
          <t>만3세 32 / 만4세 59 / 만5세 57</t>
        </is>
      </c>
    </row>
    <row r="217">
      <c r="A217" s="5" t="inlineStr">
        <is>
          <t>현대여울림유치원</t>
        </is>
      </c>
      <c r="B217" s="5" t="inlineStr">
        <is>
          <t>유치원</t>
        </is>
      </c>
      <c r="C217" s="5" t="inlineStr">
        <is>
          <t>사립(사인)</t>
        </is>
      </c>
      <c r="D217" s="5" t="inlineStr">
        <is>
          <t>북구</t>
        </is>
      </c>
      <c r="E217" s="5" t="inlineStr">
        <is>
          <t>부산광역시 북구 백양대로 1003</t>
        </is>
      </c>
      <c r="F217" s="11" t="inlineStr">
        <is>
          <t>http://school.busanedu.net/hyundaiyeoulim-k</t>
        </is>
      </c>
      <c r="G217" s="5" t="inlineStr">
        <is>
          <t>051-336-7916</t>
        </is>
      </c>
      <c r="H217" s="12">
        <f>유치원!N217</f>
        <v/>
      </c>
      <c r="I217" s="5" t="inlineStr">
        <is>
          <t>만5세 20 / 연령혼합반 71</t>
        </is>
      </c>
    </row>
    <row r="218">
      <c r="A218" s="5" t="inlineStr">
        <is>
          <t>화명금화유치원</t>
        </is>
      </c>
      <c r="B218" s="5" t="inlineStr">
        <is>
          <t>유치원</t>
        </is>
      </c>
      <c r="C218" s="5" t="inlineStr">
        <is>
          <t>사립(사인)</t>
        </is>
      </c>
      <c r="D218" s="5" t="inlineStr">
        <is>
          <t>북구</t>
        </is>
      </c>
      <c r="E218" s="5" t="inlineStr">
        <is>
          <t>부산광역시 북구 화명대로 81-1</t>
        </is>
      </c>
      <c r="F218" s="5" t="inlineStr"/>
      <c r="G218" s="5" t="inlineStr">
        <is>
          <t>051-331-7458</t>
        </is>
      </c>
      <c r="H218" s="12">
        <f>유치원!N218</f>
        <v/>
      </c>
      <c r="I218" s="5" t="inlineStr">
        <is>
          <t>만3세 32 / 만4세 46 / 만5세 24</t>
        </is>
      </c>
    </row>
    <row r="219">
      <c r="A219" s="5" t="inlineStr">
        <is>
          <t>화명꿈유치원</t>
        </is>
      </c>
      <c r="B219" s="5" t="inlineStr">
        <is>
          <t>유치원</t>
        </is>
      </c>
      <c r="C219" s="5" t="inlineStr">
        <is>
          <t>공립(단설)</t>
        </is>
      </c>
      <c r="D219" s="5" t="inlineStr">
        <is>
          <t>북구</t>
        </is>
      </c>
      <c r="E219" s="5" t="inlineStr">
        <is>
          <t>부산광역시 북구 금곡대로 359</t>
        </is>
      </c>
      <c r="F219" s="11" t="inlineStr">
        <is>
          <t>http://school.busanedu.net/hwamyeongkkum-k/</t>
        </is>
      </c>
      <c r="G219" s="5" t="inlineStr">
        <is>
          <t>051-790-3200</t>
        </is>
      </c>
      <c r="H219" s="12">
        <f>유치원!N219</f>
        <v/>
      </c>
      <c r="I219" s="5" t="inlineStr">
        <is>
          <t>만3세 25 / 만4세 30 / 만5세 37 / 특수학급 2</t>
        </is>
      </c>
    </row>
    <row r="220">
      <c r="A220" s="5" t="inlineStr">
        <is>
          <t>화영유치원</t>
        </is>
      </c>
      <c r="B220" s="5" t="inlineStr">
        <is>
          <t>유치원</t>
        </is>
      </c>
      <c r="C220" s="5" t="inlineStr">
        <is>
          <t>사립(사인)</t>
        </is>
      </c>
      <c r="D220" s="5" t="inlineStr">
        <is>
          <t>북구</t>
        </is>
      </c>
      <c r="E220" s="5" t="inlineStr">
        <is>
          <t>부산광역시 북구 덕천로 80</t>
        </is>
      </c>
      <c r="F220" s="5" t="inlineStr"/>
      <c r="G220" s="5" t="inlineStr">
        <is>
          <t>051-333-3800</t>
        </is>
      </c>
      <c r="H220" s="12">
        <f>유치원!N220</f>
        <v/>
      </c>
      <c r="I220" s="5" t="inlineStr">
        <is>
          <t>만5세 12 / 연령혼합반 3</t>
        </is>
      </c>
    </row>
    <row r="221">
      <c r="A221" s="5" t="inlineStr">
        <is>
          <t>화잠초등학교병설유치원</t>
        </is>
      </c>
      <c r="B221" s="5" t="inlineStr">
        <is>
          <t>유치원</t>
        </is>
      </c>
      <c r="C221" s="5" t="inlineStr">
        <is>
          <t>공립(병설)</t>
        </is>
      </c>
      <c r="D221" s="5" t="inlineStr">
        <is>
          <t>북구</t>
        </is>
      </c>
      <c r="E221" s="5" t="inlineStr">
        <is>
          <t>부산광역시 북구 화명대로 97-25</t>
        </is>
      </c>
      <c r="F221" s="11" t="inlineStr">
        <is>
          <t>http://school.busanedu.net/hwajam-k/</t>
        </is>
      </c>
      <c r="G221" s="5" t="inlineStr">
        <is>
          <t>051-330-4227</t>
        </is>
      </c>
      <c r="H221" s="12">
        <f>유치원!N221</f>
        <v/>
      </c>
      <c r="I221" s="5" t="inlineStr">
        <is>
          <t>연령혼합반 12</t>
        </is>
      </c>
    </row>
    <row r="222">
      <c r="A222" s="5" t="inlineStr">
        <is>
          <t>효림유치원</t>
        </is>
      </c>
      <c r="B222" s="5" t="inlineStr">
        <is>
          <t>유치원</t>
        </is>
      </c>
      <c r="C222" s="5" t="inlineStr">
        <is>
          <t>사립(사인)</t>
        </is>
      </c>
      <c r="D222" s="5" t="inlineStr">
        <is>
          <t>북구</t>
        </is>
      </c>
      <c r="E222" s="5" t="inlineStr">
        <is>
          <t>부산광역시 북구 백양대로1016번길 100-47</t>
        </is>
      </c>
      <c r="F222" s="11" t="inlineStr">
        <is>
          <t>https://school.busanedu.net/hyorim-k</t>
        </is>
      </c>
      <c r="G222" s="5" t="inlineStr">
        <is>
          <t>051-335-0019</t>
        </is>
      </c>
      <c r="H222" s="12">
        <f>유치원!N222</f>
        <v/>
      </c>
      <c r="I222" s="5" t="inlineStr">
        <is>
          <t>만3세 19 / 만4세 13 / 만5세 28</t>
        </is>
      </c>
    </row>
    <row r="223">
      <c r="A223" s="5" t="inlineStr">
        <is>
          <t>가람유치원</t>
        </is>
      </c>
      <c r="B223" s="5" t="inlineStr">
        <is>
          <t>유치원</t>
        </is>
      </c>
      <c r="C223" s="5" t="inlineStr">
        <is>
          <t>사립(사인)</t>
        </is>
      </c>
      <c r="D223" s="5" t="inlineStr">
        <is>
          <t>사상구</t>
        </is>
      </c>
      <c r="E223" s="5" t="inlineStr">
        <is>
          <t>부산광역시 사상구 엄궁로191번길 20</t>
        </is>
      </c>
      <c r="F223" s="11" t="inlineStr">
        <is>
          <t>https://school.busanedu.net/karam-k/main.do</t>
        </is>
      </c>
      <c r="G223" s="5" t="inlineStr">
        <is>
          <t>051-312-3050</t>
        </is>
      </c>
      <c r="H223" s="12">
        <f>유치원!N223</f>
        <v/>
      </c>
      <c r="I223" s="5" t="inlineStr">
        <is>
          <t>만5세 6 / 연령혼합반 8</t>
        </is>
      </c>
    </row>
    <row r="224">
      <c r="A224" s="5" t="inlineStr">
        <is>
          <t>감전샛별유치원</t>
        </is>
      </c>
      <c r="B224" s="5" t="inlineStr">
        <is>
          <t>유치원</t>
        </is>
      </c>
      <c r="C224" s="5" t="inlineStr">
        <is>
          <t>사립(법인)</t>
        </is>
      </c>
      <c r="D224" s="5" t="inlineStr">
        <is>
          <t>사상구</t>
        </is>
      </c>
      <c r="E224" s="5" t="inlineStr">
        <is>
          <t>부산광역시 사상구 괘감로 77</t>
        </is>
      </c>
      <c r="F224" s="5" t="inlineStr"/>
      <c r="G224" s="5" t="inlineStr">
        <is>
          <t>051-317-5042</t>
        </is>
      </c>
      <c r="H224" s="12">
        <f>유치원!N224</f>
        <v/>
      </c>
      <c r="I224" s="5" t="inlineStr"/>
    </row>
    <row r="225">
      <c r="A225" s="5" t="inlineStr">
        <is>
          <t>감전초등학교병설유치원</t>
        </is>
      </c>
      <c r="B225" s="5" t="inlineStr">
        <is>
          <t>유치원</t>
        </is>
      </c>
      <c r="C225" s="5" t="inlineStr">
        <is>
          <t>공립(병설)</t>
        </is>
      </c>
      <c r="D225" s="5" t="inlineStr">
        <is>
          <t>사상구</t>
        </is>
      </c>
      <c r="E225" s="5" t="inlineStr">
        <is>
          <t>부산광역시 사상구 괘감로 132</t>
        </is>
      </c>
      <c r="F225" s="11" t="inlineStr">
        <is>
          <t>https://school.busanedu.net/gamjeon-k</t>
        </is>
      </c>
      <c r="G225" s="5" t="inlineStr">
        <is>
          <t>051-310-8393</t>
        </is>
      </c>
      <c r="H225" s="12">
        <f>유치원!N225</f>
        <v/>
      </c>
      <c r="I225" s="5" t="inlineStr">
        <is>
          <t>만5세 4 / 연령혼합반 7 / 특수학급 2</t>
        </is>
      </c>
    </row>
    <row r="226">
      <c r="A226" s="5" t="inlineStr">
        <is>
          <t>경남정보대학교부속유치원</t>
        </is>
      </c>
      <c r="B226" s="5" t="inlineStr">
        <is>
          <t>유치원</t>
        </is>
      </c>
      <c r="C226" s="5" t="inlineStr">
        <is>
          <t>사립(법인)</t>
        </is>
      </c>
      <c r="D226" s="5" t="inlineStr">
        <is>
          <t>사상구</t>
        </is>
      </c>
      <c r="E226" s="5" t="inlineStr">
        <is>
          <t>부산광역시 사상구 주례로 45</t>
        </is>
      </c>
      <c r="F226" s="11" t="inlineStr">
        <is>
          <t>http://www.kidkit.kg.kr/</t>
        </is>
      </c>
      <c r="G226" s="5" t="inlineStr">
        <is>
          <t>051-320-1357</t>
        </is>
      </c>
      <c r="H226" s="12">
        <f>유치원!N226</f>
        <v/>
      </c>
      <c r="I226" s="5" t="inlineStr">
        <is>
          <t>만4세 72 / 만5세 78 / 연령혼합반 84</t>
        </is>
      </c>
    </row>
    <row r="227">
      <c r="A227" s="5" t="inlineStr">
        <is>
          <t>괘법한신유치원</t>
        </is>
      </c>
      <c r="B227" s="5" t="inlineStr">
        <is>
          <t>유치원</t>
        </is>
      </c>
      <c r="C227" s="5" t="inlineStr">
        <is>
          <t>사립(사인)</t>
        </is>
      </c>
      <c r="D227" s="5" t="inlineStr">
        <is>
          <t>사상구</t>
        </is>
      </c>
      <c r="E227" s="5" t="inlineStr">
        <is>
          <t>부산광역시 사상구 낙동대로1210번길 33</t>
        </is>
      </c>
      <c r="F227" s="11" t="inlineStr">
        <is>
          <t>http://school.busanedu.net/gwaebeophanshin-k/main.do</t>
        </is>
      </c>
      <c r="G227" s="5" t="inlineStr">
        <is>
          <t>051-328-0702</t>
        </is>
      </c>
      <c r="H227" s="12">
        <f>유치원!N227</f>
        <v/>
      </c>
      <c r="I227" s="5" t="inlineStr">
        <is>
          <t>만3세 40 / 만4세 48 / 연령혼합반 40</t>
        </is>
      </c>
    </row>
    <row r="228">
      <c r="A228" s="5" t="inlineStr">
        <is>
          <t>노아유치원</t>
        </is>
      </c>
      <c r="B228" s="5" t="inlineStr">
        <is>
          <t>유치원</t>
        </is>
      </c>
      <c r="C228" s="5" t="inlineStr">
        <is>
          <t>사립(사인)</t>
        </is>
      </c>
      <c r="D228" s="5" t="inlineStr">
        <is>
          <t>사상구</t>
        </is>
      </c>
      <c r="E228" s="5" t="inlineStr">
        <is>
          <t>부산광역시 사상구 대동로159번길 73</t>
        </is>
      </c>
      <c r="F228" s="11" t="inlineStr">
        <is>
          <t>http://school.busanedu.net/noa-k</t>
        </is>
      </c>
      <c r="G228" s="5" t="inlineStr">
        <is>
          <t>051-322-0006</t>
        </is>
      </c>
      <c r="H228" s="12">
        <f>유치원!N228</f>
        <v/>
      </c>
      <c r="I228" s="5" t="inlineStr">
        <is>
          <t>만3세 12 / 만4세 9 / 만5세 13</t>
        </is>
      </c>
    </row>
    <row r="229">
      <c r="A229" s="5" t="inlineStr">
        <is>
          <t>덕포한샘유치원</t>
        </is>
      </c>
      <c r="B229" s="5" t="inlineStr">
        <is>
          <t>유치원</t>
        </is>
      </c>
      <c r="C229" s="5" t="inlineStr">
        <is>
          <t>사립(사인)</t>
        </is>
      </c>
      <c r="D229" s="5" t="inlineStr">
        <is>
          <t>사상구</t>
        </is>
      </c>
      <c r="E229" s="5" t="inlineStr">
        <is>
          <t>부산광역시 사상구 덕상로 39</t>
        </is>
      </c>
      <c r="F229" s="11" t="inlineStr">
        <is>
          <t>http://school.busanedu.net/dphansaem-k/main.do</t>
        </is>
      </c>
      <c r="G229" s="5" t="inlineStr">
        <is>
          <t>051-303-6767</t>
        </is>
      </c>
      <c r="H229" s="12">
        <f>유치원!N229</f>
        <v/>
      </c>
      <c r="I229" s="5" t="inlineStr">
        <is>
          <t>만4세 48 / 만5세 68 / 연령혼합반 66</t>
        </is>
      </c>
    </row>
    <row r="230">
      <c r="A230" s="5" t="inlineStr">
        <is>
          <t>동성럭키유치원</t>
        </is>
      </c>
      <c r="B230" s="5" t="inlineStr">
        <is>
          <t>유치원</t>
        </is>
      </c>
      <c r="C230" s="5" t="inlineStr">
        <is>
          <t>사립(법인)</t>
        </is>
      </c>
      <c r="D230" s="5" t="inlineStr">
        <is>
          <t>사상구</t>
        </is>
      </c>
      <c r="E230" s="5" t="inlineStr">
        <is>
          <t>부산광역시 사상구 주례로 114</t>
        </is>
      </c>
      <c r="F230" s="11" t="inlineStr">
        <is>
          <t>http://school.busanedu.net/luckyds-k</t>
        </is>
      </c>
      <c r="G230" s="5" t="inlineStr">
        <is>
          <t>051-325-7113</t>
        </is>
      </c>
      <c r="H230" s="12">
        <f>유치원!N230</f>
        <v/>
      </c>
      <c r="I230" s="5" t="inlineStr">
        <is>
          <t>만4세 67 / 만5세 67 / 연령혼합반 66</t>
        </is>
      </c>
    </row>
    <row r="231">
      <c r="A231" s="5" t="inlineStr">
        <is>
          <t>명성유치원</t>
        </is>
      </c>
      <c r="B231" s="5" t="inlineStr">
        <is>
          <t>유치원</t>
        </is>
      </c>
      <c r="C231" s="5" t="inlineStr">
        <is>
          <t>사립(사인)</t>
        </is>
      </c>
      <c r="D231" s="5" t="inlineStr">
        <is>
          <t>사상구</t>
        </is>
      </c>
      <c r="E231" s="5" t="inlineStr">
        <is>
          <t>부산광역시 사상구 학장로216번길 3</t>
        </is>
      </c>
      <c r="F231" s="5" t="inlineStr"/>
      <c r="G231" s="5" t="inlineStr">
        <is>
          <t>051-325-7650</t>
        </is>
      </c>
      <c r="H231" s="12">
        <f>유치원!N231</f>
        <v/>
      </c>
      <c r="I231" s="5" t="inlineStr"/>
    </row>
    <row r="232">
      <c r="A232" s="5" t="inlineStr">
        <is>
          <t>모덕유치원</t>
        </is>
      </c>
      <c r="B232" s="5" t="inlineStr">
        <is>
          <t>유치원</t>
        </is>
      </c>
      <c r="C232" s="5" t="inlineStr">
        <is>
          <t>사립(사인)</t>
        </is>
      </c>
      <c r="D232" s="5" t="inlineStr">
        <is>
          <t>사상구</t>
        </is>
      </c>
      <c r="E232" s="5" t="inlineStr">
        <is>
          <t>부산광역시 사상구 덕상로 85</t>
        </is>
      </c>
      <c r="F232" s="11" t="inlineStr">
        <is>
          <t>http://school.busanedu.net/moduk-k</t>
        </is>
      </c>
      <c r="G232" s="5" t="inlineStr">
        <is>
          <t>051-303-6463</t>
        </is>
      </c>
      <c r="H232" s="12">
        <f>유치원!N232</f>
        <v/>
      </c>
      <c r="I232" s="5" t="inlineStr">
        <is>
          <t>만3세 21 / 만4세 28 / 만5세 35</t>
        </is>
      </c>
    </row>
    <row r="233">
      <c r="A233" s="5" t="inlineStr">
        <is>
          <t>모덕초등학교병설유치원</t>
        </is>
      </c>
      <c r="B233" s="5" t="inlineStr">
        <is>
          <t>유치원</t>
        </is>
      </c>
      <c r="C233" s="5" t="inlineStr">
        <is>
          <t>공립(병설)</t>
        </is>
      </c>
      <c r="D233" s="5" t="inlineStr">
        <is>
          <t>사상구</t>
        </is>
      </c>
      <c r="E233" s="5" t="inlineStr">
        <is>
          <t>부산광역시 사상구 덕상로 120</t>
        </is>
      </c>
      <c r="F233" s="11" t="inlineStr">
        <is>
          <t>http://school.busanedu.net/modeok-k/</t>
        </is>
      </c>
      <c r="G233" s="5" t="inlineStr">
        <is>
          <t>051-320-0890</t>
        </is>
      </c>
      <c r="H233" s="12">
        <f>유치원!N233</f>
        <v/>
      </c>
      <c r="I233" s="5" t="inlineStr">
        <is>
          <t>연령혼합반 2</t>
        </is>
      </c>
    </row>
    <row r="234">
      <c r="A234" s="5" t="inlineStr">
        <is>
          <t>모동초등학교병설유치원</t>
        </is>
      </c>
      <c r="B234" s="5" t="inlineStr">
        <is>
          <t>유치원</t>
        </is>
      </c>
      <c r="C234" s="5" t="inlineStr">
        <is>
          <t>공립(병설)</t>
        </is>
      </c>
      <c r="D234" s="5" t="inlineStr">
        <is>
          <t>사상구</t>
        </is>
      </c>
      <c r="E234" s="5" t="inlineStr">
        <is>
          <t>부산광역시 사상구 모라로192번길 37</t>
        </is>
      </c>
      <c r="F234" s="11" t="inlineStr">
        <is>
          <t>https://school.busanedu.net/modong2-k</t>
        </is>
      </c>
      <c r="G234" s="5" t="inlineStr">
        <is>
          <t>051-792-3783</t>
        </is>
      </c>
      <c r="H234" s="12">
        <f>유치원!N234</f>
        <v/>
      </c>
      <c r="I234" s="5" t="inlineStr"/>
    </row>
    <row r="235">
      <c r="A235" s="5" t="inlineStr">
        <is>
          <t>무덕유치원</t>
        </is>
      </c>
      <c r="B235" s="5" t="inlineStr">
        <is>
          <t>유치원</t>
        </is>
      </c>
      <c r="C235" s="5" t="inlineStr">
        <is>
          <t>사립(사인)</t>
        </is>
      </c>
      <c r="D235" s="5" t="inlineStr">
        <is>
          <t>사상구</t>
        </is>
      </c>
      <c r="E235" s="5" t="inlineStr">
        <is>
          <t>부산광역시 사상구 냉정로 78</t>
        </is>
      </c>
      <c r="F235" s="11" t="inlineStr">
        <is>
          <t>https://school.busanedu.net/mudeok-k/main.do</t>
        </is>
      </c>
      <c r="G235" s="5" t="inlineStr">
        <is>
          <t>051-315-3580</t>
        </is>
      </c>
      <c r="H235" s="12">
        <f>유치원!N235</f>
        <v/>
      </c>
      <c r="I235" s="5" t="inlineStr">
        <is>
          <t>만3세 11 / 만4세 21 / 만5세 15</t>
        </is>
      </c>
    </row>
    <row r="236">
      <c r="A236" s="5" t="inlineStr">
        <is>
          <t>반도보라유치원</t>
        </is>
      </c>
      <c r="B236" s="5" t="inlineStr">
        <is>
          <t>유치원</t>
        </is>
      </c>
      <c r="C236" s="5" t="inlineStr">
        <is>
          <t>사립(사인)</t>
        </is>
      </c>
      <c r="D236" s="5" t="inlineStr">
        <is>
          <t>사상구</t>
        </is>
      </c>
      <c r="E236" s="5" t="inlineStr">
        <is>
          <t>부산광역시 사상구 대동로 98</t>
        </is>
      </c>
      <c r="F236" s="5" t="inlineStr"/>
      <c r="G236" s="5" t="inlineStr">
        <is>
          <t>051-327-3355</t>
        </is>
      </c>
      <c r="H236" s="12">
        <f>유치원!N236</f>
        <v/>
      </c>
      <c r="I236" s="5" t="inlineStr">
        <is>
          <t>만3세 15 / 만4세 16 / 만5세 21</t>
        </is>
      </c>
    </row>
    <row r="237">
      <c r="A237" s="5" t="inlineStr">
        <is>
          <t>버클리명문유치원</t>
        </is>
      </c>
      <c r="B237" s="5" t="inlineStr">
        <is>
          <t>유치원</t>
        </is>
      </c>
      <c r="C237" s="5" t="inlineStr">
        <is>
          <t>사립(사인)</t>
        </is>
      </c>
      <c r="D237" s="5" t="inlineStr">
        <is>
          <t>사상구</t>
        </is>
      </c>
      <c r="E237" s="5" t="inlineStr">
        <is>
          <t>부산광역시 사상구 백양대로 372-22</t>
        </is>
      </c>
      <c r="F237" s="11" t="inlineStr">
        <is>
          <t>http://school.busanedu.net/berkeley-m-m-k</t>
        </is>
      </c>
      <c r="G237" s="5" t="inlineStr">
        <is>
          <t>051-322-4411</t>
        </is>
      </c>
      <c r="H237" s="12">
        <f>유치원!N237</f>
        <v/>
      </c>
      <c r="I237" s="5" t="inlineStr">
        <is>
          <t>만3세 41 / 만4세 34 / 만5세 50</t>
        </is>
      </c>
    </row>
    <row r="238">
      <c r="A238" s="5" t="inlineStr">
        <is>
          <t>벧엘유치원</t>
        </is>
      </c>
      <c r="B238" s="5" t="inlineStr">
        <is>
          <t>유치원</t>
        </is>
      </c>
      <c r="C238" s="5" t="inlineStr">
        <is>
          <t>사립(사인)</t>
        </is>
      </c>
      <c r="D238" s="5" t="inlineStr">
        <is>
          <t>사상구</t>
        </is>
      </c>
      <c r="E238" s="5" t="inlineStr">
        <is>
          <t>부산광역시 사상구 백양대로902번길 42</t>
        </is>
      </c>
      <c r="F238" s="5" t="inlineStr"/>
      <c r="G238" s="5" t="inlineStr">
        <is>
          <t>051-327-7772</t>
        </is>
      </c>
      <c r="H238" s="12">
        <f>유치원!N238</f>
        <v/>
      </c>
      <c r="I238" s="5" t="inlineStr">
        <is>
          <t>만4세 18 / 만5세 11 / 연령혼합반 20</t>
        </is>
      </c>
    </row>
    <row r="239">
      <c r="A239" s="5" t="inlineStr">
        <is>
          <t>사랑유치원</t>
        </is>
      </c>
      <c r="B239" s="5" t="inlineStr">
        <is>
          <t>유치원</t>
        </is>
      </c>
      <c r="C239" s="5" t="inlineStr">
        <is>
          <t>사립(사인)</t>
        </is>
      </c>
      <c r="D239" s="5" t="inlineStr">
        <is>
          <t>사상구</t>
        </is>
      </c>
      <c r="E239" s="5" t="inlineStr">
        <is>
          <t>부산광역시 사상구 학감대로49번길 73</t>
        </is>
      </c>
      <c r="F239" s="11" t="inlineStr">
        <is>
          <t>https://school.busanedu.net/sarang9600-k</t>
        </is>
      </c>
      <c r="G239" s="5" t="inlineStr">
        <is>
          <t>051-313-9600</t>
        </is>
      </c>
      <c r="H239" s="12">
        <f>유치원!N239</f>
        <v/>
      </c>
      <c r="I239" s="5" t="inlineStr">
        <is>
          <t>만4세 65 / 만5세 68 / 연령혼합반 58</t>
        </is>
      </c>
    </row>
    <row r="240">
      <c r="A240" s="5" t="inlineStr">
        <is>
          <t>사상초등학교병설유치원</t>
        </is>
      </c>
      <c r="B240" s="5" t="inlineStr">
        <is>
          <t>유치원</t>
        </is>
      </c>
      <c r="C240" s="5" t="inlineStr">
        <is>
          <t>공립(병설)</t>
        </is>
      </c>
      <c r="D240" s="5" t="inlineStr">
        <is>
          <t>사상구</t>
        </is>
      </c>
      <c r="E240" s="5" t="inlineStr">
        <is>
          <t>부산광역시 사상구 운산로 65</t>
        </is>
      </c>
      <c r="F240" s="11" t="inlineStr">
        <is>
          <t>https://school.busanedu.net/sasang-k</t>
        </is>
      </c>
      <c r="G240" s="5" t="inlineStr">
        <is>
          <t>051-330-5380</t>
        </is>
      </c>
      <c r="H240" s="12">
        <f>유치원!N240</f>
        <v/>
      </c>
      <c r="I240" s="5" t="inlineStr">
        <is>
          <t>만5세 3 / 연령혼합반 8 / 특수학급 4</t>
        </is>
      </c>
    </row>
    <row r="241">
      <c r="A241" s="5" t="inlineStr">
        <is>
          <t>삼덕초등학교병설유치원</t>
        </is>
      </c>
      <c r="B241" s="5" t="inlineStr">
        <is>
          <t>유치원</t>
        </is>
      </c>
      <c r="C241" s="5" t="inlineStr">
        <is>
          <t>공립(병설)</t>
        </is>
      </c>
      <c r="D241" s="5" t="inlineStr">
        <is>
          <t>사상구</t>
        </is>
      </c>
      <c r="E241" s="5" t="inlineStr">
        <is>
          <t>부산광역시 사상구 삼덕로 24</t>
        </is>
      </c>
      <c r="F241" s="11" t="inlineStr">
        <is>
          <t>https://school.busanedu.net/samdok-k/main.do</t>
        </is>
      </c>
      <c r="G241" s="5" t="inlineStr">
        <is>
          <t>051-303-0256</t>
        </is>
      </c>
      <c r="H241" s="12">
        <f>유치원!N241</f>
        <v/>
      </c>
      <c r="I241" s="5" t="inlineStr">
        <is>
          <t>만5세 9 / 연령혼합반 10 / 특수학급 2</t>
        </is>
      </c>
    </row>
    <row r="242">
      <c r="A242" s="5" t="inlineStr">
        <is>
          <t>서감초등학교병설유치원</t>
        </is>
      </c>
      <c r="B242" s="5" t="inlineStr">
        <is>
          <t>유치원</t>
        </is>
      </c>
      <c r="C242" s="5" t="inlineStr">
        <is>
          <t>공립(병설)</t>
        </is>
      </c>
      <c r="D242" s="5" t="inlineStr">
        <is>
          <t>사상구</t>
        </is>
      </c>
      <c r="E242" s="5" t="inlineStr">
        <is>
          <t>부산광역시 사상구 괘감로 64</t>
        </is>
      </c>
      <c r="F242" s="11" t="inlineStr">
        <is>
          <t>http://school.busanedu.net/seogam-k</t>
        </is>
      </c>
      <c r="G242" s="5" t="inlineStr">
        <is>
          <t>051-320-5888</t>
        </is>
      </c>
      <c r="H242" s="12">
        <f>유치원!N242</f>
        <v/>
      </c>
      <c r="I242" s="5" t="inlineStr">
        <is>
          <t>연령혼합반 6</t>
        </is>
      </c>
    </row>
    <row r="243">
      <c r="A243" s="5" t="inlineStr">
        <is>
          <t>엄궁누리유치원</t>
        </is>
      </c>
      <c r="B243" s="5" t="inlineStr">
        <is>
          <t>유치원</t>
        </is>
      </c>
      <c r="C243" s="5" t="inlineStr">
        <is>
          <t>공립(단설)</t>
        </is>
      </c>
      <c r="D243" s="5" t="inlineStr">
        <is>
          <t>사상구</t>
        </is>
      </c>
      <c r="E243" s="5" t="inlineStr">
        <is>
          <t>부산광역시 사상구 엄궁로 119</t>
        </is>
      </c>
      <c r="F243" s="11" t="inlineStr">
        <is>
          <t>http://school.busanedu.net/eomgungnuri-k/main.do</t>
        </is>
      </c>
      <c r="G243" s="5" t="inlineStr">
        <is>
          <t>051-790-5200</t>
        </is>
      </c>
      <c r="H243" s="12">
        <f>유치원!N243</f>
        <v/>
      </c>
      <c r="I243" s="5" t="inlineStr">
        <is>
          <t>만3세 15 / 만4세 26 / 만5세 15 / 특수학급 4</t>
        </is>
      </c>
    </row>
    <row r="244">
      <c r="A244" s="5" t="inlineStr">
        <is>
          <t>엄궁한신유치원</t>
        </is>
      </c>
      <c r="B244" s="5" t="inlineStr">
        <is>
          <t>유치원</t>
        </is>
      </c>
      <c r="C244" s="5" t="inlineStr">
        <is>
          <t>사립(사인)</t>
        </is>
      </c>
      <c r="D244" s="5" t="inlineStr">
        <is>
          <t>사상구</t>
        </is>
      </c>
      <c r="E244" s="5" t="inlineStr">
        <is>
          <t>부산광역시 사상구 엄궁로 40</t>
        </is>
      </c>
      <c r="F244" s="11" t="inlineStr">
        <is>
          <t>http://school.busanedu.net/emgunghanshin-k/main.do</t>
        </is>
      </c>
      <c r="G244" s="5" t="inlineStr">
        <is>
          <t>051-316-7749</t>
        </is>
      </c>
      <c r="H244" s="12">
        <f>유치원!N244</f>
        <v/>
      </c>
      <c r="I244" s="5" t="inlineStr">
        <is>
          <t>만3세 12 / 만4세 35 / 만5세 41</t>
        </is>
      </c>
    </row>
    <row r="245">
      <c r="A245" s="5" t="inlineStr">
        <is>
          <t>으뜸유치원</t>
        </is>
      </c>
      <c r="B245" s="5" t="inlineStr">
        <is>
          <t>유치원</t>
        </is>
      </c>
      <c r="C245" s="5" t="inlineStr">
        <is>
          <t>공립(단설)</t>
        </is>
      </c>
      <c r="D245" s="5" t="inlineStr">
        <is>
          <t>사상구</t>
        </is>
      </c>
      <c r="E245" s="5" t="inlineStr">
        <is>
          <t>부산광역시 사상구 학감대로49번길 28-7</t>
        </is>
      </c>
      <c r="F245" s="11" t="inlineStr">
        <is>
          <t>https://school.busanedu.net/euddeum-k</t>
        </is>
      </c>
      <c r="G245" s="5" t="inlineStr">
        <is>
          <t>051-710-4200</t>
        </is>
      </c>
      <c r="H245" s="12">
        <f>유치원!N245</f>
        <v/>
      </c>
      <c r="I245" s="5" t="inlineStr">
        <is>
          <t>만3세 13 / 만4세 25 / 만5세 12 / 특수학급 4</t>
        </is>
      </c>
    </row>
    <row r="246">
      <c r="A246" s="5" t="inlineStr">
        <is>
          <t>은하자연유치원</t>
        </is>
      </c>
      <c r="B246" s="5" t="inlineStr">
        <is>
          <t>유치원</t>
        </is>
      </c>
      <c r="C246" s="5" t="inlineStr">
        <is>
          <t>사립(사인)</t>
        </is>
      </c>
      <c r="D246" s="5" t="inlineStr">
        <is>
          <t>사상구</t>
        </is>
      </c>
      <c r="E246" s="5" t="inlineStr">
        <is>
          <t>부산광역시 사상구 백양대로768번길 63-6</t>
        </is>
      </c>
      <c r="F246" s="5" t="inlineStr"/>
      <c r="G246" s="5" t="inlineStr">
        <is>
          <t>051-303-6677</t>
        </is>
      </c>
      <c r="H246" s="12">
        <f>유치원!N246</f>
        <v/>
      </c>
      <c r="I246" s="5" t="inlineStr"/>
    </row>
    <row r="247">
      <c r="A247" s="5" t="inlineStr">
        <is>
          <t>주감초등학교병설유치원</t>
        </is>
      </c>
      <c r="B247" s="5" t="inlineStr">
        <is>
          <t>유치원</t>
        </is>
      </c>
      <c r="C247" s="5" t="inlineStr">
        <is>
          <t>공립(병설)</t>
        </is>
      </c>
      <c r="D247" s="5" t="inlineStr">
        <is>
          <t>사상구</t>
        </is>
      </c>
      <c r="E247" s="5" t="inlineStr">
        <is>
          <t>부산광역시 사상구 양지로 48</t>
        </is>
      </c>
      <c r="F247" s="11" t="inlineStr">
        <is>
          <t>https://school.busanedu.net/jugam-k</t>
        </is>
      </c>
      <c r="G247" s="5" t="inlineStr">
        <is>
          <t>051-320-3970</t>
        </is>
      </c>
      <c r="H247" s="12">
        <f>유치원!N247</f>
        <v/>
      </c>
      <c r="I247" s="5" t="inlineStr">
        <is>
          <t>연령혼합반 3</t>
        </is>
      </c>
    </row>
    <row r="248">
      <c r="A248" s="5" t="inlineStr">
        <is>
          <t>초록유치원</t>
        </is>
      </c>
      <c r="B248" s="5" t="inlineStr">
        <is>
          <t>유치원</t>
        </is>
      </c>
      <c r="C248" s="5" t="inlineStr">
        <is>
          <t>사립(사인)</t>
        </is>
      </c>
      <c r="D248" s="5" t="inlineStr">
        <is>
          <t>사상구</t>
        </is>
      </c>
      <c r="E248" s="5" t="inlineStr">
        <is>
          <t>부산광역시 사상구 백양대로 880</t>
        </is>
      </c>
      <c r="F248" s="5" t="inlineStr"/>
      <c r="G248" s="5" t="inlineStr">
        <is>
          <t>051-325-0840</t>
        </is>
      </c>
      <c r="H248" s="12">
        <f>유치원!N248</f>
        <v/>
      </c>
      <c r="I248" s="5" t="inlineStr">
        <is>
          <t>만3세 23 / 만4세 26 / 만5세 31</t>
        </is>
      </c>
    </row>
    <row r="249">
      <c r="A249" s="5" t="inlineStr">
        <is>
          <t>한빛유치원</t>
        </is>
      </c>
      <c r="B249" s="5" t="inlineStr">
        <is>
          <t>유치원</t>
        </is>
      </c>
      <c r="C249" s="5" t="inlineStr">
        <is>
          <t>사립(사인)</t>
        </is>
      </c>
      <c r="D249" s="5" t="inlineStr">
        <is>
          <t>사상구</t>
        </is>
      </c>
      <c r="E249" s="5" t="inlineStr">
        <is>
          <t>부산광역시 사상구 엄궁중로 20</t>
        </is>
      </c>
      <c r="F249" s="11" t="inlineStr">
        <is>
          <t>https://school.busanedu.net/hanbit7017-k</t>
        </is>
      </c>
      <c r="G249" s="5" t="inlineStr">
        <is>
          <t>051-313-7017</t>
        </is>
      </c>
      <c r="H249" s="12">
        <f>유치원!N249</f>
        <v/>
      </c>
      <c r="I249" s="5" t="inlineStr">
        <is>
          <t>만3세 21 / 만4세 17 / 만5세 20</t>
        </is>
      </c>
    </row>
    <row r="250">
      <c r="A250" s="5" t="inlineStr">
        <is>
          <t>감천초등학교병설유치원</t>
        </is>
      </c>
      <c r="B250" s="5" t="inlineStr">
        <is>
          <t>유치원</t>
        </is>
      </c>
      <c r="C250" s="5" t="inlineStr">
        <is>
          <t>공립(병설)</t>
        </is>
      </c>
      <c r="D250" s="5" t="inlineStr">
        <is>
          <t>사하구</t>
        </is>
      </c>
      <c r="E250" s="5" t="inlineStr">
        <is>
          <t>부산광역시 사하구 원양로 368-2</t>
        </is>
      </c>
      <c r="F250" s="11" t="inlineStr">
        <is>
          <t>http://school.busanedu.net/gam-k/</t>
        </is>
      </c>
      <c r="G250" s="5" t="inlineStr">
        <is>
          <t>051-201-1107</t>
        </is>
      </c>
      <c r="H250" s="12">
        <f>유치원!N250</f>
        <v/>
      </c>
      <c r="I250" s="5" t="inlineStr"/>
    </row>
    <row r="251">
      <c r="A251" s="5" t="inlineStr">
        <is>
          <t>길메리유치원</t>
        </is>
      </c>
      <c r="B251" s="5" t="inlineStr">
        <is>
          <t>유치원</t>
        </is>
      </c>
      <c r="C251" s="5" t="inlineStr">
        <is>
          <t>사립(사인)</t>
        </is>
      </c>
      <c r="D251" s="5" t="inlineStr">
        <is>
          <t>사하구</t>
        </is>
      </c>
      <c r="E251" s="5" t="inlineStr">
        <is>
          <t>부산광역시 사하구 하신번영로328번길 26</t>
        </is>
      </c>
      <c r="F251" s="5" t="inlineStr"/>
      <c r="G251" s="5" t="inlineStr">
        <is>
          <t>051-291-0203</t>
        </is>
      </c>
      <c r="H251" s="12">
        <f>유치원!N251</f>
        <v/>
      </c>
      <c r="I251" s="5" t="inlineStr">
        <is>
          <t>만3세 14 / 만4세 11 / 만5세 10</t>
        </is>
      </c>
    </row>
    <row r="252">
      <c r="A252" s="5" t="inlineStr">
        <is>
          <t>꿈누리유치원</t>
        </is>
      </c>
      <c r="B252" s="5" t="inlineStr">
        <is>
          <t>유치원</t>
        </is>
      </c>
      <c r="C252" s="5" t="inlineStr">
        <is>
          <t>사립(사인)</t>
        </is>
      </c>
      <c r="D252" s="5" t="inlineStr">
        <is>
          <t>사하구</t>
        </is>
      </c>
      <c r="E252" s="5" t="inlineStr">
        <is>
          <t>부산광역시 사하구 두송로26번길 62</t>
        </is>
      </c>
      <c r="F252" s="11" t="inlineStr">
        <is>
          <t>http://blog.naver.com/talent6?Redirect=Log&amp;amp;amp;logNo=40202612577</t>
        </is>
      </c>
      <c r="G252" s="5" t="inlineStr">
        <is>
          <t>051-266-1828</t>
        </is>
      </c>
      <c r="H252" s="12">
        <f>유치원!N252</f>
        <v/>
      </c>
      <c r="I252" s="5" t="inlineStr">
        <is>
          <t>만4세 24 / 만5세 26 / 연령혼합반 64</t>
        </is>
      </c>
    </row>
    <row r="253">
      <c r="A253" s="5" t="inlineStr">
        <is>
          <t>꿈동산유치원</t>
        </is>
      </c>
      <c r="B253" s="5" t="inlineStr">
        <is>
          <t>유치원</t>
        </is>
      </c>
      <c r="C253" s="5" t="inlineStr">
        <is>
          <t>사립(사인)</t>
        </is>
      </c>
      <c r="D253" s="5" t="inlineStr">
        <is>
          <t>사하구</t>
        </is>
      </c>
      <c r="E253" s="5" t="inlineStr">
        <is>
          <t>부산광역시 사하구 승학로239번길 1</t>
        </is>
      </c>
      <c r="F253" s="5" t="inlineStr"/>
      <c r="G253" s="5" t="inlineStr">
        <is>
          <t>051-206-0911</t>
        </is>
      </c>
      <c r="H253" s="12">
        <f>유치원!N253</f>
        <v/>
      </c>
      <c r="I253" s="5" t="inlineStr"/>
    </row>
    <row r="254">
      <c r="A254" s="5" t="inlineStr">
        <is>
          <t>다선초등학교병설유치원</t>
        </is>
      </c>
      <c r="B254" s="5" t="inlineStr">
        <is>
          <t>유치원</t>
        </is>
      </c>
      <c r="C254" s="5" t="inlineStr">
        <is>
          <t>공립(병설)</t>
        </is>
      </c>
      <c r="D254" s="5" t="inlineStr">
        <is>
          <t>사하구</t>
        </is>
      </c>
      <c r="E254" s="5" t="inlineStr">
        <is>
          <t>부산광역시 사하구 다송로 57</t>
        </is>
      </c>
      <c r="F254" s="11" t="inlineStr">
        <is>
          <t>https://school.busanedu.net/dasun-k/main.do</t>
        </is>
      </c>
      <c r="G254" s="5" t="inlineStr">
        <is>
          <t>051-260-1580</t>
        </is>
      </c>
      <c r="H254" s="12">
        <f>유치원!N254</f>
        <v/>
      </c>
      <c r="I254" s="5" t="inlineStr">
        <is>
          <t>만5세 7 / 연령혼합반 10</t>
        </is>
      </c>
    </row>
    <row r="255">
      <c r="A255" s="5" t="inlineStr">
        <is>
          <t>다송초등학교병설유치원</t>
        </is>
      </c>
      <c r="B255" s="5" t="inlineStr">
        <is>
          <t>유치원</t>
        </is>
      </c>
      <c r="C255" s="5" t="inlineStr">
        <is>
          <t>공립(병설)</t>
        </is>
      </c>
      <c r="D255" s="5" t="inlineStr">
        <is>
          <t>사하구</t>
        </is>
      </c>
      <c r="E255" s="5" t="inlineStr">
        <is>
          <t>부산광역시 사하구 다대로381번길 17</t>
        </is>
      </c>
      <c r="F255" s="11" t="inlineStr">
        <is>
          <t>http://school.busanedu.net/dasong-k</t>
        </is>
      </c>
      <c r="G255" s="5" t="inlineStr">
        <is>
          <t>051-260-5893</t>
        </is>
      </c>
      <c r="H255" s="12">
        <f>유치원!N255</f>
        <v/>
      </c>
      <c r="I255" s="5" t="inlineStr">
        <is>
          <t>연령혼합반 3 / 특수학급 2</t>
        </is>
      </c>
    </row>
    <row r="256">
      <c r="A256" s="5" t="inlineStr">
        <is>
          <t>다인유치원</t>
        </is>
      </c>
      <c r="B256" s="5" t="inlineStr">
        <is>
          <t>유치원</t>
        </is>
      </c>
      <c r="C256" s="5" t="inlineStr">
        <is>
          <t>사립(법인)</t>
        </is>
      </c>
      <c r="D256" s="5" t="inlineStr">
        <is>
          <t>사하구</t>
        </is>
      </c>
      <c r="E256" s="5" t="inlineStr">
        <is>
          <t>부산광역시 사하구 하신중앙로 265</t>
        </is>
      </c>
      <c r="F256" s="11" t="inlineStr">
        <is>
          <t>http://school.busanedu.net/hlgarak-k</t>
        </is>
      </c>
      <c r="G256" s="5" t="inlineStr">
        <is>
          <t>051-208-4755</t>
        </is>
      </c>
      <c r="H256" s="12">
        <f>유치원!N256</f>
        <v/>
      </c>
      <c r="I256" s="5" t="inlineStr">
        <is>
          <t>만4세 20 / 만5세 25 / 연령혼합반 63</t>
        </is>
      </c>
    </row>
    <row r="257">
      <c r="A257" s="5" t="inlineStr">
        <is>
          <t>당리초등학교병설유치원</t>
        </is>
      </c>
      <c r="B257" s="5" t="inlineStr">
        <is>
          <t>유치원</t>
        </is>
      </c>
      <c r="C257" s="5" t="inlineStr">
        <is>
          <t>공립(병설)</t>
        </is>
      </c>
      <c r="D257" s="5" t="inlineStr">
        <is>
          <t>사하구</t>
        </is>
      </c>
      <c r="E257" s="5" t="inlineStr">
        <is>
          <t>부산광역시 사하구 다대로22번길 12</t>
        </is>
      </c>
      <c r="F257" s="11" t="inlineStr">
        <is>
          <t>http://school.busanedu.net/dangni-k/main.do</t>
        </is>
      </c>
      <c r="G257" s="5" t="inlineStr">
        <is>
          <t>051-200-3791</t>
        </is>
      </c>
      <c r="H257" s="12">
        <f>유치원!N257</f>
        <v/>
      </c>
      <c r="I257" s="5" t="inlineStr">
        <is>
          <t>만3세 3 / 연령혼합반 12</t>
        </is>
      </c>
    </row>
    <row r="258">
      <c r="A258" s="5" t="inlineStr">
        <is>
          <t>더푸르네유치원</t>
        </is>
      </c>
      <c r="B258" s="5" t="inlineStr">
        <is>
          <t>유치원</t>
        </is>
      </c>
      <c r="C258" s="5" t="inlineStr">
        <is>
          <t>공립(단설)</t>
        </is>
      </c>
      <c r="D258" s="5" t="inlineStr">
        <is>
          <t>사하구</t>
        </is>
      </c>
      <c r="E258" s="5" t="inlineStr">
        <is>
          <t>부산광역시 사하구 윤공단로 124</t>
        </is>
      </c>
      <c r="F258" s="11" t="inlineStr">
        <is>
          <t>https://school.busanedu.net/thegreen-k/main.do</t>
        </is>
      </c>
      <c r="G258" s="5" t="inlineStr">
        <is>
          <t>051-791-1113</t>
        </is>
      </c>
      <c r="H258" s="12">
        <f>유치원!N258</f>
        <v/>
      </c>
      <c r="I258" s="5" t="inlineStr">
        <is>
          <t>만3세 13 / 만4세 30 / 만5세 32 / 특수학급 4</t>
        </is>
      </c>
    </row>
    <row r="259">
      <c r="A259" s="5" t="inlineStr">
        <is>
          <t>동주대학교부속유치원</t>
        </is>
      </c>
      <c r="B259" s="5" t="inlineStr">
        <is>
          <t>유치원</t>
        </is>
      </c>
      <c r="C259" s="5" t="inlineStr">
        <is>
          <t>사립(법인)</t>
        </is>
      </c>
      <c r="D259" s="5" t="inlineStr">
        <is>
          <t>사하구</t>
        </is>
      </c>
      <c r="E259" s="5" t="inlineStr">
        <is>
          <t>부산광역시 사하구 사리로55번길 13</t>
        </is>
      </c>
      <c r="F259" s="5" t="inlineStr"/>
      <c r="G259" s="5" t="inlineStr">
        <is>
          <t>051-201-4116</t>
        </is>
      </c>
      <c r="H259" s="12">
        <f>유치원!N259</f>
        <v/>
      </c>
      <c r="I259" s="5" t="inlineStr">
        <is>
          <t>연령혼합반 75</t>
        </is>
      </c>
    </row>
    <row r="260">
      <c r="A260" s="5" t="inlineStr">
        <is>
          <t>롯데캐슬유치원</t>
        </is>
      </c>
      <c r="B260" s="5" t="inlineStr">
        <is>
          <t>유치원</t>
        </is>
      </c>
      <c r="C260" s="5" t="inlineStr">
        <is>
          <t>사립(사인)</t>
        </is>
      </c>
      <c r="D260" s="5" t="inlineStr">
        <is>
          <t>사하구</t>
        </is>
      </c>
      <c r="E260" s="5" t="inlineStr">
        <is>
          <t>부산광역시 사하구 다대낙조2길 100</t>
        </is>
      </c>
      <c r="F260" s="11" t="inlineStr">
        <is>
          <t>https://school.busanedu.net/lotteCastle-k/main.do</t>
        </is>
      </c>
      <c r="G260" s="5" t="inlineStr">
        <is>
          <t>051-265-0671</t>
        </is>
      </c>
      <c r="H260" s="12">
        <f>유치원!N260</f>
        <v/>
      </c>
      <c r="I260" s="5" t="inlineStr">
        <is>
          <t>만3세 32 / 만4세 45 / 만5세 40 / 연령혼합반 18</t>
        </is>
      </c>
    </row>
    <row r="261">
      <c r="A261" s="5" t="inlineStr">
        <is>
          <t>메이플유치원</t>
        </is>
      </c>
      <c r="B261" s="5" t="inlineStr">
        <is>
          <t>유치원</t>
        </is>
      </c>
      <c r="C261" s="5" t="inlineStr">
        <is>
          <t>사립(사인)</t>
        </is>
      </c>
      <c r="D261" s="5" t="inlineStr">
        <is>
          <t>사하구</t>
        </is>
      </c>
      <c r="E261" s="5" t="inlineStr">
        <is>
          <t>부산광역시 사하구 다대로 620</t>
        </is>
      </c>
      <c r="F261" s="11" t="inlineStr">
        <is>
          <t>http://maple.kkmom.com/</t>
        </is>
      </c>
      <c r="G261" s="5" t="inlineStr">
        <is>
          <t>051-261-5655</t>
        </is>
      </c>
      <c r="H261" s="12">
        <f>유치원!N261</f>
        <v/>
      </c>
      <c r="I261" s="5" t="inlineStr">
        <is>
          <t>만4세 18 / 만5세 23 / 연령혼합반 41</t>
        </is>
      </c>
    </row>
    <row r="262">
      <c r="A262" s="5" t="inlineStr">
        <is>
          <t>몰운대초등학교병설유치원</t>
        </is>
      </c>
      <c r="B262" s="5" t="inlineStr">
        <is>
          <t>유치원</t>
        </is>
      </c>
      <c r="C262" s="5" t="inlineStr">
        <is>
          <t>공립(병설)</t>
        </is>
      </c>
      <c r="D262" s="5" t="inlineStr">
        <is>
          <t>사하구</t>
        </is>
      </c>
      <c r="E262" s="5" t="inlineStr">
        <is>
          <t>부산광역시 사하구 다대낙조2길 110</t>
        </is>
      </c>
      <c r="F262" s="11" t="inlineStr">
        <is>
          <t>http://school.busanedu.net/morundae-k/main.do</t>
        </is>
      </c>
      <c r="G262" s="5" t="inlineStr">
        <is>
          <t>051-290-3370</t>
        </is>
      </c>
      <c r="H262" s="12">
        <f>유치원!N262</f>
        <v/>
      </c>
      <c r="I262" s="5" t="inlineStr">
        <is>
          <t>연령혼합반 9 / 특수학급 1</t>
        </is>
      </c>
    </row>
    <row r="263">
      <c r="A263" s="5" t="inlineStr">
        <is>
          <t>미엘유치원</t>
        </is>
      </c>
      <c r="B263" s="5" t="inlineStr">
        <is>
          <t>유치원</t>
        </is>
      </c>
      <c r="C263" s="5" t="inlineStr">
        <is>
          <t>사립(사인)</t>
        </is>
      </c>
      <c r="D263" s="5" t="inlineStr">
        <is>
          <t>사하구</t>
        </is>
      </c>
      <c r="E263" s="5" t="inlineStr">
        <is>
          <t>부산광역시 사하구 하신번영로 365</t>
        </is>
      </c>
      <c r="F263" s="5" t="inlineStr"/>
      <c r="G263" s="5" t="inlineStr">
        <is>
          <t>051-208-7834</t>
        </is>
      </c>
      <c r="H263" s="12">
        <f>유치원!N263</f>
        <v/>
      </c>
      <c r="I263" s="5" t="inlineStr">
        <is>
          <t>만4세 29 / 만5세 39 / 연령혼합반 36</t>
        </is>
      </c>
    </row>
    <row r="264">
      <c r="A264" s="5" t="inlineStr">
        <is>
          <t>바다유치원</t>
        </is>
      </c>
      <c r="B264" s="5" t="inlineStr">
        <is>
          <t>유치원</t>
        </is>
      </c>
      <c r="C264" s="5" t="inlineStr">
        <is>
          <t>사립(사인)</t>
        </is>
      </c>
      <c r="D264" s="5" t="inlineStr">
        <is>
          <t>사하구</t>
        </is>
      </c>
      <c r="E264" s="5" t="inlineStr">
        <is>
          <t>부산광역시 사하구 다송로68번길 30</t>
        </is>
      </c>
      <c r="F264" s="5" t="inlineStr"/>
      <c r="G264" s="5" t="inlineStr">
        <is>
          <t>051-261-0385</t>
        </is>
      </c>
      <c r="H264" s="12">
        <f>유치원!N264</f>
        <v/>
      </c>
      <c r="I264" s="5" t="inlineStr">
        <is>
          <t>만3세 11 / 만4세 22 / 만5세 22</t>
        </is>
      </c>
    </row>
    <row r="265">
      <c r="A265" s="5" t="inlineStr">
        <is>
          <t>봄봄유치원</t>
        </is>
      </c>
      <c r="B265" s="5" t="inlineStr">
        <is>
          <t>유치원</t>
        </is>
      </c>
      <c r="C265" s="5" t="inlineStr">
        <is>
          <t>사립(사인)</t>
        </is>
      </c>
      <c r="D265" s="5" t="inlineStr">
        <is>
          <t>사하구</t>
        </is>
      </c>
      <c r="E265" s="5" t="inlineStr">
        <is>
          <t>부산광역시 사하구 다대로 438</t>
        </is>
      </c>
      <c r="F265" s="5" t="inlineStr"/>
      <c r="G265" s="5" t="inlineStr">
        <is>
          <t>051-262-9624</t>
        </is>
      </c>
      <c r="H265" s="12">
        <f>유치원!N265</f>
        <v/>
      </c>
      <c r="I265" s="5" t="inlineStr"/>
    </row>
    <row r="266">
      <c r="A266" s="5" t="inlineStr">
        <is>
          <t>봉우리유치원</t>
        </is>
      </c>
      <c r="B266" s="5" t="inlineStr">
        <is>
          <t>유치원</t>
        </is>
      </c>
      <c r="C266" s="5" t="inlineStr">
        <is>
          <t>사립(사인)</t>
        </is>
      </c>
      <c r="D266" s="5" t="inlineStr">
        <is>
          <t>사하구</t>
        </is>
      </c>
      <c r="E266" s="5" t="inlineStr">
        <is>
          <t>부산광역시 사하구 신산북로43번길 55</t>
        </is>
      </c>
      <c r="F266" s="5" t="inlineStr"/>
      <c r="G266" s="5" t="inlineStr">
        <is>
          <t>051-205-5544</t>
        </is>
      </c>
      <c r="H266" s="12">
        <f>유치원!N266</f>
        <v/>
      </c>
      <c r="I266" s="5" t="inlineStr">
        <is>
          <t>만3세 10 / 만4세 14 / 만5세 12</t>
        </is>
      </c>
    </row>
    <row r="267">
      <c r="A267" s="5" t="inlineStr">
        <is>
          <t>블루롯데유치원</t>
        </is>
      </c>
      <c r="B267" s="5" t="inlineStr">
        <is>
          <t>유치원</t>
        </is>
      </c>
      <c r="C267" s="5" t="inlineStr">
        <is>
          <t>사립(사인)</t>
        </is>
      </c>
      <c r="D267" s="5" t="inlineStr">
        <is>
          <t>사하구</t>
        </is>
      </c>
      <c r="E267" s="5" t="inlineStr">
        <is>
          <t>부산광역시 사하구 다송로 13-3</t>
        </is>
      </c>
      <c r="F267" s="5" t="inlineStr"/>
      <c r="G267" s="5" t="inlineStr">
        <is>
          <t>051-263-0670</t>
        </is>
      </c>
      <c r="H267" s="12">
        <f>유치원!N267</f>
        <v/>
      </c>
      <c r="I267" s="5" t="inlineStr">
        <is>
          <t>만4세 17 / 만5세 6 / 연령혼합반 19</t>
        </is>
      </c>
    </row>
    <row r="268">
      <c r="A268" s="5" t="inlineStr">
        <is>
          <t>사동초등학교병설유치원</t>
        </is>
      </c>
      <c r="B268" s="5" t="inlineStr">
        <is>
          <t>유치원</t>
        </is>
      </c>
      <c r="C268" s="5" t="inlineStr">
        <is>
          <t>공립(병설)</t>
        </is>
      </c>
      <c r="D268" s="5" t="inlineStr">
        <is>
          <t>사하구</t>
        </is>
      </c>
      <c r="E268" s="5" t="inlineStr">
        <is>
          <t>부산광역시 사하구 승학로 129-2</t>
        </is>
      </c>
      <c r="F268" s="11" t="inlineStr">
        <is>
          <t>http://school.busanedu.net/psadong-k/main.do</t>
        </is>
      </c>
      <c r="G268" s="5" t="inlineStr">
        <is>
          <t>051-200-3570</t>
        </is>
      </c>
      <c r="H268" s="12">
        <f>유치원!N268</f>
        <v/>
      </c>
      <c r="I268" s="5" t="inlineStr">
        <is>
          <t>만3세 4 / 만4세 9 / 만5세 9 / 특수학급 2</t>
        </is>
      </c>
    </row>
    <row r="269">
      <c r="A269" s="5" t="inlineStr">
        <is>
          <t>신익유치원</t>
        </is>
      </c>
      <c r="B269" s="5" t="inlineStr">
        <is>
          <t>유치원</t>
        </is>
      </c>
      <c r="C269" s="5" t="inlineStr">
        <is>
          <t>사립(사인)</t>
        </is>
      </c>
      <c r="D269" s="5" t="inlineStr">
        <is>
          <t>사하구</t>
        </is>
      </c>
      <c r="E269" s="5" t="inlineStr">
        <is>
          <t>부산광역시 사하구 비봉로 36</t>
        </is>
      </c>
      <c r="F269" s="11" t="inlineStr">
        <is>
          <t>http://school.busanedu.net/sinik-k/main.do</t>
        </is>
      </c>
      <c r="G269" s="5" t="inlineStr">
        <is>
          <t>051-206-9500</t>
        </is>
      </c>
      <c r="H269" s="12">
        <f>유치원!N269</f>
        <v/>
      </c>
      <c r="I269" s="5" t="inlineStr">
        <is>
          <t>만3세 25 / 만4세 30 / 만5세 40</t>
        </is>
      </c>
    </row>
    <row r="270">
      <c r="A270" s="5" t="inlineStr">
        <is>
          <t>옥천초등학교병설유치원</t>
        </is>
      </c>
      <c r="B270" s="5" t="inlineStr">
        <is>
          <t>유치원</t>
        </is>
      </c>
      <c r="C270" s="5" t="inlineStr">
        <is>
          <t>공립(병설)</t>
        </is>
      </c>
      <c r="D270" s="5" t="inlineStr">
        <is>
          <t>사하구</t>
        </is>
      </c>
      <c r="E270" s="5" t="inlineStr">
        <is>
          <t>부산광역시 사하구 사하로 134</t>
        </is>
      </c>
      <c r="F270" s="11" t="inlineStr">
        <is>
          <t>http://school.busanedu.net/okchun-k/main.do</t>
        </is>
      </c>
      <c r="G270" s="5" t="inlineStr">
        <is>
          <t>051-200-0690</t>
        </is>
      </c>
      <c r="H270" s="12">
        <f>유치원!N270</f>
        <v/>
      </c>
      <c r="I270" s="5" t="inlineStr"/>
    </row>
    <row r="271">
      <c r="A271" s="5" t="inlineStr">
        <is>
          <t>우리아이유치원</t>
        </is>
      </c>
      <c r="B271" s="5" t="inlineStr">
        <is>
          <t>유치원</t>
        </is>
      </c>
      <c r="C271" s="5" t="inlineStr">
        <is>
          <t>사립(사인)</t>
        </is>
      </c>
      <c r="D271" s="5" t="inlineStr">
        <is>
          <t>사하구</t>
        </is>
      </c>
      <c r="E271" s="5" t="inlineStr">
        <is>
          <t>부산광역시 사하구 다대로277번길 132</t>
        </is>
      </c>
      <c r="F271" s="5" t="inlineStr"/>
      <c r="G271" s="5" t="inlineStr">
        <is>
          <t>051-264-3008</t>
        </is>
      </c>
      <c r="H271" s="12">
        <f>유치원!N271</f>
        <v/>
      </c>
      <c r="I271" s="5" t="inlineStr">
        <is>
          <t>만4세 24 / 연령혼합반 118</t>
        </is>
      </c>
    </row>
    <row r="272">
      <c r="A272" s="5" t="inlineStr">
        <is>
          <t>장림초등학교병설유치원</t>
        </is>
      </c>
      <c r="B272" s="5" t="inlineStr">
        <is>
          <t>유치원</t>
        </is>
      </c>
      <c r="C272" s="5" t="inlineStr">
        <is>
          <t>공립(병설)</t>
        </is>
      </c>
      <c r="D272" s="5" t="inlineStr">
        <is>
          <t>사하구</t>
        </is>
      </c>
      <c r="E272" s="5" t="inlineStr">
        <is>
          <t>부산광역시 사하구 장림번영로103번길 10</t>
        </is>
      </c>
      <c r="F272" s="11" t="inlineStr">
        <is>
          <t>http://school.busanedu.net/jangrim-k</t>
        </is>
      </c>
      <c r="G272" s="5" t="inlineStr">
        <is>
          <t>051-261-8475</t>
        </is>
      </c>
      <c r="H272" s="12">
        <f>유치원!N272</f>
        <v/>
      </c>
      <c r="I272" s="5" t="inlineStr">
        <is>
          <t>만3세 2 / 만4세 10 / 만5세 12 / 특수학급 2</t>
        </is>
      </c>
    </row>
    <row r="273">
      <c r="A273" s="5" t="inlineStr">
        <is>
          <t>중현초등학교병설유치원</t>
        </is>
      </c>
      <c r="B273" s="5" t="inlineStr">
        <is>
          <t>유치원</t>
        </is>
      </c>
      <c r="C273" s="5" t="inlineStr">
        <is>
          <t>공립(병설)</t>
        </is>
      </c>
      <c r="D273" s="5" t="inlineStr">
        <is>
          <t>사하구</t>
        </is>
      </c>
      <c r="E273" s="5" t="inlineStr">
        <is>
          <t>부산광역시 사하구 다대낙조2길 8</t>
        </is>
      </c>
      <c r="F273" s="11" t="inlineStr">
        <is>
          <t>https://school.busanedu.net/junghyun-k</t>
        </is>
      </c>
      <c r="G273" s="5" t="inlineStr">
        <is>
          <t>051-260-0535</t>
        </is>
      </c>
      <c r="H273" s="12">
        <f>유치원!N273</f>
        <v/>
      </c>
      <c r="I273" s="5" t="inlineStr"/>
    </row>
    <row r="274">
      <c r="A274" s="5" t="inlineStr">
        <is>
          <t>즐거운루다유치원</t>
        </is>
      </c>
      <c r="B274" s="5" t="inlineStr">
        <is>
          <t>유치원</t>
        </is>
      </c>
      <c r="C274" s="5" t="inlineStr">
        <is>
          <t>사립(사인)</t>
        </is>
      </c>
      <c r="D274" s="5" t="inlineStr">
        <is>
          <t>사하구</t>
        </is>
      </c>
      <c r="E274" s="5" t="inlineStr">
        <is>
          <t>부산광역시 사하구 대티로 49</t>
        </is>
      </c>
      <c r="F274" s="11" t="inlineStr">
        <is>
          <t>https://school.busanedu.net/kinderluda-k</t>
        </is>
      </c>
      <c r="G274" s="5" t="inlineStr">
        <is>
          <t>051-204-3009</t>
        </is>
      </c>
      <c r="H274" s="12">
        <f>유치원!N274</f>
        <v/>
      </c>
      <c r="I274" s="5" t="inlineStr">
        <is>
          <t>만4세 48 / 만5세 52 / 연령혼합반 36</t>
        </is>
      </c>
    </row>
    <row r="275">
      <c r="A275" s="5" t="inlineStr">
        <is>
          <t>지산유치원</t>
        </is>
      </c>
      <c r="B275" s="5" t="inlineStr">
        <is>
          <t>유치원</t>
        </is>
      </c>
      <c r="C275" s="5" t="inlineStr">
        <is>
          <t>공립(단설)</t>
        </is>
      </c>
      <c r="D275" s="5" t="inlineStr">
        <is>
          <t>사하구</t>
        </is>
      </c>
      <c r="E275" s="5" t="inlineStr">
        <is>
          <t>부산광역시 사하구 장평로 117-4</t>
        </is>
      </c>
      <c r="F275" s="11" t="inlineStr">
        <is>
          <t>https://school.busanedu.net/jisan-k</t>
        </is>
      </c>
      <c r="G275" s="5" t="inlineStr">
        <is>
          <t>051-710-2791</t>
        </is>
      </c>
      <c r="H275" s="12">
        <f>유치원!N275</f>
        <v/>
      </c>
      <c r="I275" s="5" t="inlineStr">
        <is>
          <t>만3세 20 / 만4세 32 / 만5세 18 / 특수학급 4</t>
        </is>
      </c>
    </row>
    <row r="276">
      <c r="A276" s="5" t="inlineStr">
        <is>
          <t>참사랑유치원</t>
        </is>
      </c>
      <c r="B276" s="5" t="inlineStr">
        <is>
          <t>유치원</t>
        </is>
      </c>
      <c r="C276" s="5" t="inlineStr">
        <is>
          <t>사립(사인)</t>
        </is>
      </c>
      <c r="D276" s="5" t="inlineStr">
        <is>
          <t>사하구</t>
        </is>
      </c>
      <c r="E276" s="5" t="inlineStr">
        <is>
          <t>부산광역시 사하구 다대로 52</t>
        </is>
      </c>
      <c r="F276" s="11" t="inlineStr">
        <is>
          <t>http://school.busanedu.net/ichamsarang-k/main.do</t>
        </is>
      </c>
      <c r="G276" s="5" t="inlineStr">
        <is>
          <t>051-291-1004</t>
        </is>
      </c>
      <c r="H276" s="12">
        <f>유치원!N276</f>
        <v/>
      </c>
      <c r="I276" s="5" t="inlineStr">
        <is>
          <t>만3세 66 / 만4세 96 / 만5세 104</t>
        </is>
      </c>
    </row>
    <row r="277">
      <c r="A277" s="5" t="inlineStr">
        <is>
          <t>큰별삼환유치원</t>
        </is>
      </c>
      <c r="B277" s="5" t="inlineStr">
        <is>
          <t>유치원</t>
        </is>
      </c>
      <c r="C277" s="5" t="inlineStr">
        <is>
          <t>사립(사인)</t>
        </is>
      </c>
      <c r="D277" s="5" t="inlineStr">
        <is>
          <t>사하구</t>
        </is>
      </c>
      <c r="E277" s="5" t="inlineStr">
        <is>
          <t>부산광역시 사하구 다대로429번길 20</t>
        </is>
      </c>
      <c r="F277" s="5" t="inlineStr"/>
      <c r="G277" s="5" t="inlineStr">
        <is>
          <t>051-265-9991</t>
        </is>
      </c>
      <c r="H277" s="12">
        <f>유치원!N277</f>
        <v/>
      </c>
      <c r="I277" s="5" t="inlineStr">
        <is>
          <t>만4세 70 / 만5세 70 / 연령혼합반 66</t>
        </is>
      </c>
    </row>
    <row r="278">
      <c r="A278" s="5" t="inlineStr">
        <is>
          <t>큰별숲유치원</t>
        </is>
      </c>
      <c r="B278" s="5" t="inlineStr">
        <is>
          <t>유치원</t>
        </is>
      </c>
      <c r="C278" s="5" t="inlineStr">
        <is>
          <t>사립(사인)</t>
        </is>
      </c>
      <c r="D278" s="5" t="inlineStr">
        <is>
          <t>사하구</t>
        </is>
      </c>
      <c r="E278" s="5" t="inlineStr">
        <is>
          <t>부산광역시 사하구 다대로 473</t>
        </is>
      </c>
      <c r="F278" s="5" t="inlineStr"/>
      <c r="G278" s="5" t="inlineStr">
        <is>
          <t>051-261-3360</t>
        </is>
      </c>
      <c r="H278" s="12">
        <f>유치원!N278</f>
        <v/>
      </c>
      <c r="I278" s="5" t="inlineStr">
        <is>
          <t>만3세 32 / 만4세 14 / 만5세 42</t>
        </is>
      </c>
    </row>
    <row r="279">
      <c r="A279" s="5" t="inlineStr">
        <is>
          <t>하남초등학교병설유치원</t>
        </is>
      </c>
      <c r="B279" s="5" t="inlineStr">
        <is>
          <t>유치원</t>
        </is>
      </c>
      <c r="C279" s="5" t="inlineStr">
        <is>
          <t>공립(병설)</t>
        </is>
      </c>
      <c r="D279" s="5" t="inlineStr">
        <is>
          <t>사하구</t>
        </is>
      </c>
      <c r="E279" s="5" t="inlineStr">
        <is>
          <t>부산광역시 사하구 하신번영로 186</t>
        </is>
      </c>
      <c r="F279" s="11" t="inlineStr">
        <is>
          <t>http://school.busanedu.net/hanam-k/main.do</t>
        </is>
      </c>
      <c r="G279" s="5" t="inlineStr">
        <is>
          <t>051-200-3607</t>
        </is>
      </c>
      <c r="H279" s="12">
        <f>유치원!N279</f>
        <v/>
      </c>
      <c r="I279" s="5" t="inlineStr">
        <is>
          <t>만5세 9 / 연령혼합반 4 / 특수학급 2</t>
        </is>
      </c>
    </row>
    <row r="280">
      <c r="A280" s="5" t="inlineStr">
        <is>
          <t>하늘꽃유치원</t>
        </is>
      </c>
      <c r="B280" s="5" t="inlineStr">
        <is>
          <t>유치원</t>
        </is>
      </c>
      <c r="C280" s="5" t="inlineStr">
        <is>
          <t>사립(법인)</t>
        </is>
      </c>
      <c r="D280" s="5" t="inlineStr">
        <is>
          <t>사하구</t>
        </is>
      </c>
      <c r="E280" s="5" t="inlineStr">
        <is>
          <t>부산광역시 사하구 다대낙조2길 70</t>
        </is>
      </c>
      <c r="F280" s="11" t="inlineStr">
        <is>
          <t>http://skyflower.kidis.co.kr</t>
        </is>
      </c>
      <c r="G280" s="5" t="inlineStr">
        <is>
          <t>051-265-4006</t>
        </is>
      </c>
      <c r="H280" s="12">
        <f>유치원!N280</f>
        <v/>
      </c>
      <c r="I280" s="5" t="inlineStr"/>
    </row>
    <row r="281">
      <c r="A281" s="5" t="inlineStr">
        <is>
          <t>하늘유치원</t>
        </is>
      </c>
      <c r="B281" s="5" t="inlineStr">
        <is>
          <t>유치원</t>
        </is>
      </c>
      <c r="C281" s="5" t="inlineStr">
        <is>
          <t>사립(사인)</t>
        </is>
      </c>
      <c r="D281" s="5" t="inlineStr">
        <is>
          <t>사하구</t>
        </is>
      </c>
      <c r="E281" s="5" t="inlineStr">
        <is>
          <t>부산광역시 사하구 하신중앙로 170</t>
        </is>
      </c>
      <c r="F281" s="5" t="inlineStr"/>
      <c r="G281" s="5" t="inlineStr">
        <is>
          <t>051-293-5055</t>
        </is>
      </c>
      <c r="H281" s="12">
        <f>유치원!N281</f>
        <v/>
      </c>
      <c r="I281" s="5" t="inlineStr">
        <is>
          <t>만4세 48 / 만5세 45 / 연령혼합반 22</t>
        </is>
      </c>
    </row>
    <row r="282">
      <c r="A282" s="5" t="inlineStr">
        <is>
          <t>하단초등학교병설유치원</t>
        </is>
      </c>
      <c r="B282" s="5" t="inlineStr">
        <is>
          <t>유치원</t>
        </is>
      </c>
      <c r="C282" s="5" t="inlineStr">
        <is>
          <t>공립(병설)</t>
        </is>
      </c>
      <c r="D282" s="5" t="inlineStr">
        <is>
          <t>사하구</t>
        </is>
      </c>
      <c r="E282" s="5" t="inlineStr">
        <is>
          <t>부산광역시 사하구 하신중앙로 321</t>
        </is>
      </c>
      <c r="F282" s="11" t="inlineStr">
        <is>
          <t>http://school.busanedu.net</t>
        </is>
      </c>
      <c r="G282" s="5" t="inlineStr">
        <is>
          <t>051-997-1004</t>
        </is>
      </c>
      <c r="H282" s="12">
        <f>유치원!N282</f>
        <v/>
      </c>
      <c r="I282" s="5" t="inlineStr">
        <is>
          <t>만3세 6 / 연령혼합반 10</t>
        </is>
      </c>
    </row>
    <row r="283">
      <c r="A283" s="5" t="inlineStr">
        <is>
          <t>햇빛유치원</t>
        </is>
      </c>
      <c r="B283" s="5" t="inlineStr">
        <is>
          <t>유치원</t>
        </is>
      </c>
      <c r="C283" s="5" t="inlineStr">
        <is>
          <t>사립(법인)</t>
        </is>
      </c>
      <c r="D283" s="5" t="inlineStr">
        <is>
          <t>사하구</t>
        </is>
      </c>
      <c r="E283" s="5" t="inlineStr">
        <is>
          <t>부산광역시 사하구 승학로229번길 11</t>
        </is>
      </c>
      <c r="F283" s="5" t="inlineStr"/>
      <c r="G283" s="5" t="inlineStr">
        <is>
          <t>051-714-6678</t>
        </is>
      </c>
      <c r="H283" s="12">
        <f>유치원!N283</f>
        <v/>
      </c>
      <c r="I283" s="5" t="inlineStr">
        <is>
          <t>만3세 11 / 만4세 33 / 만5세 31</t>
        </is>
      </c>
    </row>
    <row r="284">
      <c r="A284" s="5" t="inlineStr">
        <is>
          <t>햇살내리는유치원</t>
        </is>
      </c>
      <c r="B284" s="5" t="inlineStr">
        <is>
          <t>유치원</t>
        </is>
      </c>
      <c r="C284" s="5" t="inlineStr">
        <is>
          <t>사립(사인)</t>
        </is>
      </c>
      <c r="D284" s="5" t="inlineStr">
        <is>
          <t>사하구</t>
        </is>
      </c>
      <c r="E284" s="5" t="inlineStr">
        <is>
          <t>부산광역시 사하구 승학로 179-1</t>
        </is>
      </c>
      <c r="F284" s="11" t="inlineStr">
        <is>
          <t>http://cafe.daum.net/sunshin</t>
        </is>
      </c>
      <c r="G284" s="5" t="inlineStr">
        <is>
          <t>051-292-3545</t>
        </is>
      </c>
      <c r="H284" s="12">
        <f>유치원!N284</f>
        <v/>
      </c>
      <c r="I284" s="5" t="inlineStr">
        <is>
          <t>연령혼합반 5</t>
        </is>
      </c>
    </row>
    <row r="285">
      <c r="A285" s="5" t="inlineStr">
        <is>
          <t>호돌유치원</t>
        </is>
      </c>
      <c r="B285" s="5" t="inlineStr">
        <is>
          <t>유치원</t>
        </is>
      </c>
      <c r="C285" s="5" t="inlineStr">
        <is>
          <t>사립(법인)</t>
        </is>
      </c>
      <c r="D285" s="5" t="inlineStr">
        <is>
          <t>사하구</t>
        </is>
      </c>
      <c r="E285" s="5" t="inlineStr">
        <is>
          <t>부산광역시 사하구 제석로95번길 99</t>
        </is>
      </c>
      <c r="F285" s="11" t="inlineStr">
        <is>
          <t>http://school.busanedu.net/hodol-k/main.do</t>
        </is>
      </c>
      <c r="G285" s="5" t="inlineStr">
        <is>
          <t>051-205-5005</t>
        </is>
      </c>
      <c r="H285" s="12">
        <f>유치원!N285</f>
        <v/>
      </c>
      <c r="I285" s="5" t="inlineStr">
        <is>
          <t>만3세 10 / 만4세 7 / 만5세 25</t>
        </is>
      </c>
    </row>
    <row r="286">
      <c r="A286" s="5" t="inlineStr">
        <is>
          <t>호산나유치원</t>
        </is>
      </c>
      <c r="B286" s="5" t="inlineStr">
        <is>
          <t>유치원</t>
        </is>
      </c>
      <c r="C286" s="5" t="inlineStr">
        <is>
          <t>사립(법인)</t>
        </is>
      </c>
      <c r="D286" s="5" t="inlineStr">
        <is>
          <t>사하구</t>
        </is>
      </c>
      <c r="E286" s="5" t="inlineStr">
        <is>
          <t>부산광역시 사하구 다대동로6번길 12</t>
        </is>
      </c>
      <c r="F286" s="5" t="inlineStr"/>
      <c r="G286" s="5" t="inlineStr">
        <is>
          <t>051-261-1569</t>
        </is>
      </c>
      <c r="H286" s="12">
        <f>유치원!N286</f>
        <v/>
      </c>
      <c r="I286" s="5" t="inlineStr">
        <is>
          <t>연령혼합반 7</t>
        </is>
      </c>
    </row>
    <row r="287">
      <c r="A287" s="5" t="inlineStr">
        <is>
          <t>남부민초등학교병설유치원</t>
        </is>
      </c>
      <c r="B287" s="5" t="inlineStr">
        <is>
          <t>유치원</t>
        </is>
      </c>
      <c r="C287" s="5" t="inlineStr">
        <is>
          <t>공립(병설)</t>
        </is>
      </c>
      <c r="D287" s="5" t="inlineStr">
        <is>
          <t>서구</t>
        </is>
      </c>
      <c r="E287" s="5" t="inlineStr">
        <is>
          <t>부산광역시 서구 천마로 153</t>
        </is>
      </c>
      <c r="F287" s="11" t="inlineStr">
        <is>
          <t>http://school.busanedu.net/nambumin-k/main.do</t>
        </is>
      </c>
      <c r="G287" s="5" t="inlineStr">
        <is>
          <t>051-240-0190</t>
        </is>
      </c>
      <c r="H287" s="12">
        <f>유치원!N287</f>
        <v/>
      </c>
      <c r="I287" s="5" t="inlineStr">
        <is>
          <t>만5세 11 / 연령혼합반 6 / 특수학급 1</t>
        </is>
      </c>
    </row>
    <row r="288">
      <c r="A288" s="5" t="inlineStr">
        <is>
          <t>내원정사유치원</t>
        </is>
      </c>
      <c r="B288" s="5" t="inlineStr">
        <is>
          <t>유치원</t>
        </is>
      </c>
      <c r="C288" s="5" t="inlineStr">
        <is>
          <t>사립(법인)</t>
        </is>
      </c>
      <c r="D288" s="5" t="inlineStr">
        <is>
          <t>서구</t>
        </is>
      </c>
      <c r="E288" s="5" t="inlineStr">
        <is>
          <t>부산광역시 서구 엄광산로40번길 26</t>
        </is>
      </c>
      <c r="F288" s="11" t="inlineStr">
        <is>
          <t>http://www.naewon.co.kr</t>
        </is>
      </c>
      <c r="G288" s="5" t="inlineStr">
        <is>
          <t>051-244-0691</t>
        </is>
      </c>
      <c r="H288" s="12">
        <f>유치원!N288</f>
        <v/>
      </c>
      <c r="I288" s="5" t="inlineStr">
        <is>
          <t>만3세 91 / 만4세 78 / 만5세 58</t>
        </is>
      </c>
    </row>
    <row r="289">
      <c r="A289" s="5" t="inlineStr">
        <is>
          <t>노틀담유치원</t>
        </is>
      </c>
      <c r="B289" s="5" t="inlineStr">
        <is>
          <t>유치원</t>
        </is>
      </c>
      <c r="C289" s="5" t="inlineStr">
        <is>
          <t>사립(법인)</t>
        </is>
      </c>
      <c r="D289" s="5" t="inlineStr">
        <is>
          <t>서구</t>
        </is>
      </c>
      <c r="E289" s="5" t="inlineStr">
        <is>
          <t>부산광역시 서구 임시수도기념로 61-32</t>
        </is>
      </c>
      <c r="F289" s="11" t="inlineStr">
        <is>
          <t>http://school.busanedu.net/notredame-k/main.do</t>
        </is>
      </c>
      <c r="G289" s="5" t="inlineStr">
        <is>
          <t>051-253-1843</t>
        </is>
      </c>
      <c r="H289" s="12">
        <f>유치원!N289</f>
        <v/>
      </c>
      <c r="I289" s="5" t="inlineStr">
        <is>
          <t>만3세 25 / 만4세 22 / 만5세 41</t>
        </is>
      </c>
    </row>
    <row r="290">
      <c r="A290" s="5" t="inlineStr">
        <is>
          <t>놀이아유치원</t>
        </is>
      </c>
      <c r="B290" s="5" t="inlineStr">
        <is>
          <t>유치원</t>
        </is>
      </c>
      <c r="C290" s="5" t="inlineStr">
        <is>
          <t>사립(법인)</t>
        </is>
      </c>
      <c r="D290" s="5" t="inlineStr">
        <is>
          <t>서구</t>
        </is>
      </c>
      <c r="E290" s="5" t="inlineStr">
        <is>
          <t>부산광역시 서구 부용로32번길 9</t>
        </is>
      </c>
      <c r="F290" s="5" t="inlineStr"/>
      <c r="G290" s="5" t="inlineStr">
        <is>
          <t>051-256-3783</t>
        </is>
      </c>
      <c r="H290" s="12">
        <f>유치원!N290</f>
        <v/>
      </c>
      <c r="I290" s="5" t="inlineStr">
        <is>
          <t>만3세 14 / 만4세 24 / 연령혼합반 16</t>
        </is>
      </c>
    </row>
    <row r="291">
      <c r="A291" s="5" t="inlineStr">
        <is>
          <t>동신초등학교병설유치원</t>
        </is>
      </c>
      <c r="B291" s="5" t="inlineStr">
        <is>
          <t>유치원</t>
        </is>
      </c>
      <c r="C291" s="5" t="inlineStr">
        <is>
          <t>공립(병설)</t>
        </is>
      </c>
      <c r="D291" s="5" t="inlineStr">
        <is>
          <t>서구</t>
        </is>
      </c>
      <c r="E291" s="5" t="inlineStr">
        <is>
          <t>부산광역시 서구 대영로85번길 81-19</t>
        </is>
      </c>
      <c r="F291" s="11" t="inlineStr">
        <is>
          <t>https://school.busanedu.net/dongsin-k</t>
        </is>
      </c>
      <c r="G291" s="5" t="inlineStr">
        <is>
          <t>051-240-0790</t>
        </is>
      </c>
      <c r="H291" s="12">
        <f>유치원!N291</f>
        <v/>
      </c>
      <c r="I291" s="5" t="inlineStr">
        <is>
          <t>만5세 4 / 연령혼합반 11 / 특수학급 3</t>
        </is>
      </c>
    </row>
    <row r="292">
      <c r="A292" s="5" t="inlineStr">
        <is>
          <t>마리아유치원</t>
        </is>
      </c>
      <c r="B292" s="5" t="inlineStr">
        <is>
          <t>유치원</t>
        </is>
      </c>
      <c r="C292" s="5" t="inlineStr">
        <is>
          <t>사립(법인)</t>
        </is>
      </c>
      <c r="D292" s="5" t="inlineStr">
        <is>
          <t>서구</t>
        </is>
      </c>
      <c r="E292" s="5" t="inlineStr">
        <is>
          <t>부산광역시 서구 구덕로333번길 36</t>
        </is>
      </c>
      <c r="F292" s="11" t="inlineStr">
        <is>
          <t>https://school.busanedu.net/maria-k/</t>
        </is>
      </c>
      <c r="G292" s="5" t="inlineStr">
        <is>
          <t>051-253-4885</t>
        </is>
      </c>
      <c r="H292" s="12">
        <f>유치원!N292</f>
        <v/>
      </c>
      <c r="I292" s="5" t="inlineStr">
        <is>
          <t>만3세 22 / 만4세 26 / 만5세 26</t>
        </is>
      </c>
    </row>
    <row r="293">
      <c r="A293" s="5" t="inlineStr">
        <is>
          <t>아미초등학교병설유치원</t>
        </is>
      </c>
      <c r="B293" s="5" t="inlineStr">
        <is>
          <t>유치원</t>
        </is>
      </c>
      <c r="C293" s="5" t="inlineStr">
        <is>
          <t>공립(병설)</t>
        </is>
      </c>
      <c r="D293" s="5" t="inlineStr">
        <is>
          <t>서구</t>
        </is>
      </c>
      <c r="E293" s="5" t="inlineStr">
        <is>
          <t>부산광역시 서구 해돋이로 241</t>
        </is>
      </c>
      <c r="F293" s="11" t="inlineStr">
        <is>
          <t>http://school.busanedu.net/ami-k/main.do</t>
        </is>
      </c>
      <c r="G293" s="5" t="inlineStr">
        <is>
          <t>051-240-6012</t>
        </is>
      </c>
      <c r="H293" s="12">
        <f>유치원!N293</f>
        <v/>
      </c>
      <c r="I293" s="5" t="inlineStr"/>
    </row>
    <row r="294">
      <c r="A294" s="5" t="inlineStr">
        <is>
          <t>영락유치원</t>
        </is>
      </c>
      <c r="B294" s="5" t="inlineStr">
        <is>
          <t>유치원</t>
        </is>
      </c>
      <c r="C294" s="5" t="inlineStr">
        <is>
          <t>사립(사인)</t>
        </is>
      </c>
      <c r="D294" s="5" t="inlineStr">
        <is>
          <t>서구</t>
        </is>
      </c>
      <c r="E294" s="5" t="inlineStr">
        <is>
          <t>부산광역시 서구 대청로 8</t>
        </is>
      </c>
      <c r="F294" s="5" t="inlineStr"/>
      <c r="G294" s="5" t="inlineStr">
        <is>
          <t>051-244-2509</t>
        </is>
      </c>
      <c r="H294" s="12">
        <f>유치원!N294</f>
        <v/>
      </c>
      <c r="I294" s="5" t="inlineStr">
        <is>
          <t>만3세 12 / 만4세 17 / 만5세 14</t>
        </is>
      </c>
    </row>
    <row r="295">
      <c r="A295" s="5" t="inlineStr">
        <is>
          <t>토성초등학교병설유치원</t>
        </is>
      </c>
      <c r="B295" s="5" t="inlineStr">
        <is>
          <t>유치원</t>
        </is>
      </c>
      <c r="C295" s="5" t="inlineStr">
        <is>
          <t>공립(병설)</t>
        </is>
      </c>
      <c r="D295" s="5" t="inlineStr">
        <is>
          <t>서구</t>
        </is>
      </c>
      <c r="E295" s="5" t="inlineStr">
        <is>
          <t>부산광역시 서구 구덕로134번길 45</t>
        </is>
      </c>
      <c r="F295" s="11" t="inlineStr">
        <is>
          <t>http://toseong.es.kr/</t>
        </is>
      </c>
      <c r="G295" s="5" t="inlineStr">
        <is>
          <t>051-250-0808</t>
        </is>
      </c>
      <c r="H295" s="12">
        <f>유치원!N295</f>
        <v/>
      </c>
      <c r="I295" s="5" t="inlineStr">
        <is>
          <t>만5세 13 / 연령혼합반 9</t>
        </is>
      </c>
    </row>
    <row r="296">
      <c r="A296" s="5" t="inlineStr">
        <is>
          <t>푸른유치원</t>
        </is>
      </c>
      <c r="B296" s="5" t="inlineStr">
        <is>
          <t>유치원</t>
        </is>
      </c>
      <c r="C296" s="5" t="inlineStr">
        <is>
          <t>사립(사인)</t>
        </is>
      </c>
      <c r="D296" s="5" t="inlineStr">
        <is>
          <t>서구</t>
        </is>
      </c>
      <c r="E296" s="5" t="inlineStr">
        <is>
          <t>부산광역시 서구 남부민로 34</t>
        </is>
      </c>
      <c r="F296" s="11" t="inlineStr">
        <is>
          <t>http://school.busanedu.net/blue-k/main.do</t>
        </is>
      </c>
      <c r="G296" s="5" t="inlineStr">
        <is>
          <t>051-242-4276</t>
        </is>
      </c>
      <c r="H296" s="12">
        <f>유치원!N296</f>
        <v/>
      </c>
      <c r="I296" s="5" t="inlineStr">
        <is>
          <t>만3세 8 / 만4세 18 / 만5세 26</t>
        </is>
      </c>
    </row>
    <row r="297">
      <c r="A297" s="5" t="inlineStr">
        <is>
          <t>광남초등학교병설유치원</t>
        </is>
      </c>
      <c r="B297" s="5" t="inlineStr">
        <is>
          <t>유치원</t>
        </is>
      </c>
      <c r="C297" s="5" t="inlineStr">
        <is>
          <t>공립(병설)</t>
        </is>
      </c>
      <c r="D297" s="5" t="inlineStr">
        <is>
          <t>수영구</t>
        </is>
      </c>
      <c r="E297" s="5" t="inlineStr">
        <is>
          <t>부산광역시 수영구 광안해변로 115</t>
        </is>
      </c>
      <c r="F297" s="11" t="inlineStr">
        <is>
          <t>http://school.busanedu.net/gwangnam-k/main.do</t>
        </is>
      </c>
      <c r="G297" s="5" t="inlineStr">
        <is>
          <t>051-610-6660</t>
        </is>
      </c>
      <c r="H297" s="12">
        <f>유치원!N297</f>
        <v/>
      </c>
      <c r="I297" s="5" t="inlineStr">
        <is>
          <t>만3세 9 / 만4세 4 / 만5세 10</t>
        </is>
      </c>
    </row>
    <row r="298">
      <c r="A298" s="5" t="inlineStr">
        <is>
          <t>광안유치원</t>
        </is>
      </c>
      <c r="B298" s="5" t="inlineStr">
        <is>
          <t>유치원</t>
        </is>
      </c>
      <c r="C298" s="5" t="inlineStr">
        <is>
          <t>공립(단설)</t>
        </is>
      </c>
      <c r="D298" s="5" t="inlineStr">
        <is>
          <t>수영구</t>
        </is>
      </c>
      <c r="E298" s="5" t="inlineStr">
        <is>
          <t>부산광역시 수영구 광안로35번길 38</t>
        </is>
      </c>
      <c r="F298" s="11" t="inlineStr">
        <is>
          <t>http://school.busanedu.net/gwangan-k/main.do</t>
        </is>
      </c>
      <c r="G298" s="5" t="inlineStr">
        <is>
          <t>051-780-0700</t>
        </is>
      </c>
      <c r="H298" s="12">
        <f>유치원!N298</f>
        <v/>
      </c>
      <c r="I298" s="5" t="inlineStr">
        <is>
          <t>만3세 27 / 만4세 35 / 만5세 38 / 특수학급 4</t>
        </is>
      </c>
    </row>
    <row r="299">
      <c r="A299" s="5" t="inlineStr">
        <is>
          <t>금련사유치원</t>
        </is>
      </c>
      <c r="B299" s="5" t="inlineStr">
        <is>
          <t>유치원</t>
        </is>
      </c>
      <c r="C299" s="5" t="inlineStr">
        <is>
          <t>사립(사인)</t>
        </is>
      </c>
      <c r="D299" s="5" t="inlineStr">
        <is>
          <t>수영구</t>
        </is>
      </c>
      <c r="E299" s="5" t="inlineStr">
        <is>
          <t>부산광역시 수영구 광일로 71</t>
        </is>
      </c>
      <c r="F299" s="11" t="inlineStr">
        <is>
          <t>https://school.busanedu.net/kumryun-k</t>
        </is>
      </c>
      <c r="G299" s="5" t="inlineStr">
        <is>
          <t>051-757-1505</t>
        </is>
      </c>
      <c r="H299" s="12">
        <f>유치원!N299</f>
        <v/>
      </c>
      <c r="I299" s="5" t="inlineStr">
        <is>
          <t>만3세 42 / 만4세 19 / 만5세 26</t>
        </is>
      </c>
    </row>
    <row r="300">
      <c r="A300" s="5" t="inlineStr">
        <is>
          <t>나은유치원</t>
        </is>
      </c>
      <c r="B300" s="5" t="inlineStr">
        <is>
          <t>유치원</t>
        </is>
      </c>
      <c r="C300" s="5" t="inlineStr">
        <is>
          <t>사립(사인)</t>
        </is>
      </c>
      <c r="D300" s="5" t="inlineStr">
        <is>
          <t>수영구</t>
        </is>
      </c>
      <c r="E300" s="5" t="inlineStr">
        <is>
          <t>부산광역시 수영구 망미번영로 13</t>
        </is>
      </c>
      <c r="F300" s="5" t="inlineStr"/>
      <c r="G300" s="5" t="inlineStr">
        <is>
          <t>051-756-2600</t>
        </is>
      </c>
      <c r="H300" s="12">
        <f>유치원!N300</f>
        <v/>
      </c>
      <c r="I300" s="5" t="inlineStr"/>
    </row>
    <row r="301">
      <c r="A301" s="5" t="inlineStr">
        <is>
          <t>남천유치원</t>
        </is>
      </c>
      <c r="B301" s="5" t="inlineStr">
        <is>
          <t>유치원</t>
        </is>
      </c>
      <c r="C301" s="5" t="inlineStr">
        <is>
          <t>공립(단설)</t>
        </is>
      </c>
      <c r="D301" s="5" t="inlineStr">
        <is>
          <t>수영구</t>
        </is>
      </c>
      <c r="E301" s="5" t="inlineStr">
        <is>
          <t>부산광역시 수영구 남천서로 14</t>
        </is>
      </c>
      <c r="F301" s="11" t="inlineStr">
        <is>
          <t>https://school.busanedu.net/namcheon-k</t>
        </is>
      </c>
      <c r="G301" s="5" t="inlineStr">
        <is>
          <t>051-626-9010</t>
        </is>
      </c>
      <c r="H301" s="12">
        <f>유치원!N301</f>
        <v/>
      </c>
      <c r="I301" s="5" t="inlineStr">
        <is>
          <t>만3세 28 / 만4세 35 / 만5세 26 / 특수학급 4</t>
        </is>
      </c>
    </row>
    <row r="302">
      <c r="A302" s="5" t="inlineStr">
        <is>
          <t>명성유치원</t>
        </is>
      </c>
      <c r="B302" s="5" t="inlineStr">
        <is>
          <t>유치원</t>
        </is>
      </c>
      <c r="C302" s="5" t="inlineStr">
        <is>
          <t>사립(사인)</t>
        </is>
      </c>
      <c r="D302" s="5" t="inlineStr">
        <is>
          <t>수영구</t>
        </is>
      </c>
      <c r="E302" s="5" t="inlineStr">
        <is>
          <t>부산광역시 수영구 망미번영로 88</t>
        </is>
      </c>
      <c r="F302" s="5" t="inlineStr"/>
      <c r="G302" s="5" t="inlineStr">
        <is>
          <t>051-757-8935</t>
        </is>
      </c>
      <c r="H302" s="12">
        <f>유치원!N302</f>
        <v/>
      </c>
      <c r="I302" s="5" t="inlineStr">
        <is>
          <t>만3세 48 / 만4세 52 / 만5세 52</t>
        </is>
      </c>
    </row>
    <row r="303">
      <c r="A303" s="5" t="inlineStr">
        <is>
          <t>민락초등학교병설유치원</t>
        </is>
      </c>
      <c r="B303" s="5" t="inlineStr">
        <is>
          <t>유치원</t>
        </is>
      </c>
      <c r="C303" s="5" t="inlineStr">
        <is>
          <t>공립(병설)</t>
        </is>
      </c>
      <c r="D303" s="5" t="inlineStr">
        <is>
          <t>수영구</t>
        </is>
      </c>
      <c r="E303" s="5" t="inlineStr">
        <is>
          <t>부산광역시 수영구 광남로257번길 12</t>
        </is>
      </c>
      <c r="F303" s="11" t="inlineStr">
        <is>
          <t>https://school.busanedu.net/minlak-k/</t>
        </is>
      </c>
      <c r="G303" s="5" t="inlineStr">
        <is>
          <t>051-752-6750</t>
        </is>
      </c>
      <c r="H303" s="12">
        <f>유치원!N303</f>
        <v/>
      </c>
      <c r="I303" s="5" t="inlineStr">
        <is>
          <t>만5세 4 / 연령혼합반 4 / 특수학급 4</t>
        </is>
      </c>
    </row>
    <row r="304">
      <c r="A304" s="5" t="inlineStr">
        <is>
          <t>백산유치원</t>
        </is>
      </c>
      <c r="B304" s="5" t="inlineStr">
        <is>
          <t>유치원</t>
        </is>
      </c>
      <c r="C304" s="5" t="inlineStr">
        <is>
          <t>사립(법인)</t>
        </is>
      </c>
      <c r="D304" s="5" t="inlineStr">
        <is>
          <t>수영구</t>
        </is>
      </c>
      <c r="E304" s="5" t="inlineStr">
        <is>
          <t>부산광역시 수영구 무학로69번길 66</t>
        </is>
      </c>
      <c r="F304" s="5" t="inlineStr"/>
      <c r="G304" s="5" t="inlineStr">
        <is>
          <t>051-752-3345</t>
        </is>
      </c>
      <c r="H304" s="12">
        <f>유치원!N304</f>
        <v/>
      </c>
      <c r="I304" s="5" t="inlineStr"/>
    </row>
    <row r="305">
      <c r="A305" s="5" t="inlineStr">
        <is>
          <t>분도유치원</t>
        </is>
      </c>
      <c r="B305" s="5" t="inlineStr">
        <is>
          <t>유치원</t>
        </is>
      </c>
      <c r="C305" s="5" t="inlineStr">
        <is>
          <t>사립(법인)</t>
        </is>
      </c>
      <c r="D305" s="5" t="inlineStr">
        <is>
          <t>수영구</t>
        </is>
      </c>
      <c r="E305" s="5" t="inlineStr">
        <is>
          <t>부산광역시 수영구 수영로497번길 18</t>
        </is>
      </c>
      <c r="F305" s="11" t="inlineStr">
        <is>
          <t>https://busanbundo.com</t>
        </is>
      </c>
      <c r="G305" s="5" t="inlineStr">
        <is>
          <t>051-753-2139</t>
        </is>
      </c>
      <c r="H305" s="12">
        <f>유치원!N305</f>
        <v/>
      </c>
      <c r="I305" s="5" t="inlineStr">
        <is>
          <t>만3세 32 / 만4세 72 / 만5세 53</t>
        </is>
      </c>
    </row>
    <row r="306">
      <c r="A306" s="5" t="inlineStr">
        <is>
          <t>삼성유치원</t>
        </is>
      </c>
      <c r="B306" s="5" t="inlineStr">
        <is>
          <t>유치원</t>
        </is>
      </c>
      <c r="C306" s="5" t="inlineStr">
        <is>
          <t>사립(사인)</t>
        </is>
      </c>
      <c r="D306" s="5" t="inlineStr">
        <is>
          <t>수영구</t>
        </is>
      </c>
      <c r="E306" s="5" t="inlineStr">
        <is>
          <t>부산광역시 수영구 망미로30번길 23</t>
        </is>
      </c>
      <c r="F306" s="11" t="inlineStr">
        <is>
          <t>http://cafe.daum.net/samsung1277</t>
        </is>
      </c>
      <c r="G306" s="5" t="inlineStr">
        <is>
          <t>051-751-1277</t>
        </is>
      </c>
      <c r="H306" s="12">
        <f>유치원!N306</f>
        <v/>
      </c>
      <c r="I306" s="5" t="inlineStr">
        <is>
          <t>만3세 16 / 만4세 9 / 만5세 19 / 연령혼합반 23</t>
        </is>
      </c>
    </row>
    <row r="307">
      <c r="A307" s="5" t="inlineStr">
        <is>
          <t>성모유치원</t>
        </is>
      </c>
      <c r="B307" s="5" t="inlineStr">
        <is>
          <t>유치원</t>
        </is>
      </c>
      <c r="C307" s="5" t="inlineStr">
        <is>
          <t>사립(법인)</t>
        </is>
      </c>
      <c r="D307" s="5" t="inlineStr">
        <is>
          <t>수영구</t>
        </is>
      </c>
      <c r="E307" s="5" t="inlineStr">
        <is>
          <t>부산광역시 수영구 민락본동로27번길 15</t>
        </is>
      </c>
      <c r="F307" s="5" t="inlineStr"/>
      <c r="G307" s="5" t="inlineStr">
        <is>
          <t>051-757-9554</t>
        </is>
      </c>
      <c r="H307" s="12">
        <f>유치원!N307</f>
        <v/>
      </c>
      <c r="I307" s="5" t="inlineStr">
        <is>
          <t>만3세 14 / 만4세 22 / 만5세 23</t>
        </is>
      </c>
    </row>
    <row r="308">
      <c r="A308" s="5" t="inlineStr">
        <is>
          <t>수영로유치원</t>
        </is>
      </c>
      <c r="B308" s="5" t="inlineStr">
        <is>
          <t>유치원</t>
        </is>
      </c>
      <c r="C308" s="5" t="inlineStr">
        <is>
          <t>사립(법인)</t>
        </is>
      </c>
      <c r="D308" s="5" t="inlineStr">
        <is>
          <t>수영구</t>
        </is>
      </c>
      <c r="E308" s="5" t="inlineStr">
        <is>
          <t>부산광역시 수영구 수영로679번길 9</t>
        </is>
      </c>
      <c r="F308" s="11" t="inlineStr">
        <is>
          <t>http://school.busanedu.net/syrlovej-k/main.do</t>
        </is>
      </c>
      <c r="G308" s="5" t="inlineStr">
        <is>
          <t>051-751-0877</t>
        </is>
      </c>
      <c r="H308" s="12">
        <f>유치원!N308</f>
        <v/>
      </c>
      <c r="I308" s="5" t="inlineStr">
        <is>
          <t>만3세 32 / 만4세 45 / 만5세 40</t>
        </is>
      </c>
    </row>
    <row r="309">
      <c r="A309" s="5" t="inlineStr">
        <is>
          <t>수영초등학교병설유치원</t>
        </is>
      </c>
      <c r="B309" s="5" t="inlineStr">
        <is>
          <t>유치원</t>
        </is>
      </c>
      <c r="C309" s="5" t="inlineStr">
        <is>
          <t>공립(병설)</t>
        </is>
      </c>
      <c r="D309" s="5" t="inlineStr">
        <is>
          <t>수영구</t>
        </is>
      </c>
      <c r="E309" s="5" t="inlineStr">
        <is>
          <t>부산광역시 수영구 광서로16번길 33</t>
        </is>
      </c>
      <c r="F309" s="11" t="inlineStr">
        <is>
          <t>http://suyoung.es.kr</t>
        </is>
      </c>
      <c r="G309" s="5" t="inlineStr">
        <is>
          <t>051-792-2591</t>
        </is>
      </c>
      <c r="H309" s="12">
        <f>유치원!N309</f>
        <v/>
      </c>
      <c r="I309" s="5" t="inlineStr">
        <is>
          <t>만3세 7 / 만4세 15 / 만5세 17</t>
        </is>
      </c>
    </row>
    <row r="310">
      <c r="A310" s="5" t="inlineStr">
        <is>
          <t>에버그린유치원</t>
        </is>
      </c>
      <c r="B310" s="5" t="inlineStr">
        <is>
          <t>유치원</t>
        </is>
      </c>
      <c r="C310" s="5" t="inlineStr">
        <is>
          <t>사립(사인)</t>
        </is>
      </c>
      <c r="D310" s="5" t="inlineStr">
        <is>
          <t>수영구</t>
        </is>
      </c>
      <c r="E310" s="5" t="inlineStr">
        <is>
          <t>부산광역시 수영구 망미배산로 104-7</t>
        </is>
      </c>
      <c r="F310" s="5" t="inlineStr"/>
      <c r="G310" s="5" t="inlineStr">
        <is>
          <t>051-752-7997</t>
        </is>
      </c>
      <c r="H310" s="12">
        <f>유치원!N310</f>
        <v/>
      </c>
      <c r="I310" s="5" t="inlineStr">
        <is>
          <t>만4세 44 / 만5세 42 / 연령혼합반 44</t>
        </is>
      </c>
    </row>
    <row r="311">
      <c r="A311" s="5" t="inlineStr">
        <is>
          <t>영주암유치원</t>
        </is>
      </c>
      <c r="B311" s="5" t="inlineStr">
        <is>
          <t>유치원</t>
        </is>
      </c>
      <c r="C311" s="5" t="inlineStr">
        <is>
          <t>사립(법인)</t>
        </is>
      </c>
      <c r="D311" s="5" t="inlineStr">
        <is>
          <t>수영구</t>
        </is>
      </c>
      <c r="E311" s="5" t="inlineStr">
        <is>
          <t>부산광역시 수영구 망미배산로76번나길 11 (망미동)</t>
        </is>
      </c>
      <c r="F311" s="5" t="inlineStr"/>
      <c r="G311" s="5" t="inlineStr">
        <is>
          <t>051-754-6120</t>
        </is>
      </c>
      <c r="H311" s="12">
        <f>유치원!N311</f>
        <v/>
      </c>
      <c r="I311" s="5" t="inlineStr">
        <is>
          <t>만3세 16 / 만4세 37 / 만5세 40</t>
        </is>
      </c>
    </row>
    <row r="312">
      <c r="A312" s="5" t="inlineStr">
        <is>
          <t>옥련유치원</t>
        </is>
      </c>
      <c r="B312" s="5" t="inlineStr">
        <is>
          <t>유치원</t>
        </is>
      </c>
      <c r="C312" s="5" t="inlineStr">
        <is>
          <t>사립(법인)</t>
        </is>
      </c>
      <c r="D312" s="5" t="inlineStr">
        <is>
          <t>수영구</t>
        </is>
      </c>
      <c r="E312" s="5" t="inlineStr">
        <is>
          <t>부산광역시 수영구 광남로257번길 58</t>
        </is>
      </c>
      <c r="F312" s="11" t="inlineStr">
        <is>
          <t>http://school.busanedu.net/okyeon-k/</t>
        </is>
      </c>
      <c r="G312" s="5" t="inlineStr">
        <is>
          <t>051-754-2223</t>
        </is>
      </c>
      <c r="H312" s="12">
        <f>유치원!N312</f>
        <v/>
      </c>
      <c r="I312" s="5" t="inlineStr">
        <is>
          <t>만3세 59 / 만4세 48 / 만5세 43</t>
        </is>
      </c>
    </row>
    <row r="313">
      <c r="A313" s="5" t="inlineStr">
        <is>
          <t>천사유치원</t>
        </is>
      </c>
      <c r="B313" s="5" t="inlineStr">
        <is>
          <t>유치원</t>
        </is>
      </c>
      <c r="C313" s="5" t="inlineStr">
        <is>
          <t>사립(법인)</t>
        </is>
      </c>
      <c r="D313" s="5" t="inlineStr">
        <is>
          <t>수영구</t>
        </is>
      </c>
      <c r="E313" s="5" t="inlineStr">
        <is>
          <t>부산광역시 수영구 수영로427번길 15</t>
        </is>
      </c>
      <c r="F313" s="11" t="inlineStr">
        <is>
          <t>http://school.busanedu.net/chunsa-k</t>
        </is>
      </c>
      <c r="G313" s="5" t="inlineStr">
        <is>
          <t>051-622-4000</t>
        </is>
      </c>
      <c r="H313" s="12">
        <f>유치원!N313</f>
        <v/>
      </c>
      <c r="I313" s="5" t="inlineStr">
        <is>
          <t>만3세 16 / 만4세 26 / 만5세 18</t>
        </is>
      </c>
    </row>
    <row r="314">
      <c r="A314" s="5" t="inlineStr">
        <is>
          <t>평화유치원</t>
        </is>
      </c>
      <c r="B314" s="5" t="inlineStr">
        <is>
          <t>유치원</t>
        </is>
      </c>
      <c r="C314" s="5" t="inlineStr">
        <is>
          <t>사립(법인)</t>
        </is>
      </c>
      <c r="D314" s="5" t="inlineStr">
        <is>
          <t>수영구</t>
        </is>
      </c>
      <c r="E314" s="5" t="inlineStr">
        <is>
          <t>부산광역시 수영구 연수로310번길 17</t>
        </is>
      </c>
      <c r="F314" s="11" t="inlineStr">
        <is>
          <t>http://school.busanedu.net/peace-k/main.do</t>
        </is>
      </c>
      <c r="G314" s="5" t="inlineStr">
        <is>
          <t>051-755-8000</t>
        </is>
      </c>
      <c r="H314" s="12">
        <f>유치원!N314</f>
        <v/>
      </c>
      <c r="I314" s="5" t="inlineStr"/>
    </row>
    <row r="315">
      <c r="A315" s="5" t="inlineStr">
        <is>
          <t>호암유치원</t>
        </is>
      </c>
      <c r="B315" s="5" t="inlineStr">
        <is>
          <t>유치원</t>
        </is>
      </c>
      <c r="C315" s="5" t="inlineStr">
        <is>
          <t>사립(사인)</t>
        </is>
      </c>
      <c r="D315" s="5" t="inlineStr">
        <is>
          <t>수영구</t>
        </is>
      </c>
      <c r="E315" s="5" t="inlineStr">
        <is>
          <t>부산광역시 수영구 수영로545번길 29</t>
        </is>
      </c>
      <c r="F315" s="5" t="inlineStr"/>
      <c r="G315" s="5" t="inlineStr">
        <is>
          <t>051-758-5255</t>
        </is>
      </c>
      <c r="H315" s="12">
        <f>유치원!N315</f>
        <v/>
      </c>
      <c r="I315" s="5" t="inlineStr">
        <is>
          <t>만3세 4 / 연령혼합반 15</t>
        </is>
      </c>
    </row>
    <row r="316">
      <c r="A316" s="5" t="inlineStr">
        <is>
          <t>거성유치원</t>
        </is>
      </c>
      <c r="B316" s="5" t="inlineStr">
        <is>
          <t>유치원</t>
        </is>
      </c>
      <c r="C316" s="5" t="inlineStr">
        <is>
          <t>사립(사인)</t>
        </is>
      </c>
      <c r="D316" s="5" t="inlineStr">
        <is>
          <t>연제구</t>
        </is>
      </c>
      <c r="E316" s="5" t="inlineStr">
        <is>
          <t>부산광역시 연제구 거제대로136번길 6</t>
        </is>
      </c>
      <c r="F316" s="5" t="inlineStr"/>
      <c r="G316" s="5" t="inlineStr">
        <is>
          <t>051-852-5697</t>
        </is>
      </c>
      <c r="H316" s="12">
        <f>유치원!N316</f>
        <v/>
      </c>
      <c r="I316" s="5" t="inlineStr">
        <is>
          <t>만5세 9 / 연령혼합반 10</t>
        </is>
      </c>
    </row>
    <row r="317">
      <c r="A317" s="5" t="inlineStr">
        <is>
          <t>거제초등학교병설유치원</t>
        </is>
      </c>
      <c r="B317" s="5" t="inlineStr">
        <is>
          <t>유치원</t>
        </is>
      </c>
      <c r="C317" s="5" t="inlineStr">
        <is>
          <t>공립(병설)</t>
        </is>
      </c>
      <c r="D317" s="5" t="inlineStr">
        <is>
          <t>연제구</t>
        </is>
      </c>
      <c r="E317" s="5" t="inlineStr">
        <is>
          <t>부산광역시 연제구 해맞이로 39</t>
        </is>
      </c>
      <c r="F317" s="11" t="inlineStr">
        <is>
          <t>https://school.busanedu.net/gue-je-k</t>
        </is>
      </c>
      <c r="G317" s="5" t="inlineStr">
        <is>
          <t>051-506-0374</t>
        </is>
      </c>
      <c r="H317" s="12">
        <f>유치원!N317</f>
        <v/>
      </c>
      <c r="I317" s="5" t="inlineStr">
        <is>
          <t>만3세 11 / 만4세 15 / 만5세 18</t>
        </is>
      </c>
    </row>
    <row r="318">
      <c r="A318" s="5" t="inlineStr">
        <is>
          <t>고은유치원</t>
        </is>
      </c>
      <c r="B318" s="5" t="inlineStr">
        <is>
          <t>유치원</t>
        </is>
      </c>
      <c r="C318" s="5" t="inlineStr">
        <is>
          <t>사립(사인)</t>
        </is>
      </c>
      <c r="D318" s="5" t="inlineStr">
        <is>
          <t>연제구</t>
        </is>
      </c>
      <c r="E318" s="5" t="inlineStr">
        <is>
          <t>부산광역시 연제구 여고로 126</t>
        </is>
      </c>
      <c r="F318" s="5" t="inlineStr"/>
      <c r="G318" s="5" t="inlineStr">
        <is>
          <t>051-502-9070</t>
        </is>
      </c>
      <c r="H318" s="12">
        <f>유치원!N318</f>
        <v/>
      </c>
      <c r="I318" s="5" t="inlineStr">
        <is>
          <t>만4세 48 / 만5세 52 / 연령혼합반 62</t>
        </is>
      </c>
    </row>
    <row r="319">
      <c r="A319" s="5" t="inlineStr">
        <is>
          <t>과정유치원</t>
        </is>
      </c>
      <c r="B319" s="5" t="inlineStr">
        <is>
          <t>유치원</t>
        </is>
      </c>
      <c r="C319" s="5" t="inlineStr">
        <is>
          <t>사립(사인)</t>
        </is>
      </c>
      <c r="D319" s="5" t="inlineStr">
        <is>
          <t>연제구</t>
        </is>
      </c>
      <c r="E319" s="5" t="inlineStr">
        <is>
          <t>부산광역시 연제구 좌수영로 291</t>
        </is>
      </c>
      <c r="F319" s="5" t="inlineStr"/>
      <c r="G319" s="5" t="inlineStr">
        <is>
          <t>051-758-0672</t>
        </is>
      </c>
      <c r="H319" s="12">
        <f>유치원!N319</f>
        <v/>
      </c>
      <c r="I319" s="5" t="inlineStr">
        <is>
          <t>만3세 18 / 만4세 13 / 만5세 13</t>
        </is>
      </c>
    </row>
    <row r="320">
      <c r="A320" s="5" t="inlineStr">
        <is>
          <t>글로잉유치원</t>
        </is>
      </c>
      <c r="B320" s="5" t="inlineStr">
        <is>
          <t>유치원</t>
        </is>
      </c>
      <c r="C320" s="5" t="inlineStr">
        <is>
          <t>사립(사인)</t>
        </is>
      </c>
      <c r="D320" s="5" t="inlineStr">
        <is>
          <t>연제구</t>
        </is>
      </c>
      <c r="E320" s="5" t="inlineStr">
        <is>
          <t>부산광역시 연제구 연동로14번길 33</t>
        </is>
      </c>
      <c r="F320" s="5" t="inlineStr"/>
      <c r="G320" s="5" t="inlineStr">
        <is>
          <t>051-852-0091</t>
        </is>
      </c>
      <c r="H320" s="12">
        <f>유치원!N320</f>
        <v/>
      </c>
      <c r="I320" s="5" t="inlineStr">
        <is>
          <t>만3세 31 / 만4세 36 / 만5세 45</t>
        </is>
      </c>
    </row>
    <row r="321">
      <c r="A321" s="5" t="inlineStr">
        <is>
          <t>동명초등학교병설유치원</t>
        </is>
      </c>
      <c r="B321" s="5" t="inlineStr">
        <is>
          <t>유치원</t>
        </is>
      </c>
      <c r="C321" s="5" t="inlineStr">
        <is>
          <t>공립(병설)</t>
        </is>
      </c>
      <c r="D321" s="5" t="inlineStr">
        <is>
          <t>연제구</t>
        </is>
      </c>
      <c r="E321" s="5" t="inlineStr">
        <is>
          <t>부산광역시 연제구 쌍미천로44번길 17</t>
        </is>
      </c>
      <c r="F321" s="5" t="inlineStr"/>
      <c r="G321" s="5" t="inlineStr">
        <is>
          <t>051-863-9604</t>
        </is>
      </c>
      <c r="H321" s="12">
        <f>유치원!N321</f>
        <v/>
      </c>
      <c r="I321" s="5" t="inlineStr"/>
    </row>
    <row r="322">
      <c r="A322" s="5" t="inlineStr">
        <is>
          <t>동성연천유치원</t>
        </is>
      </c>
      <c r="B322" s="5" t="inlineStr">
        <is>
          <t>유치원</t>
        </is>
      </c>
      <c r="C322" s="5" t="inlineStr">
        <is>
          <t>사립(사인)</t>
        </is>
      </c>
      <c r="D322" s="5" t="inlineStr">
        <is>
          <t>연제구</t>
        </is>
      </c>
      <c r="E322" s="5" t="inlineStr">
        <is>
          <t>부산광역시 연제구 고분로 200</t>
        </is>
      </c>
      <c r="F322" s="11" t="inlineStr">
        <is>
          <t>http://yc.kidspann.net</t>
        </is>
      </c>
      <c r="G322" s="5" t="inlineStr">
        <is>
          <t>051-758-1126</t>
        </is>
      </c>
      <c r="H322" s="12">
        <f>유치원!N322</f>
        <v/>
      </c>
      <c r="I322" s="5" t="inlineStr">
        <is>
          <t>만3세 27 / 만4세 40 / 만5세 50 / 연령혼합반 39</t>
        </is>
      </c>
    </row>
    <row r="323">
      <c r="A323" s="5" t="inlineStr">
        <is>
          <t>부산경상대학교부속유치원</t>
        </is>
      </c>
      <c r="B323" s="5" t="inlineStr">
        <is>
          <t>유치원</t>
        </is>
      </c>
      <c r="C323" s="5" t="inlineStr">
        <is>
          <t>사립(법인)</t>
        </is>
      </c>
      <c r="D323" s="5" t="inlineStr">
        <is>
          <t>연제구</t>
        </is>
      </c>
      <c r="E323" s="5" t="inlineStr">
        <is>
          <t>부산광역시 연제구 고분로 170</t>
        </is>
      </c>
      <c r="F323" s="11" t="inlineStr">
        <is>
          <t>https://school.busanedu.net/bsksk-k/main.do</t>
        </is>
      </c>
      <c r="G323" s="5" t="inlineStr">
        <is>
          <t>051-851-1693</t>
        </is>
      </c>
      <c r="H323" s="12">
        <f>유치원!N323</f>
        <v/>
      </c>
      <c r="I323" s="5" t="inlineStr">
        <is>
          <t>만3세 24 / 만4세 52 / 만5세 52</t>
        </is>
      </c>
    </row>
    <row r="324">
      <c r="A324" s="5" t="inlineStr">
        <is>
          <t>브니엘유치원</t>
        </is>
      </c>
      <c r="B324" s="5" t="inlineStr">
        <is>
          <t>유치원</t>
        </is>
      </c>
      <c r="C324" s="5" t="inlineStr">
        <is>
          <t>사립(사인)</t>
        </is>
      </c>
      <c r="D324" s="5" t="inlineStr">
        <is>
          <t>연제구</t>
        </is>
      </c>
      <c r="E324" s="5" t="inlineStr">
        <is>
          <t>부산광역시 연제구 중앙천로73번길 15</t>
        </is>
      </c>
      <c r="F324" s="5" t="inlineStr"/>
      <c r="G324" s="5" t="inlineStr">
        <is>
          <t>051-862-5753</t>
        </is>
      </c>
      <c r="H324" s="12">
        <f>유치원!N324</f>
        <v/>
      </c>
      <c r="I324" s="5" t="inlineStr">
        <is>
          <t>만3세 13 / 만4세 12 / 만5세 24</t>
        </is>
      </c>
    </row>
    <row r="325">
      <c r="A325" s="5" t="inlineStr">
        <is>
          <t>양지유치원</t>
        </is>
      </c>
      <c r="B325" s="5" t="inlineStr">
        <is>
          <t>유치원</t>
        </is>
      </c>
      <c r="C325" s="5" t="inlineStr">
        <is>
          <t>사립(사인)</t>
        </is>
      </c>
      <c r="D325" s="5" t="inlineStr">
        <is>
          <t>연제구</t>
        </is>
      </c>
      <c r="E325" s="5" t="inlineStr">
        <is>
          <t>부산광역시 연제구 쌍미천로30번길 53</t>
        </is>
      </c>
      <c r="F325" s="11" t="inlineStr">
        <is>
          <t>http://school.busanedu.net/yangji-k/main.do</t>
        </is>
      </c>
      <c r="G325" s="5" t="inlineStr">
        <is>
          <t>051-852-2139</t>
        </is>
      </c>
      <c r="H325" s="12">
        <f>유치원!N325</f>
        <v/>
      </c>
      <c r="I325" s="5" t="inlineStr">
        <is>
          <t>만3세 24 / 만4세 23 / 만5세 24</t>
        </is>
      </c>
    </row>
    <row r="326">
      <c r="A326" s="5" t="inlineStr">
        <is>
          <t>연동초등학교병설유치원</t>
        </is>
      </c>
      <c r="B326" s="5" t="inlineStr">
        <is>
          <t>유치원</t>
        </is>
      </c>
      <c r="C326" s="5" t="inlineStr">
        <is>
          <t>공립(병설)</t>
        </is>
      </c>
      <c r="D326" s="5" t="inlineStr">
        <is>
          <t>연제구</t>
        </is>
      </c>
      <c r="E326" s="5" t="inlineStr">
        <is>
          <t>부산광역시 연제구 고분로56번길 40</t>
        </is>
      </c>
      <c r="F326" s="5" t="inlineStr"/>
      <c r="G326" s="5" t="inlineStr">
        <is>
          <t>051-715-8806</t>
        </is>
      </c>
      <c r="H326" s="12">
        <f>유치원!N326</f>
        <v/>
      </c>
      <c r="I326" s="5" t="inlineStr">
        <is>
          <t>만3세 8 / 만4세 15 / 만5세 17 / 특수학급 4</t>
        </is>
      </c>
    </row>
    <row r="327">
      <c r="A327" s="5" t="inlineStr">
        <is>
          <t>연산유치원</t>
        </is>
      </c>
      <c r="B327" s="5" t="inlineStr">
        <is>
          <t>유치원</t>
        </is>
      </c>
      <c r="C327" s="5" t="inlineStr">
        <is>
          <t>공립(단설)</t>
        </is>
      </c>
      <c r="D327" s="5" t="inlineStr">
        <is>
          <t>연제구</t>
        </is>
      </c>
      <c r="E327" s="5" t="inlineStr">
        <is>
          <t>부산광역시 연제구 월드컵대로 41</t>
        </is>
      </c>
      <c r="F327" s="11" t="inlineStr">
        <is>
          <t>http://school.busanedu.net/yonsan-k/main.do</t>
        </is>
      </c>
      <c r="G327" s="5" t="inlineStr">
        <is>
          <t>051-867-8504</t>
        </is>
      </c>
      <c r="H327" s="12">
        <f>유치원!N327</f>
        <v/>
      </c>
      <c r="I327" s="5" t="inlineStr">
        <is>
          <t>만3세 14 / 만4세 37 / 만5세 38 / 특수학급 4</t>
        </is>
      </c>
    </row>
    <row r="328">
      <c r="A328" s="5" t="inlineStr">
        <is>
          <t>연제초등학교병설유치원</t>
        </is>
      </c>
      <c r="B328" s="5" t="inlineStr">
        <is>
          <t>유치원</t>
        </is>
      </c>
      <c r="C328" s="5" t="inlineStr">
        <is>
          <t>공립(병설)</t>
        </is>
      </c>
      <c r="D328" s="5" t="inlineStr">
        <is>
          <t>연제구</t>
        </is>
      </c>
      <c r="E328" s="5" t="inlineStr">
        <is>
          <t>부산광역시 연제구 중앙대로1065번길 14</t>
        </is>
      </c>
      <c r="F328" s="11" t="inlineStr">
        <is>
          <t>https://school.busanedu.net/yeonje-k/main.do</t>
        </is>
      </c>
      <c r="G328" s="5" t="inlineStr">
        <is>
          <t>051-790-7680</t>
        </is>
      </c>
      <c r="H328" s="12">
        <f>유치원!N328</f>
        <v/>
      </c>
      <c r="I328" s="5" t="inlineStr">
        <is>
          <t>만3세 11 / 만4세 16 / 만5세 9 / 특수학급 3</t>
        </is>
      </c>
    </row>
    <row r="329">
      <c r="A329" s="5" t="inlineStr">
        <is>
          <t>연천초등학교병설유치원</t>
        </is>
      </c>
      <c r="B329" s="5" t="inlineStr">
        <is>
          <t>유치원</t>
        </is>
      </c>
      <c r="C329" s="5" t="inlineStr">
        <is>
          <t>공립(병설)</t>
        </is>
      </c>
      <c r="D329" s="5" t="inlineStr">
        <is>
          <t>연제구</t>
        </is>
      </c>
      <c r="E329" s="5" t="inlineStr">
        <is>
          <t>부산광역시 연제구 과정로225번길 46</t>
        </is>
      </c>
      <c r="F329" s="11" t="inlineStr">
        <is>
          <t>https://school.busanedu.net/yonchon-k/main.do</t>
        </is>
      </c>
      <c r="G329" s="5" t="inlineStr">
        <is>
          <t>051-850-1831</t>
        </is>
      </c>
      <c r="H329" s="12">
        <f>유치원!N329</f>
        <v/>
      </c>
      <c r="I329" s="5" t="inlineStr">
        <is>
          <t>만3세 6 / 만4세 11 / 만5세 16</t>
        </is>
      </c>
    </row>
    <row r="330">
      <c r="A330" s="5" t="inlineStr">
        <is>
          <t>이화유치원</t>
        </is>
      </c>
      <c r="B330" s="5" t="inlineStr">
        <is>
          <t>유치원</t>
        </is>
      </c>
      <c r="C330" s="5" t="inlineStr">
        <is>
          <t>사립(사인)</t>
        </is>
      </c>
      <c r="D330" s="5" t="inlineStr">
        <is>
          <t>연제구</t>
        </is>
      </c>
      <c r="E330" s="5" t="inlineStr">
        <is>
          <t>부산광역시 연제구 과정로93번길 32</t>
        </is>
      </c>
      <c r="F330" s="5" t="inlineStr"/>
      <c r="G330" s="5" t="inlineStr">
        <is>
          <t>051-759-7737</t>
        </is>
      </c>
      <c r="H330" s="12">
        <f>유치원!N330</f>
        <v/>
      </c>
      <c r="I330" s="5" t="inlineStr">
        <is>
          <t>연령혼합반 133</t>
        </is>
      </c>
    </row>
    <row r="331">
      <c r="A331" s="5" t="inlineStr">
        <is>
          <t>창신초등학교병설유치원</t>
        </is>
      </c>
      <c r="B331" s="5" t="inlineStr">
        <is>
          <t>유치원</t>
        </is>
      </c>
      <c r="C331" s="5" t="inlineStr">
        <is>
          <t>공립(병설)</t>
        </is>
      </c>
      <c r="D331" s="5" t="inlineStr">
        <is>
          <t>연제구</t>
        </is>
      </c>
      <c r="E331" s="5" t="inlineStr">
        <is>
          <t>부산광역시 연제구 종합운동장로12번길 15</t>
        </is>
      </c>
      <c r="F331" s="11" t="inlineStr">
        <is>
          <t>http://school.busanedu.net/changshin-k/main.do</t>
        </is>
      </c>
      <c r="G331" s="5" t="inlineStr">
        <is>
          <t>051-500-0648</t>
        </is>
      </c>
      <c r="H331" s="12">
        <f>유치원!N331</f>
        <v/>
      </c>
      <c r="I331" s="5" t="inlineStr">
        <is>
          <t>만3세 8 / 만4세 14 / 만5세 20</t>
        </is>
      </c>
    </row>
    <row r="332">
      <c r="A332" s="5" t="inlineStr">
        <is>
          <t>토현유치원</t>
        </is>
      </c>
      <c r="B332" s="5" t="inlineStr">
        <is>
          <t>유치원</t>
        </is>
      </c>
      <c r="C332" s="5" t="inlineStr">
        <is>
          <t>사립(사인)</t>
        </is>
      </c>
      <c r="D332" s="5" t="inlineStr">
        <is>
          <t>연제구</t>
        </is>
      </c>
      <c r="E332" s="5" t="inlineStr">
        <is>
          <t>부산광역시 연제구 토현로 32</t>
        </is>
      </c>
      <c r="F332" s="5" t="inlineStr"/>
      <c r="G332" s="5" t="inlineStr">
        <is>
          <t>051-751-3456</t>
        </is>
      </c>
      <c r="H332" s="12">
        <f>유치원!N332</f>
        <v/>
      </c>
      <c r="I332" s="5" t="inlineStr">
        <is>
          <t>만3세 32 / 만4세 72 / 만5세 68</t>
        </is>
      </c>
    </row>
    <row r="333">
      <c r="A333" s="5" t="inlineStr">
        <is>
          <t>꿈나무유치원</t>
        </is>
      </c>
      <c r="B333" s="5" t="inlineStr">
        <is>
          <t>유치원</t>
        </is>
      </c>
      <c r="C333" s="5" t="inlineStr">
        <is>
          <t>사립(사인)</t>
        </is>
      </c>
      <c r="D333" s="5" t="inlineStr">
        <is>
          <t>영도구</t>
        </is>
      </c>
      <c r="E333" s="5" t="inlineStr">
        <is>
          <t>부산광역시 영도구 남항새싹길 81</t>
        </is>
      </c>
      <c r="F333" s="11" t="inlineStr">
        <is>
          <t>http://cafe.daum.net/dream--tree</t>
        </is>
      </c>
      <c r="G333" s="5" t="inlineStr">
        <is>
          <t>051-417-4111</t>
        </is>
      </c>
      <c r="H333" s="12">
        <f>유치원!N333</f>
        <v/>
      </c>
      <c r="I333" s="5" t="inlineStr">
        <is>
          <t>만4세 9 / 만5세 9</t>
        </is>
      </c>
    </row>
    <row r="334">
      <c r="A334" s="5" t="inlineStr">
        <is>
          <t>복자유치원</t>
        </is>
      </c>
      <c r="B334" s="5" t="inlineStr">
        <is>
          <t>유치원</t>
        </is>
      </c>
      <c r="C334" s="5" t="inlineStr">
        <is>
          <t>사립(법인)</t>
        </is>
      </c>
      <c r="D334" s="5" t="inlineStr">
        <is>
          <t>영도구</t>
        </is>
      </c>
      <c r="E334" s="5" t="inlineStr">
        <is>
          <t>부산광역시 영도구 태종로 340</t>
        </is>
      </c>
      <c r="F334" s="11" t="inlineStr">
        <is>
          <t>http://school.busanedu.net/bokja-k</t>
        </is>
      </c>
      <c r="G334" s="5" t="inlineStr">
        <is>
          <t>051-416-4208</t>
        </is>
      </c>
      <c r="H334" s="12">
        <f>유치원!N334</f>
        <v/>
      </c>
      <c r="I334" s="5" t="inlineStr">
        <is>
          <t>만3세 8 / 만4세 23 / 만5세 20</t>
        </is>
      </c>
    </row>
    <row r="335">
      <c r="A335" s="5" t="inlineStr">
        <is>
          <t>봉학초등학교병설유치원</t>
        </is>
      </c>
      <c r="B335" s="5" t="inlineStr">
        <is>
          <t>유치원</t>
        </is>
      </c>
      <c r="C335" s="5" t="inlineStr">
        <is>
          <t>공립(병설)</t>
        </is>
      </c>
      <c r="D335" s="5" t="inlineStr">
        <is>
          <t>영도구</t>
        </is>
      </c>
      <c r="E335" s="5" t="inlineStr">
        <is>
          <t>부산광역시 영도구 태종로 242</t>
        </is>
      </c>
      <c r="F335" s="11" t="inlineStr">
        <is>
          <t>http://school.busanedu.net/bonghak-k</t>
        </is>
      </c>
      <c r="G335" s="5" t="inlineStr">
        <is>
          <t>051-413-6255</t>
        </is>
      </c>
      <c r="H335" s="12">
        <f>유치원!N335</f>
        <v/>
      </c>
      <c r="I335" s="5" t="inlineStr">
        <is>
          <t>만5세 6 / 연령혼합반 8</t>
        </is>
      </c>
    </row>
    <row r="336">
      <c r="A336" s="5" t="inlineStr">
        <is>
          <t>선암사유치원</t>
        </is>
      </c>
      <c r="B336" s="5" t="inlineStr">
        <is>
          <t>유치원</t>
        </is>
      </c>
      <c r="C336" s="5" t="inlineStr">
        <is>
          <t>사립(사인)</t>
        </is>
      </c>
      <c r="D336" s="5" t="inlineStr">
        <is>
          <t>영도구</t>
        </is>
      </c>
      <c r="E336" s="5" t="inlineStr">
        <is>
          <t>부산광역시 영도구 본산로 37</t>
        </is>
      </c>
      <c r="F336" s="11" t="inlineStr">
        <is>
          <t>http://school.busanedu.net/sunamsa-k/main.do</t>
        </is>
      </c>
      <c r="G336" s="5" t="inlineStr">
        <is>
          <t>051-405-5525</t>
        </is>
      </c>
      <c r="H336" s="12">
        <f>유치원!N336</f>
        <v/>
      </c>
      <c r="I336" s="5" t="inlineStr"/>
    </row>
    <row r="337">
      <c r="A337" s="5" t="inlineStr">
        <is>
          <t>영도중앙유치원</t>
        </is>
      </c>
      <c r="B337" s="5" t="inlineStr">
        <is>
          <t>유치원</t>
        </is>
      </c>
      <c r="C337" s="5" t="inlineStr">
        <is>
          <t>사립(사인)</t>
        </is>
      </c>
      <c r="D337" s="5" t="inlineStr">
        <is>
          <t>영도구</t>
        </is>
      </c>
      <c r="E337" s="5" t="inlineStr">
        <is>
          <t>부산광역시 영도구 하나길 760</t>
        </is>
      </c>
      <c r="F337" s="11" t="inlineStr">
        <is>
          <t>http://school.busanedu.net/yeongdojungang-k</t>
        </is>
      </c>
      <c r="G337" s="5" t="inlineStr">
        <is>
          <t>051-418-7144</t>
        </is>
      </c>
      <c r="H337" s="12">
        <f>유치원!N337</f>
        <v/>
      </c>
      <c r="I337" s="5" t="inlineStr">
        <is>
          <t>만3세 6 / 만4세 8 / 만5세 10</t>
        </is>
      </c>
    </row>
    <row r="338">
      <c r="A338" s="5" t="inlineStr">
        <is>
          <t>영일유치원</t>
        </is>
      </c>
      <c r="B338" s="5" t="inlineStr">
        <is>
          <t>유치원</t>
        </is>
      </c>
      <c r="C338" s="5" t="inlineStr">
        <is>
          <t>공립(단설)</t>
        </is>
      </c>
      <c r="D338" s="5" t="inlineStr">
        <is>
          <t>영도구</t>
        </is>
      </c>
      <c r="E338" s="5" t="inlineStr">
        <is>
          <t>부산광역시 영도구 꿈나무길 41</t>
        </is>
      </c>
      <c r="F338" s="11" t="inlineStr">
        <is>
          <t>http://school.busanedu.net/ylschool-k</t>
        </is>
      </c>
      <c r="G338" s="5" t="inlineStr">
        <is>
          <t>051-415-0679</t>
        </is>
      </c>
      <c r="H338" s="12">
        <f>유치원!N338</f>
        <v/>
      </c>
      <c r="I338" s="5" t="inlineStr">
        <is>
          <t>만3세 28 / 만4세 36 / 만5세 31 / 특수학급 4</t>
        </is>
      </c>
    </row>
    <row r="339">
      <c r="A339" s="5" t="inlineStr">
        <is>
          <t>자비유치원</t>
        </is>
      </c>
      <c r="B339" s="5" t="inlineStr">
        <is>
          <t>유치원</t>
        </is>
      </c>
      <c r="C339" s="5" t="inlineStr">
        <is>
          <t>사립(사인)</t>
        </is>
      </c>
      <c r="D339" s="5" t="inlineStr">
        <is>
          <t>영도구</t>
        </is>
      </c>
      <c r="E339" s="5" t="inlineStr">
        <is>
          <t>부산광역시 영도구 일산봉로 49</t>
        </is>
      </c>
      <c r="F339" s="5" t="inlineStr"/>
      <c r="G339" s="5" t="inlineStr">
        <is>
          <t>051-412-0011</t>
        </is>
      </c>
      <c r="H339" s="12">
        <f>유치원!N339</f>
        <v/>
      </c>
      <c r="I339" s="5" t="inlineStr">
        <is>
          <t>만3세 20 / 만4세 17 / 만5세 15</t>
        </is>
      </c>
    </row>
    <row r="340">
      <c r="A340" s="5" t="inlineStr">
        <is>
          <t>조아라유치원</t>
        </is>
      </c>
      <c r="B340" s="5" t="inlineStr">
        <is>
          <t>유치원</t>
        </is>
      </c>
      <c r="C340" s="5" t="inlineStr">
        <is>
          <t>사립(사인)</t>
        </is>
      </c>
      <c r="D340" s="5" t="inlineStr">
        <is>
          <t>영도구</t>
        </is>
      </c>
      <c r="E340" s="5" t="inlineStr">
        <is>
          <t>부산광역시 영도구 와치로 235</t>
        </is>
      </c>
      <c r="F340" s="11" t="inlineStr">
        <is>
          <t>http://cafe.naver.com/jir6001</t>
        </is>
      </c>
      <c r="G340" s="5" t="inlineStr">
        <is>
          <t>051-405-6001</t>
        </is>
      </c>
      <c r="H340" s="12">
        <f>유치원!N340</f>
        <v/>
      </c>
      <c r="I340" s="5" t="inlineStr"/>
    </row>
    <row r="341">
      <c r="A341" s="5" t="inlineStr">
        <is>
          <t>초롱유치원</t>
        </is>
      </c>
      <c r="B341" s="5" t="inlineStr">
        <is>
          <t>유치원</t>
        </is>
      </c>
      <c r="C341" s="5" t="inlineStr">
        <is>
          <t>사립(사인)</t>
        </is>
      </c>
      <c r="D341" s="5" t="inlineStr">
        <is>
          <t>영도구</t>
        </is>
      </c>
      <c r="E341" s="5" t="inlineStr">
        <is>
          <t>부산광역시 영도구 절영로 494</t>
        </is>
      </c>
      <c r="F341" s="5" t="inlineStr"/>
      <c r="G341" s="5" t="inlineStr">
        <is>
          <t>051-405-3321</t>
        </is>
      </c>
      <c r="H341" s="12">
        <f>유치원!N341</f>
        <v/>
      </c>
      <c r="I341" s="5" t="inlineStr"/>
    </row>
    <row r="342">
      <c r="A342" s="5" t="inlineStr">
        <is>
          <t>태종대초등학교병설유치원</t>
        </is>
      </c>
      <c r="B342" s="5" t="inlineStr">
        <is>
          <t>유치원</t>
        </is>
      </c>
      <c r="C342" s="5" t="inlineStr">
        <is>
          <t>공립(병설)</t>
        </is>
      </c>
      <c r="D342" s="5" t="inlineStr">
        <is>
          <t>영도구</t>
        </is>
      </c>
      <c r="E342" s="5" t="inlineStr">
        <is>
          <t>부산광역시 영도구 태종로802번길 38</t>
        </is>
      </c>
      <c r="F342" s="11" t="inlineStr">
        <is>
          <t>http://school.busanedu.net/taejongdae-k</t>
        </is>
      </c>
      <c r="G342" s="5" t="inlineStr">
        <is>
          <t>051-400-2150</t>
        </is>
      </c>
      <c r="H342" s="12">
        <f>유치원!N342</f>
        <v/>
      </c>
      <c r="I342" s="5" t="inlineStr">
        <is>
          <t>만5세 9 / 연령혼합반 17</t>
        </is>
      </c>
    </row>
    <row r="343">
      <c r="A343" s="5" t="inlineStr">
        <is>
          <t>한마음유치원</t>
        </is>
      </c>
      <c r="B343" s="5" t="inlineStr">
        <is>
          <t>유치원</t>
        </is>
      </c>
      <c r="C343" s="5" t="inlineStr">
        <is>
          <t>사립(법인)</t>
        </is>
      </c>
      <c r="D343" s="5" t="inlineStr">
        <is>
          <t>영도구</t>
        </is>
      </c>
      <c r="E343" s="5" t="inlineStr">
        <is>
          <t>부산광역시 영도구 함지로79번길 23-26</t>
        </is>
      </c>
      <c r="F343" s="11" t="inlineStr">
        <is>
          <t>http://www.한마음유치원.kr</t>
        </is>
      </c>
      <c r="G343" s="5" t="inlineStr">
        <is>
          <t>051-403-6701</t>
        </is>
      </c>
      <c r="H343" s="12">
        <f>유치원!N343</f>
        <v/>
      </c>
      <c r="I343" s="5" t="inlineStr">
        <is>
          <t>만3세 41 / 만4세 48 / 만5세 40</t>
        </is>
      </c>
    </row>
    <row r="344">
      <c r="A344" s="5" t="inlineStr">
        <is>
          <t>광일초등학교병설유치원</t>
        </is>
      </c>
      <c r="B344" s="5" t="inlineStr">
        <is>
          <t>유치원</t>
        </is>
      </c>
      <c r="C344" s="5" t="inlineStr">
        <is>
          <t>공립(병설)</t>
        </is>
      </c>
      <c r="D344" s="5" t="inlineStr">
        <is>
          <t>중구</t>
        </is>
      </c>
      <c r="E344" s="5" t="inlineStr">
        <is>
          <t>부산광역시 중구 중구로 74</t>
        </is>
      </c>
      <c r="F344" s="11" t="inlineStr">
        <is>
          <t>http://school.busanedu.net/gwangil-k/main.do</t>
        </is>
      </c>
      <c r="G344" s="5" t="inlineStr">
        <is>
          <t>051-603-5180</t>
        </is>
      </c>
      <c r="H344" s="12">
        <f>유치원!N344</f>
        <v/>
      </c>
      <c r="I344" s="5" t="inlineStr">
        <is>
          <t>연령혼합반 7</t>
        </is>
      </c>
    </row>
    <row r="345">
      <c r="A345" s="5" t="inlineStr">
        <is>
          <t>봉래초등학교병설유치원</t>
        </is>
      </c>
      <c r="B345" s="5" t="inlineStr">
        <is>
          <t>유치원</t>
        </is>
      </c>
      <c r="C345" s="5" t="inlineStr">
        <is>
          <t>공립(병설)</t>
        </is>
      </c>
      <c r="D345" s="5" t="inlineStr">
        <is>
          <t>중구</t>
        </is>
      </c>
      <c r="E345" s="5" t="inlineStr">
        <is>
          <t>부산광역시 중구 대영로226번길 15</t>
        </is>
      </c>
      <c r="F345" s="11" t="inlineStr">
        <is>
          <t>http://school.busanedu.net/pusanbongraek-k/main.do</t>
        </is>
      </c>
      <c r="G345" s="5" t="inlineStr">
        <is>
          <t>051-719-1591</t>
        </is>
      </c>
      <c r="H345" s="12">
        <f>유치원!N345</f>
        <v/>
      </c>
      <c r="I345" s="5" t="inlineStr">
        <is>
          <t>연령혼합반 6</t>
        </is>
      </c>
    </row>
    <row r="346">
      <c r="A346" s="5" t="inlineStr">
        <is>
          <t>숲속리더유치원</t>
        </is>
      </c>
      <c r="B346" s="5" t="inlineStr">
        <is>
          <t>유치원</t>
        </is>
      </c>
      <c r="C346" s="5" t="inlineStr">
        <is>
          <t>사립(사인)</t>
        </is>
      </c>
      <c r="D346" s="5" t="inlineStr">
        <is>
          <t>중구</t>
        </is>
      </c>
      <c r="E346" s="5" t="inlineStr">
        <is>
          <t>부산광역시 중구 책방골목길 17-12</t>
        </is>
      </c>
      <c r="F346" s="5" t="inlineStr"/>
      <c r="G346" s="5" t="inlineStr">
        <is>
          <t>051-257-1843</t>
        </is>
      </c>
      <c r="H346" s="12">
        <f>유치원!N346</f>
        <v/>
      </c>
      <c r="I346" s="5" t="inlineStr">
        <is>
          <t>만3세 11 / 연령혼합반 39</t>
        </is>
      </c>
    </row>
    <row r="347">
      <c r="A347" s="5" t="inlineStr">
        <is>
          <t>강동유치원</t>
        </is>
      </c>
      <c r="B347" s="5" t="inlineStr">
        <is>
          <t>유치원</t>
        </is>
      </c>
      <c r="C347" s="5" t="inlineStr">
        <is>
          <t>공립(단설)</t>
        </is>
      </c>
      <c r="D347" s="5" t="inlineStr">
        <is>
          <t>해운대구</t>
        </is>
      </c>
      <c r="E347" s="5" t="inlineStr">
        <is>
          <t>부산광역시 해운대구 해운대로349번길 10</t>
        </is>
      </c>
      <c r="F347" s="11" t="inlineStr">
        <is>
          <t>http://school.busanedu.net/gangdong-k</t>
        </is>
      </c>
      <c r="G347" s="5" t="inlineStr">
        <is>
          <t>051-746-8915</t>
        </is>
      </c>
      <c r="H347" s="12">
        <f>유치원!N347</f>
        <v/>
      </c>
      <c r="I347" s="5" t="inlineStr">
        <is>
          <t>만3세 28 / 만4세 35 / 만5세 52 / 특수학급 5</t>
        </is>
      </c>
    </row>
    <row r="348">
      <c r="A348" s="5" t="inlineStr">
        <is>
          <t>고은유치원</t>
        </is>
      </c>
      <c r="B348" s="5" t="inlineStr">
        <is>
          <t>유치원</t>
        </is>
      </c>
      <c r="C348" s="5" t="inlineStr">
        <is>
          <t>사립(사인)</t>
        </is>
      </c>
      <c r="D348" s="5" t="inlineStr">
        <is>
          <t>해운대구</t>
        </is>
      </c>
      <c r="E348" s="5" t="inlineStr">
        <is>
          <t>부산광역시 해운대구 대천로 225</t>
        </is>
      </c>
      <c r="F348" s="11" t="inlineStr">
        <is>
          <t>http://school.busanedu.net/goeun-k</t>
        </is>
      </c>
      <c r="G348" s="5" t="inlineStr">
        <is>
          <t>051-701-7111</t>
        </is>
      </c>
      <c r="H348" s="12">
        <f>유치원!N348</f>
        <v/>
      </c>
      <c r="I348" s="5" t="inlineStr"/>
    </row>
    <row r="349">
      <c r="A349" s="5" t="inlineStr">
        <is>
          <t>대동유치원</t>
        </is>
      </c>
      <c r="B349" s="5" t="inlineStr">
        <is>
          <t>유치원</t>
        </is>
      </c>
      <c r="C349" s="5" t="inlineStr">
        <is>
          <t>사립(사인)</t>
        </is>
      </c>
      <c r="D349" s="5" t="inlineStr">
        <is>
          <t>해운대구</t>
        </is>
      </c>
      <c r="E349" s="5" t="inlineStr">
        <is>
          <t>부산광역시 해운대구 대천로103번길 29</t>
        </is>
      </c>
      <c r="F349" s="11" t="inlineStr">
        <is>
          <t>http://school.busanedu.net/Dae-Dong-k/main.do</t>
        </is>
      </c>
      <c r="G349" s="5" t="inlineStr">
        <is>
          <t>051-701-6030</t>
        </is>
      </c>
      <c r="H349" s="12">
        <f>유치원!N349</f>
        <v/>
      </c>
      <c r="I349" s="5" t="inlineStr">
        <is>
          <t>만3세 48 / 만4세 52 / 만5세 51</t>
        </is>
      </c>
    </row>
    <row r="350">
      <c r="A350" s="5" t="inlineStr">
        <is>
          <t>대림유치원</t>
        </is>
      </c>
      <c r="B350" s="5" t="inlineStr">
        <is>
          <t>유치원</t>
        </is>
      </c>
      <c r="C350" s="5" t="inlineStr">
        <is>
          <t>사립(사인)</t>
        </is>
      </c>
      <c r="D350" s="5" t="inlineStr">
        <is>
          <t>해운대구</t>
        </is>
      </c>
      <c r="E350" s="5" t="inlineStr">
        <is>
          <t>부산광역시 해운대구 대천로103번길 47</t>
        </is>
      </c>
      <c r="F350" s="11" t="inlineStr">
        <is>
          <t>http://school.busanedu.net/daelimlove-k</t>
        </is>
      </c>
      <c r="G350" s="5" t="inlineStr">
        <is>
          <t>051-701-9803</t>
        </is>
      </c>
      <c r="H350" s="12">
        <f>유치원!N350</f>
        <v/>
      </c>
      <c r="I350" s="5" t="inlineStr">
        <is>
          <t>만4세 43 / 만5세 50 / 연령혼합반 42</t>
        </is>
      </c>
    </row>
    <row r="351">
      <c r="A351" s="5" t="inlineStr">
        <is>
          <t>대우사랑유치원</t>
        </is>
      </c>
      <c r="B351" s="5" t="inlineStr">
        <is>
          <t>유치원</t>
        </is>
      </c>
      <c r="C351" s="5" t="inlineStr">
        <is>
          <t>사립(사인)</t>
        </is>
      </c>
      <c r="D351" s="5" t="inlineStr">
        <is>
          <t>해운대구</t>
        </is>
      </c>
      <c r="E351" s="5" t="inlineStr">
        <is>
          <t>부산광역시 해운대구 좌동순환로 275</t>
        </is>
      </c>
      <c r="F351" s="5" t="inlineStr"/>
      <c r="G351" s="5" t="inlineStr">
        <is>
          <t>051-703-3435</t>
        </is>
      </c>
      <c r="H351" s="12">
        <f>유치원!N351</f>
        <v/>
      </c>
      <c r="I351" s="5" t="inlineStr">
        <is>
          <t>만4세 46 / 만5세 50 / 연령혼합반 42</t>
        </is>
      </c>
    </row>
    <row r="352">
      <c r="A352" s="5" t="inlineStr">
        <is>
          <t>더푸른유치원</t>
        </is>
      </c>
      <c r="B352" s="5" t="inlineStr">
        <is>
          <t>유치원</t>
        </is>
      </c>
      <c r="C352" s="5" t="inlineStr">
        <is>
          <t>사립(사인)</t>
        </is>
      </c>
      <c r="D352" s="5" t="inlineStr">
        <is>
          <t>해운대구</t>
        </is>
      </c>
      <c r="E352" s="5" t="inlineStr">
        <is>
          <t>부산광역시 해운대구 좌동순환로433번길 30-3</t>
        </is>
      </c>
      <c r="F352" s="11" t="inlineStr">
        <is>
          <t>https://school.busanedu.net/thepurun-k</t>
        </is>
      </c>
      <c r="G352" s="5" t="inlineStr">
        <is>
          <t>051-747-7971</t>
        </is>
      </c>
      <c r="H352" s="12">
        <f>유치원!N352</f>
        <v/>
      </c>
      <c r="I352" s="5" t="inlineStr">
        <is>
          <t>만3세 48 / 연령혼합반 139</t>
        </is>
      </c>
    </row>
    <row r="353">
      <c r="A353" s="5" t="inlineStr">
        <is>
          <t>동부산대학교부속유치원</t>
        </is>
      </c>
      <c r="B353" s="5" t="inlineStr">
        <is>
          <t>유치원</t>
        </is>
      </c>
      <c r="C353" s="5" t="inlineStr">
        <is>
          <t>사립(법인)</t>
        </is>
      </c>
      <c r="D353" s="5" t="inlineStr">
        <is>
          <t>해운대구</t>
        </is>
      </c>
      <c r="E353" s="5" t="inlineStr">
        <is>
          <t>부산광역시 해운대구 운봉길 60</t>
        </is>
      </c>
      <c r="F353" s="11" t="inlineStr">
        <is>
          <t>https://school.busanedu.net/dpckinder-k</t>
        </is>
      </c>
      <c r="G353" s="5" t="inlineStr">
        <is>
          <t>051-714-0177</t>
        </is>
      </c>
      <c r="H353" s="12">
        <f>유치원!N353</f>
        <v/>
      </c>
      <c r="I353" s="5" t="inlineStr">
        <is>
          <t>연령혼합반 7</t>
        </is>
      </c>
    </row>
    <row r="354">
      <c r="A354" s="5" t="inlineStr">
        <is>
          <t>동성제일유치원</t>
        </is>
      </c>
      <c r="B354" s="5" t="inlineStr">
        <is>
          <t>유치원</t>
        </is>
      </c>
      <c r="C354" s="5" t="inlineStr">
        <is>
          <t>사립(법인)</t>
        </is>
      </c>
      <c r="D354" s="5" t="inlineStr">
        <is>
          <t>해운대구</t>
        </is>
      </c>
      <c r="E354" s="5" t="inlineStr">
        <is>
          <t>부산광역시 해운대구 해운대로349번길 24</t>
        </is>
      </c>
      <c r="F354" s="11" t="inlineStr">
        <is>
          <t>http://school.busanedu.net/dongsung-k</t>
        </is>
      </c>
      <c r="G354" s="5" t="inlineStr">
        <is>
          <t>051-742-7201</t>
        </is>
      </c>
      <c r="H354" s="12">
        <f>유치원!N354</f>
        <v/>
      </c>
      <c r="I354" s="5" t="inlineStr"/>
    </row>
    <row r="355">
      <c r="A355" s="5" t="inlineStr">
        <is>
          <t>마리나유치원</t>
        </is>
      </c>
      <c r="B355" s="5" t="inlineStr">
        <is>
          <t>유치원</t>
        </is>
      </c>
      <c r="C355" s="5" t="inlineStr">
        <is>
          <t>사립(사인)</t>
        </is>
      </c>
      <c r="D355" s="5" t="inlineStr">
        <is>
          <t>해운대구</t>
        </is>
      </c>
      <c r="E355" s="5" t="inlineStr">
        <is>
          <t>부산광역시 해운대구 해운대해변로 139</t>
        </is>
      </c>
      <c r="F355" s="11" t="inlineStr">
        <is>
          <t>http://school.busanedu.net/marina-k</t>
        </is>
      </c>
      <c r="G355" s="5" t="inlineStr">
        <is>
          <t>051-742-0115</t>
        </is>
      </c>
      <c r="H355" s="12">
        <f>유치원!N355</f>
        <v/>
      </c>
      <c r="I355" s="5" t="inlineStr">
        <is>
          <t>만3세 60 / 만4세 50 / 만5세 47</t>
        </is>
      </c>
    </row>
    <row r="356">
      <c r="A356" s="5" t="inlineStr">
        <is>
          <t>반산초등학교병설유치원</t>
        </is>
      </c>
      <c r="B356" s="5" t="inlineStr">
        <is>
          <t>유치원</t>
        </is>
      </c>
      <c r="C356" s="5" t="inlineStr">
        <is>
          <t>공립(병설)</t>
        </is>
      </c>
      <c r="D356" s="5" t="inlineStr">
        <is>
          <t>해운대구</t>
        </is>
      </c>
      <c r="E356" s="5" t="inlineStr">
        <is>
          <t>부산광역시 해운대구 재반로 171</t>
        </is>
      </c>
      <c r="F356" s="11" t="inlineStr">
        <is>
          <t>http://www.bansan.es.kr</t>
        </is>
      </c>
      <c r="G356" s="5" t="inlineStr">
        <is>
          <t>051-780-2015</t>
        </is>
      </c>
      <c r="H356" s="12">
        <f>유치원!N356</f>
        <v/>
      </c>
      <c r="I356" s="5" t="inlineStr">
        <is>
          <t>연령혼합반 5</t>
        </is>
      </c>
    </row>
    <row r="357">
      <c r="A357" s="5" t="inlineStr">
        <is>
          <t>반여초등학교병설유치원</t>
        </is>
      </c>
      <c r="B357" s="5" t="inlineStr">
        <is>
          <t>유치원</t>
        </is>
      </c>
      <c r="C357" s="5" t="inlineStr">
        <is>
          <t>공립(병설)</t>
        </is>
      </c>
      <c r="D357" s="5" t="inlineStr">
        <is>
          <t>해운대구</t>
        </is>
      </c>
      <c r="E357" s="5" t="inlineStr">
        <is>
          <t>부산광역시 해운대구 재반로 301</t>
        </is>
      </c>
      <c r="F357" s="11" t="inlineStr">
        <is>
          <t>http://school.busanedu.net/banyeo-k</t>
        </is>
      </c>
      <c r="G357" s="5" t="inlineStr">
        <is>
          <t>051-783-3063</t>
        </is>
      </c>
      <c r="H357" s="12">
        <f>유치원!N357</f>
        <v/>
      </c>
      <c r="I357" s="5" t="inlineStr">
        <is>
          <t>만3세 14 / 만4세 17 / 만5세 17 / 특수학급 2</t>
        </is>
      </c>
    </row>
    <row r="358">
      <c r="A358" s="5" t="inlineStr">
        <is>
          <t>버드내유치원</t>
        </is>
      </c>
      <c r="B358" s="5" t="inlineStr">
        <is>
          <t>유치원</t>
        </is>
      </c>
      <c r="C358" s="5" t="inlineStr">
        <is>
          <t>사립(사인)</t>
        </is>
      </c>
      <c r="D358" s="5" t="inlineStr">
        <is>
          <t>해운대구</t>
        </is>
      </c>
      <c r="E358" s="5" t="inlineStr">
        <is>
          <t>부산광역시 해운대구 우동2로 40-5</t>
        </is>
      </c>
      <c r="F358" s="11" t="inlineStr">
        <is>
          <t>http://school.busanedu.net/beodnae-k</t>
        </is>
      </c>
      <c r="G358" s="5" t="inlineStr">
        <is>
          <t>0517437388</t>
        </is>
      </c>
      <c r="H358" s="12">
        <f>유치원!N358</f>
        <v/>
      </c>
      <c r="I358" s="5" t="inlineStr"/>
    </row>
    <row r="359">
      <c r="A359" s="5" t="inlineStr">
        <is>
          <t>쁘띠포레유치원</t>
        </is>
      </c>
      <c r="B359" s="5" t="inlineStr">
        <is>
          <t>유치원</t>
        </is>
      </c>
      <c r="C359" s="5" t="inlineStr">
        <is>
          <t>사립(사인)</t>
        </is>
      </c>
      <c r="D359" s="5" t="inlineStr">
        <is>
          <t>해운대구</t>
        </is>
      </c>
      <c r="E359" s="5" t="inlineStr">
        <is>
          <t>부산광역시 해운대구 양운로 182</t>
        </is>
      </c>
      <c r="F359" s="11" t="inlineStr">
        <is>
          <t>http://school.busanedu.net/petiteforet-k/main.do</t>
        </is>
      </c>
      <c r="G359" s="5" t="inlineStr">
        <is>
          <t>051-701-1815</t>
        </is>
      </c>
      <c r="H359" s="12">
        <f>유치원!N359</f>
        <v/>
      </c>
      <c r="I359" s="5" t="inlineStr">
        <is>
          <t>만4세 49 / 만5세 52 / 연령혼합반 65</t>
        </is>
      </c>
    </row>
    <row r="360">
      <c r="A360" s="5" t="inlineStr">
        <is>
          <t>센텀유치원</t>
        </is>
      </c>
      <c r="B360" s="5" t="inlineStr">
        <is>
          <t>유치원</t>
        </is>
      </c>
      <c r="C360" s="5" t="inlineStr">
        <is>
          <t>사립(사인)</t>
        </is>
      </c>
      <c r="D360" s="5" t="inlineStr">
        <is>
          <t>해운대구</t>
        </is>
      </c>
      <c r="E360" s="5" t="inlineStr">
        <is>
          <t>부산광역시 해운대구 센텀중앙로 142</t>
        </is>
      </c>
      <c r="F360" s="11" t="inlineStr">
        <is>
          <t>https://school.busanedu.net/centumkid-k</t>
        </is>
      </c>
      <c r="G360" s="5" t="inlineStr">
        <is>
          <t>051-784-3755</t>
        </is>
      </c>
      <c r="H360" s="12">
        <f>유치원!N360</f>
        <v/>
      </c>
      <c r="I360" s="5" t="inlineStr">
        <is>
          <t>만4세 40 / 만5세 104 / 연령혼합반 138</t>
        </is>
      </c>
    </row>
    <row r="361">
      <c r="A361" s="5" t="inlineStr">
        <is>
          <t>센텀항도유치원</t>
        </is>
      </c>
      <c r="B361" s="5" t="inlineStr">
        <is>
          <t>유치원</t>
        </is>
      </c>
      <c r="C361" s="5" t="inlineStr">
        <is>
          <t>사립(사인)</t>
        </is>
      </c>
      <c r="D361" s="5" t="inlineStr">
        <is>
          <t>해운대구</t>
        </is>
      </c>
      <c r="E361" s="5" t="inlineStr">
        <is>
          <t>부산광역시 해운대구 해운대로61번길 107-22</t>
        </is>
      </c>
      <c r="F361" s="11" t="inlineStr">
        <is>
          <t>http://school.busanedu.net/centumhangdo-k</t>
        </is>
      </c>
      <c r="G361" s="5" t="inlineStr">
        <is>
          <t>051-781-4829</t>
        </is>
      </c>
      <c r="H361" s="12">
        <f>유치원!N361</f>
        <v/>
      </c>
      <c r="I361" s="5" t="inlineStr">
        <is>
          <t>만3세 32 / 만5세 26 / 연령혼합반 40</t>
        </is>
      </c>
    </row>
    <row r="362">
      <c r="A362" s="5" t="inlineStr">
        <is>
          <t>센텀해운대유치원</t>
        </is>
      </c>
      <c r="B362" s="5" t="inlineStr">
        <is>
          <t>유치원</t>
        </is>
      </c>
      <c r="C362" s="5" t="inlineStr">
        <is>
          <t>사립(법인)</t>
        </is>
      </c>
      <c r="D362" s="5" t="inlineStr">
        <is>
          <t>해운대구</t>
        </is>
      </c>
      <c r="E362" s="5" t="inlineStr">
        <is>
          <t>부산광역시 해운대구 선수촌로 95</t>
        </is>
      </c>
      <c r="F362" s="11" t="inlineStr">
        <is>
          <t>http://school.busanedu.net/wooju-k/main.do</t>
        </is>
      </c>
      <c r="G362" s="5" t="inlineStr">
        <is>
          <t>051-526-1113</t>
        </is>
      </c>
      <c r="H362" s="12">
        <f>유치원!N362</f>
        <v/>
      </c>
      <c r="I362" s="5" t="inlineStr">
        <is>
          <t>만4세 48 / 만5세 52 / 연령혼합반 48</t>
        </is>
      </c>
    </row>
    <row r="363">
      <c r="A363" s="5" t="inlineStr">
        <is>
          <t>송수초등학교병설유치원</t>
        </is>
      </c>
      <c r="B363" s="5" t="inlineStr">
        <is>
          <t>유치원</t>
        </is>
      </c>
      <c r="C363" s="5" t="inlineStr">
        <is>
          <t>공립(병설)</t>
        </is>
      </c>
      <c r="D363" s="5" t="inlineStr">
        <is>
          <t>해운대구</t>
        </is>
      </c>
      <c r="E363" s="5" t="inlineStr">
        <is>
          <t>부산광역시 해운대구 해운대로76번길 35</t>
        </is>
      </c>
      <c r="F363" s="11" t="inlineStr">
        <is>
          <t>http://school.busanedu.net/songsu-k/main.do</t>
        </is>
      </c>
      <c r="G363" s="5" t="inlineStr">
        <is>
          <t>051-780-2797</t>
        </is>
      </c>
      <c r="H363" s="12">
        <f>유치원!N363</f>
        <v/>
      </c>
      <c r="I363" s="5" t="inlineStr">
        <is>
          <t>만3세 14 / 만4세 19 / 만5세 23</t>
        </is>
      </c>
    </row>
    <row r="364">
      <c r="A364" s="5" t="inlineStr">
        <is>
          <t>아이윌유치원</t>
        </is>
      </c>
      <c r="B364" s="5" t="inlineStr">
        <is>
          <t>유치원</t>
        </is>
      </c>
      <c r="C364" s="5" t="inlineStr">
        <is>
          <t>사립(사인)</t>
        </is>
      </c>
      <c r="D364" s="5" t="inlineStr">
        <is>
          <t>해운대구</t>
        </is>
      </c>
      <c r="E364" s="5" t="inlineStr">
        <is>
          <t>부산광역시 해운대구 송정중앙로15번길 107</t>
        </is>
      </c>
      <c r="F364" s="11" t="inlineStr">
        <is>
          <t>http://school.busanedu.net/iwill-k/main.do</t>
        </is>
      </c>
      <c r="G364" s="5" t="inlineStr">
        <is>
          <t>051-703-7594</t>
        </is>
      </c>
      <c r="H364" s="12">
        <f>유치원!N364</f>
        <v/>
      </c>
      <c r="I364" s="5" t="inlineStr">
        <is>
          <t>만4세 46 / 만5세 32 / 연령혼합반 55</t>
        </is>
      </c>
    </row>
    <row r="365">
      <c r="A365" s="5" t="inlineStr">
        <is>
          <t>양운초등학교병설유치원</t>
        </is>
      </c>
      <c r="B365" s="5" t="inlineStr">
        <is>
          <t>유치원</t>
        </is>
      </c>
      <c r="C365" s="5" t="inlineStr">
        <is>
          <t>공립(병설)</t>
        </is>
      </c>
      <c r="D365" s="5" t="inlineStr">
        <is>
          <t>해운대구</t>
        </is>
      </c>
      <c r="E365" s="5" t="inlineStr">
        <is>
          <t>부산광역시 해운대구 대천로67번길 36</t>
        </is>
      </c>
      <c r="F365" s="11" t="inlineStr">
        <is>
          <t>http://school.busanedu.net/yangun-k</t>
        </is>
      </c>
      <c r="G365" s="5" t="inlineStr">
        <is>
          <t>051-709-6882</t>
        </is>
      </c>
      <c r="H365" s="12">
        <f>유치원!N365</f>
        <v/>
      </c>
      <c r="I365" s="5" t="inlineStr">
        <is>
          <t>만3세 8 / 만4세 12 / 만5세 11 / 특수학급 3</t>
        </is>
      </c>
    </row>
    <row r="366">
      <c r="A366" s="5" t="inlineStr">
        <is>
          <t>여명유치원</t>
        </is>
      </c>
      <c r="B366" s="5" t="inlineStr">
        <is>
          <t>유치원</t>
        </is>
      </c>
      <c r="C366" s="5" t="inlineStr">
        <is>
          <t>사립(법인)</t>
        </is>
      </c>
      <c r="D366" s="5" t="inlineStr">
        <is>
          <t>해운대구</t>
        </is>
      </c>
      <c r="E366" s="5" t="inlineStr">
        <is>
          <t>부산광역시 해운대구 재반로118번길 92</t>
        </is>
      </c>
      <c r="F366" s="11" t="inlineStr">
        <is>
          <t>http://school.busanedu.net/ymk-k</t>
        </is>
      </c>
      <c r="G366" s="5" t="inlineStr">
        <is>
          <t>051-781-3813</t>
        </is>
      </c>
      <c r="H366" s="12">
        <f>유치원!N366</f>
        <v/>
      </c>
      <c r="I366" s="5" t="inlineStr"/>
    </row>
    <row r="367">
      <c r="A367" s="5" t="inlineStr">
        <is>
          <t>왕자와공주유치원</t>
        </is>
      </c>
      <c r="B367" s="5" t="inlineStr">
        <is>
          <t>유치원</t>
        </is>
      </c>
      <c r="C367" s="5" t="inlineStr">
        <is>
          <t>사립(사인)</t>
        </is>
      </c>
      <c r="D367" s="5" t="inlineStr">
        <is>
          <t>해운대구</t>
        </is>
      </c>
      <c r="E367" s="5" t="inlineStr">
        <is>
          <t>부산광역시 해운대구 좌동순환로299번길 11</t>
        </is>
      </c>
      <c r="F367" s="11" t="inlineStr">
        <is>
          <t>http://school.busanedu.net/ppschool-k/main.do</t>
        </is>
      </c>
      <c r="G367" s="5" t="inlineStr">
        <is>
          <t>051-701-8178</t>
        </is>
      </c>
      <c r="H367" s="12">
        <f>유치원!N367</f>
        <v/>
      </c>
      <c r="I367" s="5" t="inlineStr">
        <is>
          <t>만3세 32 / 만4세 44 / 만5세 34</t>
        </is>
      </c>
    </row>
    <row r="368">
      <c r="A368" s="5" t="inlineStr">
        <is>
          <t>운봉초등학교병설유치원</t>
        </is>
      </c>
      <c r="B368" s="5" t="inlineStr">
        <is>
          <t>유치원</t>
        </is>
      </c>
      <c r="C368" s="5" t="inlineStr">
        <is>
          <t>공립(병설)</t>
        </is>
      </c>
      <c r="D368" s="5" t="inlineStr">
        <is>
          <t>해운대구</t>
        </is>
      </c>
      <c r="E368" s="5" t="inlineStr">
        <is>
          <t>부산광역시 해운대구 신반송로 11-20</t>
        </is>
      </c>
      <c r="F368" s="11" t="inlineStr">
        <is>
          <t>http://school.busanedu.net/unbong-k/main.do</t>
        </is>
      </c>
      <c r="G368" s="5" t="inlineStr">
        <is>
          <t>051-545-8273</t>
        </is>
      </c>
      <c r="H368" s="12">
        <f>유치원!N368</f>
        <v/>
      </c>
      <c r="I368" s="5" t="inlineStr">
        <is>
          <t>만5세 12 / 연령혼합반 5</t>
        </is>
      </c>
    </row>
    <row r="369">
      <c r="A369" s="5" t="inlineStr">
        <is>
          <t>은혜유치원</t>
        </is>
      </c>
      <c r="B369" s="5" t="inlineStr">
        <is>
          <t>유치원</t>
        </is>
      </c>
      <c r="C369" s="5" t="inlineStr">
        <is>
          <t>사립(사인)</t>
        </is>
      </c>
      <c r="D369" s="5" t="inlineStr">
        <is>
          <t>해운대구</t>
        </is>
      </c>
      <c r="E369" s="5" t="inlineStr">
        <is>
          <t>부산광역시 해운대구 선수촌로21번길 35</t>
        </is>
      </c>
      <c r="F369" s="5" t="inlineStr"/>
      <c r="G369" s="5" t="inlineStr">
        <is>
          <t>051-521-2323</t>
        </is>
      </c>
      <c r="H369" s="12">
        <f>유치원!N369</f>
        <v/>
      </c>
      <c r="I369" s="5" t="inlineStr">
        <is>
          <t>연령혼합반 213</t>
        </is>
      </c>
    </row>
    <row r="370">
      <c r="A370" s="5" t="inlineStr">
        <is>
          <t>인천유치원</t>
        </is>
      </c>
      <c r="B370" s="5" t="inlineStr">
        <is>
          <t>유치원</t>
        </is>
      </c>
      <c r="C370" s="5" t="inlineStr">
        <is>
          <t>사립(법인)</t>
        </is>
      </c>
      <c r="D370" s="5" t="inlineStr">
        <is>
          <t>해운대구</t>
        </is>
      </c>
      <c r="E370" s="5" t="inlineStr">
        <is>
          <t>부산광역시 해운대구 재반로12번길 16</t>
        </is>
      </c>
      <c r="F370" s="11" t="inlineStr">
        <is>
          <t>http://school.busanedu.net/h-inchon-k/main.do</t>
        </is>
      </c>
      <c r="G370" s="5" t="inlineStr">
        <is>
          <t>051-784-7428</t>
        </is>
      </c>
      <c r="H370" s="12">
        <f>유치원!N370</f>
        <v/>
      </c>
      <c r="I370" s="5" t="inlineStr">
        <is>
          <t>만4세 26 / 만5세 50 / 연령혼합반 25</t>
        </is>
      </c>
    </row>
    <row r="371">
      <c r="A371" s="5" t="inlineStr">
        <is>
          <t>재송유치원</t>
        </is>
      </c>
      <c r="B371" s="5" t="inlineStr">
        <is>
          <t>유치원</t>
        </is>
      </c>
      <c r="C371" s="5" t="inlineStr">
        <is>
          <t>사립(사인)</t>
        </is>
      </c>
      <c r="D371" s="5" t="inlineStr">
        <is>
          <t>해운대구</t>
        </is>
      </c>
      <c r="E371" s="5" t="inlineStr">
        <is>
          <t>부산광역시 해운대구 재반로50번길 22</t>
        </is>
      </c>
      <c r="F371" s="11" t="inlineStr">
        <is>
          <t>http://school.busanedu.net/jaesong-k/main.do</t>
        </is>
      </c>
      <c r="G371" s="5" t="inlineStr">
        <is>
          <t>051-783-7600</t>
        </is>
      </c>
      <c r="H371" s="12">
        <f>유치원!N371</f>
        <v/>
      </c>
      <c r="I371" s="5" t="inlineStr">
        <is>
          <t>만3세 25 / 만4세 28 / 만5세 27</t>
        </is>
      </c>
    </row>
    <row r="372">
      <c r="A372" s="5" t="inlineStr">
        <is>
          <t>좌동초등학교병설유치원</t>
        </is>
      </c>
      <c r="B372" s="5" t="inlineStr">
        <is>
          <t>유치원</t>
        </is>
      </c>
      <c r="C372" s="5" t="inlineStr">
        <is>
          <t>공립(병설)</t>
        </is>
      </c>
      <c r="D372" s="5" t="inlineStr">
        <is>
          <t>해운대구</t>
        </is>
      </c>
      <c r="E372" s="5" t="inlineStr">
        <is>
          <t>부산광역시 해운대구 세실로 127</t>
        </is>
      </c>
      <c r="F372" s="11" t="inlineStr">
        <is>
          <t>http://school.busanedu.net/jwadong-k/main.do</t>
        </is>
      </c>
      <c r="G372" s="5" t="inlineStr">
        <is>
          <t>051-709-0885</t>
        </is>
      </c>
      <c r="H372" s="12">
        <f>유치원!N372</f>
        <v/>
      </c>
      <c r="I372" s="5" t="inlineStr">
        <is>
          <t>만3세 7 / 만4세 10 / 만5세 19</t>
        </is>
      </c>
    </row>
    <row r="373">
      <c r="A373" s="5" t="inlineStr">
        <is>
          <t>중일유치원</t>
        </is>
      </c>
      <c r="B373" s="5" t="inlineStr">
        <is>
          <t>유치원</t>
        </is>
      </c>
      <c r="C373" s="5" t="inlineStr">
        <is>
          <t>사립(사인)</t>
        </is>
      </c>
      <c r="D373" s="5" t="inlineStr">
        <is>
          <t>해운대구</t>
        </is>
      </c>
      <c r="E373" s="5" t="inlineStr">
        <is>
          <t>부산광역시 해운대구 좌동순환로468번길 29</t>
        </is>
      </c>
      <c r="F373" s="11" t="inlineStr">
        <is>
          <t>http://school.busanedu.net/joongil-k</t>
        </is>
      </c>
      <c r="G373" s="5" t="inlineStr">
        <is>
          <t>051-747-8900</t>
        </is>
      </c>
      <c r="H373" s="12">
        <f>유치원!N373</f>
        <v/>
      </c>
      <c r="I373" s="5" t="inlineStr">
        <is>
          <t>만4세 46 / 만5세 52 / 연령혼합반 44</t>
        </is>
      </c>
    </row>
    <row r="374">
      <c r="A374" s="5" t="inlineStr">
        <is>
          <t>파랑새유치원</t>
        </is>
      </c>
      <c r="B374" s="5" t="inlineStr">
        <is>
          <t>유치원</t>
        </is>
      </c>
      <c r="C374" s="5" t="inlineStr">
        <is>
          <t>사립(사인)</t>
        </is>
      </c>
      <c r="D374" s="5" t="inlineStr">
        <is>
          <t>해운대구</t>
        </is>
      </c>
      <c r="E374" s="5" t="inlineStr">
        <is>
          <t>부산광역시 해운대구 신반송로 21</t>
        </is>
      </c>
      <c r="F374" s="5" t="inlineStr"/>
      <c r="G374" s="5" t="inlineStr">
        <is>
          <t>051-543-0066</t>
        </is>
      </c>
      <c r="H374" s="12">
        <f>유치원!N374</f>
        <v/>
      </c>
      <c r="I374" s="5" t="inlineStr"/>
    </row>
    <row r="375">
      <c r="A375" s="5" t="inlineStr">
        <is>
          <t>푸른유치원</t>
        </is>
      </c>
      <c r="B375" s="5" t="inlineStr">
        <is>
          <t>유치원</t>
        </is>
      </c>
      <c r="C375" s="5" t="inlineStr">
        <is>
          <t>사립(사인)</t>
        </is>
      </c>
      <c r="D375" s="5" t="inlineStr">
        <is>
          <t>해운대구</t>
        </is>
      </c>
      <c r="E375" s="5" t="inlineStr">
        <is>
          <t>부산광역시 해운대구 세실로 19</t>
        </is>
      </c>
      <c r="F375" s="5" t="inlineStr"/>
      <c r="G375" s="5" t="inlineStr">
        <is>
          <t>051-701-2070</t>
        </is>
      </c>
      <c r="H375" s="12">
        <f>유치원!N375</f>
        <v/>
      </c>
      <c r="I375" s="5" t="inlineStr">
        <is>
          <t>만3세 40 / 만4세 23 / 만5세 21 / 연령혼합반 46</t>
        </is>
      </c>
    </row>
    <row r="376">
      <c r="A376" s="5" t="inlineStr">
        <is>
          <t>풀꽃유치원</t>
        </is>
      </c>
      <c r="B376" s="5" t="inlineStr">
        <is>
          <t>유치원</t>
        </is>
      </c>
      <c r="C376" s="5" t="inlineStr">
        <is>
          <t>사립(사인)</t>
        </is>
      </c>
      <c r="D376" s="5" t="inlineStr">
        <is>
          <t>해운대구</t>
        </is>
      </c>
      <c r="E376" s="5" t="inlineStr">
        <is>
          <t>부산광역시 해운대구 선수촌로 122</t>
        </is>
      </c>
      <c r="F376" s="11" t="inlineStr">
        <is>
          <t>https://cafe.daum.net/vnfRhcdbcldnjs</t>
        </is>
      </c>
      <c r="G376" s="5" t="inlineStr">
        <is>
          <t>051-525-1121</t>
        </is>
      </c>
      <c r="H376" s="12">
        <f>유치원!N376</f>
        <v/>
      </c>
      <c r="I376" s="5" t="inlineStr">
        <is>
          <t>만3세 32 / 만4세 48 / 만5세 69</t>
        </is>
      </c>
    </row>
    <row r="377">
      <c r="A377" s="5" t="inlineStr">
        <is>
          <t>해강유치원</t>
        </is>
      </c>
      <c r="B377" s="5" t="inlineStr">
        <is>
          <t>유치원</t>
        </is>
      </c>
      <c r="C377" s="5" t="inlineStr">
        <is>
          <t>사립(사인)</t>
        </is>
      </c>
      <c r="D377" s="5" t="inlineStr">
        <is>
          <t>해운대구</t>
        </is>
      </c>
      <c r="E377" s="5" t="inlineStr">
        <is>
          <t>부산광역시 해운대구 해운대해변로 87</t>
        </is>
      </c>
      <c r="F377" s="5" t="inlineStr"/>
      <c r="G377" s="5" t="inlineStr">
        <is>
          <t>051-741-9122</t>
        </is>
      </c>
      <c r="H377" s="12">
        <f>유치원!N377</f>
        <v/>
      </c>
      <c r="I377" s="5" t="inlineStr">
        <is>
          <t>만3세 32 / 만4세 48 / 만5세 78</t>
        </is>
      </c>
    </row>
    <row r="378">
      <c r="A378" s="5" t="inlineStr">
        <is>
          <t>해뜨는유치원</t>
        </is>
      </c>
      <c r="B378" s="5" t="inlineStr">
        <is>
          <t>유치원</t>
        </is>
      </c>
      <c r="C378" s="5" t="inlineStr">
        <is>
          <t>사립(사인)</t>
        </is>
      </c>
      <c r="D378" s="5" t="inlineStr">
        <is>
          <t>해운대구</t>
        </is>
      </c>
      <c r="E378" s="5" t="inlineStr">
        <is>
          <t>부산광역시 해운대구 청사포로 27</t>
        </is>
      </c>
      <c r="F378" s="11" t="inlineStr">
        <is>
          <t>http://lucky.kidspann.net</t>
        </is>
      </c>
      <c r="G378" s="5" t="inlineStr">
        <is>
          <t>051-701-8093</t>
        </is>
      </c>
      <c r="H378" s="12">
        <f>유치원!N378</f>
        <v/>
      </c>
      <c r="I378" s="5" t="inlineStr">
        <is>
          <t>만3세 24 / 만4세 16 / 만5세 29</t>
        </is>
      </c>
    </row>
    <row r="379">
      <c r="A379" s="5" t="inlineStr">
        <is>
          <t>해성유치원</t>
        </is>
      </c>
      <c r="B379" s="5" t="inlineStr">
        <is>
          <t>유치원</t>
        </is>
      </c>
      <c r="C379" s="5" t="inlineStr">
        <is>
          <t>사립(법인)</t>
        </is>
      </c>
      <c r="D379" s="5" t="inlineStr">
        <is>
          <t>해운대구</t>
        </is>
      </c>
      <c r="E379" s="5" t="inlineStr">
        <is>
          <t>부산광역시 해운대구 중동2로 20-3</t>
        </is>
      </c>
      <c r="F379" s="11" t="inlineStr">
        <is>
          <t>https://school.busanedu.net/haesungkids-k</t>
        </is>
      </c>
      <c r="G379" s="5" t="inlineStr">
        <is>
          <t>051-746-5885</t>
        </is>
      </c>
      <c r="H379" s="12">
        <f>유치원!N379</f>
        <v/>
      </c>
      <c r="I379" s="5" t="inlineStr">
        <is>
          <t>만3세 48 / 만4세 41 / 만5세 52</t>
        </is>
      </c>
    </row>
    <row r="380">
      <c r="A380" s="5" t="inlineStr">
        <is>
          <t>해운대자연유치원</t>
        </is>
      </c>
      <c r="B380" s="5" t="inlineStr">
        <is>
          <t>유치원</t>
        </is>
      </c>
      <c r="C380" s="5" t="inlineStr">
        <is>
          <t>사립(사인)</t>
        </is>
      </c>
      <c r="D380" s="5" t="inlineStr">
        <is>
          <t>해운대구</t>
        </is>
      </c>
      <c r="E380" s="5" t="inlineStr">
        <is>
          <t>부산광역시 해운대구 대천로103번길 61</t>
        </is>
      </c>
      <c r="F380" s="5" t="inlineStr"/>
      <c r="G380" s="5" t="inlineStr">
        <is>
          <t>051-636-6677</t>
        </is>
      </c>
      <c r="H380" s="12">
        <f>유치원!N380</f>
        <v/>
      </c>
      <c r="I380" s="5" t="inlineStr">
        <is>
          <t>만3세 32 / 만4세 66 / 만5세 75 / 연령혼합반 38</t>
        </is>
      </c>
    </row>
    <row r="381">
      <c r="A381" s="5" t="inlineStr">
        <is>
          <t>KR 단미래 어린이집</t>
        </is>
      </c>
      <c r="B381" s="5" t="inlineStr">
        <is>
          <t>어린이집</t>
        </is>
      </c>
      <c r="C381" s="5" t="inlineStr">
        <is>
          <t>직장</t>
        </is>
      </c>
      <c r="D381" s="5" t="inlineStr">
        <is>
          <t>강서구</t>
        </is>
      </c>
      <c r="E381" s="5" t="inlineStr">
        <is>
          <t>부산광역시 강서구 명지오션시티9로 36</t>
        </is>
      </c>
      <c r="F381" s="5" t="inlineStr"/>
      <c r="G381" s="5" t="inlineStr">
        <is>
          <t>070-8799-8170</t>
        </is>
      </c>
      <c r="H381" s="12">
        <f>어린이집!T2</f>
        <v/>
      </c>
      <c r="I381" s="5" t="inlineStr">
        <is>
          <t>만1세 11 / 만2세 8 / 만3세 11 / 만4세 21 / 만5세 14 / 기타(연령구분 없음) 56</t>
        </is>
      </c>
    </row>
    <row r="382">
      <c r="A382" s="5" t="inlineStr">
        <is>
          <t>PNC어린이집</t>
        </is>
      </c>
      <c r="B382" s="5" t="inlineStr">
        <is>
          <t>어린이집</t>
        </is>
      </c>
      <c r="C382" s="5" t="inlineStr">
        <is>
          <t>직장</t>
        </is>
      </c>
      <c r="D382" s="5" t="inlineStr">
        <is>
          <t>강서구</t>
        </is>
      </c>
      <c r="E382" s="5" t="inlineStr">
        <is>
          <t>부산광역시 강서구 신항남로 372</t>
        </is>
      </c>
      <c r="F382" s="5" t="inlineStr"/>
      <c r="G382" s="5" t="inlineStr">
        <is>
          <t>070-4145-5327</t>
        </is>
      </c>
      <c r="H382" s="12">
        <f>어린이집!T3</f>
        <v/>
      </c>
      <c r="I382" s="5" t="inlineStr">
        <is>
          <t>영아혼합반 2</t>
        </is>
      </c>
    </row>
    <row r="383">
      <c r="A383" s="5" t="inlineStr">
        <is>
          <t>가온어린이집</t>
        </is>
      </c>
      <c r="B383" s="5" t="inlineStr">
        <is>
          <t>어린이집</t>
        </is>
      </c>
      <c r="C383" s="5" t="inlineStr">
        <is>
          <t>가정</t>
        </is>
      </c>
      <c r="D383" s="5" t="inlineStr">
        <is>
          <t>강서구</t>
        </is>
      </c>
      <c r="E383" s="5" t="inlineStr">
        <is>
          <t>부산광역시 강서구 명지국제7로 111 101동 101호(명지동, 명지더웨스턴)</t>
        </is>
      </c>
      <c r="F383" s="5" t="inlineStr"/>
      <c r="G383" s="5" t="inlineStr">
        <is>
          <t>051-201-3811</t>
        </is>
      </c>
      <c r="H383" s="12">
        <f>어린이집!T4</f>
        <v/>
      </c>
      <c r="I383" s="5" t="inlineStr">
        <is>
          <t>만0세 4 / 만1세 5</t>
        </is>
      </c>
    </row>
    <row r="384">
      <c r="A384" s="5" t="inlineStr">
        <is>
          <t>강변어린이집</t>
        </is>
      </c>
      <c r="B384" s="5" t="inlineStr">
        <is>
          <t>어린이집</t>
        </is>
      </c>
      <c r="C384" s="5" t="inlineStr">
        <is>
          <t>사회복지법인</t>
        </is>
      </c>
      <c r="D384" s="5" t="inlineStr">
        <is>
          <t>강서구</t>
        </is>
      </c>
      <c r="E384" s="5" t="inlineStr">
        <is>
          <t>부산광역시 강서구 공항로361번길 26 (대저2동)</t>
        </is>
      </c>
      <c r="F384" s="5" t="inlineStr"/>
      <c r="G384" s="5" t="inlineStr">
        <is>
          <t>051-971-0695</t>
        </is>
      </c>
      <c r="H384" s="12">
        <f>어린이집!T5</f>
        <v/>
      </c>
      <c r="I384" s="5" t="inlineStr"/>
    </row>
    <row r="385">
      <c r="A385" s="5" t="inlineStr">
        <is>
          <t>강서다온어린이집</t>
        </is>
      </c>
      <c r="B385" s="5" t="inlineStr">
        <is>
          <t>어린이집</t>
        </is>
      </c>
      <c r="C385" s="5" t="inlineStr">
        <is>
          <t>국공립</t>
        </is>
      </c>
      <c r="D385" s="5" t="inlineStr">
        <is>
          <t>강서구</t>
        </is>
      </c>
      <c r="E385" s="5" t="inlineStr">
        <is>
          <t>부산광역시 강서구 명지국제6로318번길 58 (명지동)</t>
        </is>
      </c>
      <c r="F385" s="11" t="inlineStr">
        <is>
          <t>https://m.cafe.naver.com/ca-fe/gangseodaon</t>
        </is>
      </c>
      <c r="G385" s="5" t="inlineStr">
        <is>
          <t>051-203-3690</t>
        </is>
      </c>
      <c r="H385" s="12">
        <f>어린이집!T6</f>
        <v/>
      </c>
      <c r="I385" s="5" t="inlineStr">
        <is>
          <t>만1세 10 / 만2세 14 / 만3세 24 / 만5세 8 / 기타(연령구분 없음) 17</t>
        </is>
      </c>
    </row>
    <row r="386">
      <c r="A386" s="5" t="inlineStr">
        <is>
          <t>강서어린이집</t>
        </is>
      </c>
      <c r="B386" s="5" t="inlineStr">
        <is>
          <t>어린이집</t>
        </is>
      </c>
      <c r="C386" s="5" t="inlineStr">
        <is>
          <t>국공립</t>
        </is>
      </c>
      <c r="D386" s="5" t="inlineStr">
        <is>
          <t>강서구</t>
        </is>
      </c>
      <c r="E386" s="5" t="inlineStr">
        <is>
          <t>부산광역시 강서구 대저로63번길 31 (대저1동)</t>
        </is>
      </c>
      <c r="F386" s="5" t="inlineStr"/>
      <c r="G386" s="5" t="inlineStr">
        <is>
          <t>051-941-4591</t>
        </is>
      </c>
      <c r="H386" s="12">
        <f>어린이집!T7</f>
        <v/>
      </c>
      <c r="I386" s="5" t="inlineStr">
        <is>
          <t>만0세 9 / 만1세 8 / 만2세 17 / 만3세 6 / 유아혼합반 10 / 장애아반(특수) 2 / 기타(연령구분 없음) 16</t>
        </is>
      </c>
    </row>
    <row r="387">
      <c r="A387" s="5" t="inlineStr">
        <is>
          <t>강서자이어린이집</t>
        </is>
      </c>
      <c r="B387" s="5" t="inlineStr">
        <is>
          <t>어린이집</t>
        </is>
      </c>
      <c r="C387" s="5" t="inlineStr">
        <is>
          <t>국공립</t>
        </is>
      </c>
      <c r="D387" s="5" t="inlineStr">
        <is>
          <t>강서구</t>
        </is>
      </c>
      <c r="E387" s="5" t="inlineStr">
        <is>
          <t>부산광역시 강서구 에코델타1로 24 관리동</t>
        </is>
      </c>
      <c r="F387" s="5" t="inlineStr"/>
      <c r="G387" s="5" t="inlineStr">
        <is>
          <t>051-832-0150</t>
        </is>
      </c>
      <c r="H387" s="12">
        <f>어린이집!T8</f>
        <v/>
      </c>
      <c r="I387" s="5" t="inlineStr">
        <is>
          <t>만0세 9 / 만1세 20 / 만2세 28 / 기타(연령구분 없음) 10</t>
        </is>
      </c>
    </row>
    <row r="388">
      <c r="A388" s="5" t="inlineStr">
        <is>
          <t>곰돌이어린이집</t>
        </is>
      </c>
      <c r="B388" s="5" t="inlineStr">
        <is>
          <t>어린이집</t>
        </is>
      </c>
      <c r="C388" s="5" t="inlineStr">
        <is>
          <t>가정</t>
        </is>
      </c>
      <c r="D388" s="5" t="inlineStr">
        <is>
          <t>강서구</t>
        </is>
      </c>
      <c r="E388" s="5" t="inlineStr">
        <is>
          <t>부산광역시 강서구 과학산단2로20번길 91 105동 103호 (지사동, 삼정그린코아)</t>
        </is>
      </c>
      <c r="F388" s="5" t="inlineStr"/>
      <c r="G388" s="5" t="inlineStr">
        <is>
          <t>051-972-8817</t>
        </is>
      </c>
      <c r="H388" s="12">
        <f>어린이집!T9</f>
        <v/>
      </c>
      <c r="I388" s="5" t="inlineStr"/>
    </row>
    <row r="389">
      <c r="A389" s="5" t="inlineStr">
        <is>
          <t>그린코아어린이집</t>
        </is>
      </c>
      <c r="B389" s="5" t="inlineStr">
        <is>
          <t>어린이집</t>
        </is>
      </c>
      <c r="C389" s="5" t="inlineStr">
        <is>
          <t>민간</t>
        </is>
      </c>
      <c r="D389" s="5" t="inlineStr">
        <is>
          <t>강서구</t>
        </is>
      </c>
      <c r="E389" s="5" t="inlineStr">
        <is>
          <t>부산광역시 강서구 과학산단2로20번길 91 (지사동, 삼정그린코아)</t>
        </is>
      </c>
      <c r="F389" s="5" t="inlineStr"/>
      <c r="G389" s="5" t="inlineStr">
        <is>
          <t>051-973-7399</t>
        </is>
      </c>
      <c r="H389" s="12">
        <f>어린이집!T10</f>
        <v/>
      </c>
      <c r="I389" s="5" t="inlineStr">
        <is>
          <t>만0세 5 / 만1세 10 / 만2세 21 / 영아혼합반 3 / 기타(연령구분 없음) 5</t>
        </is>
      </c>
    </row>
    <row r="390">
      <c r="A390" s="5" t="inlineStr">
        <is>
          <t>글로벌새싹어린이집</t>
        </is>
      </c>
      <c r="B390" s="5" t="inlineStr">
        <is>
          <t>어린이집</t>
        </is>
      </c>
      <c r="C390" s="5" t="inlineStr">
        <is>
          <t>민간</t>
        </is>
      </c>
      <c r="D390" s="5" t="inlineStr">
        <is>
          <t>강서구</t>
        </is>
      </c>
      <c r="E390" s="5" t="inlineStr">
        <is>
          <t>부산광역시 강서구 명지오션시티9로 19</t>
        </is>
      </c>
      <c r="F390" s="5" t="inlineStr"/>
      <c r="G390" s="5" t="inlineStr">
        <is>
          <t>051-271-1278</t>
        </is>
      </c>
      <c r="H390" s="12">
        <f>어린이집!T11</f>
        <v/>
      </c>
      <c r="I390" s="5" t="inlineStr">
        <is>
          <t>만0세 3 / 만1세 15 / 만2세 28 / 만3세 45 / 만4세 18 / 만5세 18 / 기타(연령구분 없음) 16</t>
        </is>
      </c>
    </row>
    <row r="391">
      <c r="A391" s="5" t="inlineStr">
        <is>
          <t>금강3차어린이집</t>
        </is>
      </c>
      <c r="B391" s="5" t="inlineStr">
        <is>
          <t>어린이집</t>
        </is>
      </c>
      <c r="C391" s="5" t="inlineStr">
        <is>
          <t>민간</t>
        </is>
      </c>
      <c r="D391" s="5" t="inlineStr">
        <is>
          <t>강서구</t>
        </is>
      </c>
      <c r="E391" s="5" t="inlineStr">
        <is>
          <t>부산광역시 강서구 명지국제5로 110 명지금강펜테리움센트럴파크3차아파트 302동 1층 관리동 보육시설</t>
        </is>
      </c>
      <c r="F391" s="5" t="inlineStr"/>
      <c r="G391" s="5" t="inlineStr">
        <is>
          <t>051-208-3338</t>
        </is>
      </c>
      <c r="H391" s="12">
        <f>어린이집!T12</f>
        <v/>
      </c>
      <c r="I391" s="5" t="inlineStr">
        <is>
          <t>만0세 4 / 만1세 8 / 만2세 5 / 영아혼합반 5 / 기타(연령구분 없음) 6</t>
        </is>
      </c>
    </row>
    <row r="392">
      <c r="A392" s="5" t="inlineStr">
        <is>
          <t>금강꿈동이어린이집</t>
        </is>
      </c>
      <c r="B392" s="5" t="inlineStr">
        <is>
          <t>어린이집</t>
        </is>
      </c>
      <c r="C392" s="5" t="inlineStr">
        <is>
          <t>민간</t>
        </is>
      </c>
      <c r="D392" s="5" t="inlineStr">
        <is>
          <t>강서구</t>
        </is>
      </c>
      <c r="E392" s="5" t="inlineStr">
        <is>
          <t>부산광역시 강서구 명지국제5로 109 명지2차 금강펜트리움센트럴파크 관리동</t>
        </is>
      </c>
      <c r="F392" s="5" t="inlineStr"/>
      <c r="G392" s="5" t="inlineStr">
        <is>
          <t>051-204-5880</t>
        </is>
      </c>
      <c r="H392" s="12">
        <f>어린이집!T13</f>
        <v/>
      </c>
      <c r="I392" s="5" t="inlineStr">
        <is>
          <t>만0세 9 / 만1세 16 / 만2세 13 / 기타(연령구분 없음) 5</t>
        </is>
      </c>
    </row>
    <row r="393">
      <c r="A393" s="5" t="inlineStr">
        <is>
          <t>금강누리봄어린이집</t>
        </is>
      </c>
      <c r="B393" s="5" t="inlineStr">
        <is>
          <t>어린이집</t>
        </is>
      </c>
      <c r="C393" s="5" t="inlineStr">
        <is>
          <t>민간</t>
        </is>
      </c>
      <c r="D393" s="5" t="inlineStr">
        <is>
          <t>강서구</t>
        </is>
      </c>
      <c r="E393" s="5" t="inlineStr">
        <is>
          <t>부산광역시 강서구 명지국제5로 59 (명지동, 명지1차금강펜테리움센트럴파크아파트)</t>
        </is>
      </c>
      <c r="F393" s="5" t="inlineStr"/>
      <c r="G393" s="5" t="inlineStr">
        <is>
          <t>051-293-4628</t>
        </is>
      </c>
      <c r="H393" s="12">
        <f>어린이집!T14</f>
        <v/>
      </c>
      <c r="I393" s="5" t="inlineStr">
        <is>
          <t>만0세 9 / 만1세 13 / 만2세 20 / 기타(연령구분 없음) 10</t>
        </is>
      </c>
    </row>
    <row r="394">
      <c r="A394" s="5" t="inlineStr">
        <is>
          <t>금강아이뜰어린이집</t>
        </is>
      </c>
      <c r="B394" s="5" t="inlineStr">
        <is>
          <t>어린이집</t>
        </is>
      </c>
      <c r="C394" s="5" t="inlineStr">
        <is>
          <t>가정</t>
        </is>
      </c>
      <c r="D394" s="5" t="inlineStr">
        <is>
          <t>강서구</t>
        </is>
      </c>
      <c r="E394" s="5" t="inlineStr">
        <is>
          <t>부산광역시 강서구 명지국제5로 110 312동 101호 (명지동, 금강펜테리움센트럴파크3차)</t>
        </is>
      </c>
      <c r="F394" s="5" t="inlineStr"/>
      <c r="G394" s="5" t="inlineStr">
        <is>
          <t>051-204-3388</t>
        </is>
      </c>
      <c r="H394" s="12">
        <f>어린이집!T15</f>
        <v/>
      </c>
      <c r="I394" s="5" t="inlineStr"/>
    </row>
    <row r="395">
      <c r="A395" s="5" t="inlineStr">
        <is>
          <t>금강아이어린이집</t>
        </is>
      </c>
      <c r="B395" s="5" t="inlineStr">
        <is>
          <t>어린이집</t>
        </is>
      </c>
      <c r="C395" s="5" t="inlineStr">
        <is>
          <t>가정</t>
        </is>
      </c>
      <c r="D395" s="5" t="inlineStr">
        <is>
          <t>강서구</t>
        </is>
      </c>
      <c r="E395" s="5" t="inlineStr">
        <is>
          <t>부산광역시 강서구 명지국제5로 59 105동 102호(명지동, 금강펜테리움)</t>
        </is>
      </c>
      <c r="F395" s="11" t="inlineStr">
        <is>
          <t>http://jg8514@hanmail.net</t>
        </is>
      </c>
      <c r="G395" s="5" t="inlineStr">
        <is>
          <t>051-907-8896</t>
        </is>
      </c>
      <c r="H395" s="12">
        <f>어린이집!T16</f>
        <v/>
      </c>
      <c r="I395" s="5" t="inlineStr">
        <is>
          <t>만0세 7 / 만1세 5 / 만2세 6 / 기타(연령구분 없음) 3</t>
        </is>
      </c>
    </row>
    <row r="396">
      <c r="A396" s="5" t="inlineStr">
        <is>
          <t>금강펜테리움어린이집</t>
        </is>
      </c>
      <c r="B396" s="5" t="inlineStr">
        <is>
          <t>어린이집</t>
        </is>
      </c>
      <c r="C396" s="5" t="inlineStr">
        <is>
          <t>민간</t>
        </is>
      </c>
      <c r="D396" s="5" t="inlineStr">
        <is>
          <t>강서구</t>
        </is>
      </c>
      <c r="E396" s="5" t="inlineStr">
        <is>
          <t>부산광역시 강서구 과학산단2로20번길 69 지사동, 금강펜테리움아파트</t>
        </is>
      </c>
      <c r="F396" s="5" t="inlineStr"/>
      <c r="G396" s="5" t="inlineStr">
        <is>
          <t>051-973-1149</t>
        </is>
      </c>
      <c r="H396" s="12">
        <f>어린이집!T17</f>
        <v/>
      </c>
      <c r="I396" s="5" t="inlineStr">
        <is>
          <t>만0세 3 / 만1세 16 / 만2세 21 / 기타(연령구분 없음) 10</t>
        </is>
      </c>
    </row>
    <row r="397">
      <c r="A397" s="5" t="inlineStr">
        <is>
          <t>꿈나래어린이집</t>
        </is>
      </c>
      <c r="B397" s="5" t="inlineStr">
        <is>
          <t>어린이집</t>
        </is>
      </c>
      <c r="C397" s="5" t="inlineStr">
        <is>
          <t>가정</t>
        </is>
      </c>
      <c r="D397" s="5" t="inlineStr">
        <is>
          <t>강서구</t>
        </is>
      </c>
      <c r="E397" s="5" t="inlineStr">
        <is>
          <t>부산광역시 강서구 명지국제7로 37 205동 106호(명지동, 더샵명지퍼스트월드2단지)</t>
        </is>
      </c>
      <c r="F397" s="5" t="inlineStr"/>
      <c r="G397" s="5" t="inlineStr">
        <is>
          <t>051-201-0928</t>
        </is>
      </c>
      <c r="H397" s="12">
        <f>어린이집!T18</f>
        <v/>
      </c>
      <c r="I397" s="5" t="inlineStr">
        <is>
          <t>만0세 3 / 만1세 10 / 만2세 7 / 기타(연령구분 없음) 4</t>
        </is>
      </c>
    </row>
    <row r="398">
      <c r="A398" s="5" t="inlineStr">
        <is>
          <t>꿈담은어린이집</t>
        </is>
      </c>
      <c r="B398" s="5" t="inlineStr">
        <is>
          <t>어린이집</t>
        </is>
      </c>
      <c r="C398" s="5" t="inlineStr">
        <is>
          <t>가정</t>
        </is>
      </c>
      <c r="D398" s="5" t="inlineStr">
        <is>
          <t>강서구</t>
        </is>
      </c>
      <c r="E398" s="5" t="inlineStr">
        <is>
          <t>부산광역시 강서구 과학산단2로20번길 69 107동101호(지사동,지사금강펜테리움)</t>
        </is>
      </c>
      <c r="F398" s="11" t="inlineStr">
        <is>
          <t>https://www.instagram.com/ddc_s2</t>
        </is>
      </c>
      <c r="G398" s="5" t="inlineStr">
        <is>
          <t>051-973-0892</t>
        </is>
      </c>
      <c r="H398" s="12">
        <f>어린이집!T19</f>
        <v/>
      </c>
      <c r="I398" s="5" t="inlineStr">
        <is>
          <t>만0세 2 / 만2세 4 / 영아혼합반 2 / 기타(연령구분 없음) 4</t>
        </is>
      </c>
    </row>
    <row r="399">
      <c r="A399" s="5" t="inlineStr">
        <is>
          <t>나무야어린이집</t>
        </is>
      </c>
      <c r="B399" s="5" t="inlineStr">
        <is>
          <t>어린이집</t>
        </is>
      </c>
      <c r="C399" s="5" t="inlineStr">
        <is>
          <t>가정</t>
        </is>
      </c>
      <c r="D399" s="5" t="inlineStr">
        <is>
          <t>강서구</t>
        </is>
      </c>
      <c r="E399" s="5" t="inlineStr">
        <is>
          <t>부산광역시 강서구 명지국제7로 111 110동 102호(명지동, 명지더웨스턴)</t>
        </is>
      </c>
      <c r="F399" s="5" t="inlineStr"/>
      <c r="G399" s="5" t="inlineStr">
        <is>
          <t>051-996-2028</t>
        </is>
      </c>
      <c r="H399" s="12">
        <f>어린이집!T20</f>
        <v/>
      </c>
      <c r="I399" s="5" t="inlineStr">
        <is>
          <t>만0세 5 / 만1세 5 / 영아혼합반 8 / 기타(연령구분 없음) 3</t>
        </is>
      </c>
    </row>
    <row r="400">
      <c r="A400" s="5" t="inlineStr">
        <is>
          <t>낙동어린이집</t>
        </is>
      </c>
      <c r="B400" s="5" t="inlineStr">
        <is>
          <t>어린이집</t>
        </is>
      </c>
      <c r="C400" s="5" t="inlineStr">
        <is>
          <t>국공립</t>
        </is>
      </c>
      <c r="D400" s="5" t="inlineStr">
        <is>
          <t>강서구</t>
        </is>
      </c>
      <c r="E400" s="5" t="inlineStr">
        <is>
          <t>부산광역시 강서구 순아강변길 5 (명지동)</t>
        </is>
      </c>
      <c r="F400" s="11" t="inlineStr">
        <is>
          <t>http://www.ndswc.or.kr</t>
        </is>
      </c>
      <c r="G400" s="5" t="inlineStr">
        <is>
          <t>051-271-0535</t>
        </is>
      </c>
      <c r="H400" s="12">
        <f>어린이집!T21</f>
        <v/>
      </c>
      <c r="I400" s="5" t="inlineStr">
        <is>
          <t>만1세 15 / 만2세 24 / 기타(연령구분 없음) 5</t>
        </is>
      </c>
    </row>
    <row r="401">
      <c r="A401" s="5" t="inlineStr">
        <is>
          <t>노리숲어린이집</t>
        </is>
      </c>
      <c r="B401" s="5" t="inlineStr">
        <is>
          <t>어린이집</t>
        </is>
      </c>
      <c r="C401" s="5" t="inlineStr">
        <is>
          <t>가정</t>
        </is>
      </c>
      <c r="D401" s="5" t="inlineStr">
        <is>
          <t>강서구</t>
        </is>
      </c>
      <c r="E401" s="5" t="inlineStr">
        <is>
          <t>부산광역시 강서구 명지국제7로 110 102동102호(명지동, 더 힐 시그니처)</t>
        </is>
      </c>
      <c r="F401" s="5" t="inlineStr"/>
      <c r="G401" s="5" t="inlineStr">
        <is>
          <t>051-208-1020</t>
        </is>
      </c>
      <c r="H401" s="12">
        <f>어린이집!T22</f>
        <v/>
      </c>
      <c r="I401" s="5" t="inlineStr">
        <is>
          <t>만0세 2 / 만1세 9 / 만2세 7 / 기타(연령구분 없음) 4</t>
        </is>
      </c>
    </row>
    <row r="402">
      <c r="A402" s="5" t="inlineStr">
        <is>
          <t>노블랜드에코어린이집</t>
        </is>
      </c>
      <c r="B402" s="5" t="inlineStr">
        <is>
          <t>어린이집</t>
        </is>
      </c>
      <c r="C402" s="5" t="inlineStr">
        <is>
          <t>민간</t>
        </is>
      </c>
      <c r="D402" s="5" t="inlineStr">
        <is>
          <t>강서구</t>
        </is>
      </c>
      <c r="E402" s="5" t="inlineStr">
        <is>
          <t>부산광역시 강서구 명지국제5로 11 (명지동, 대방노블랜드오션뷰2차아파트)</t>
        </is>
      </c>
      <c r="F402" s="5" t="inlineStr"/>
      <c r="G402" s="5" t="inlineStr">
        <is>
          <t>051-201-2871</t>
        </is>
      </c>
      <c r="H402" s="12">
        <f>어린이집!T23</f>
        <v/>
      </c>
      <c r="I402" s="5" t="inlineStr">
        <is>
          <t>만0세 14 / 만1세 11 / 만2세 10 / 기타(연령구분 없음) 8</t>
        </is>
      </c>
    </row>
    <row r="403">
      <c r="A403" s="5" t="inlineStr">
        <is>
          <t>녹산산단바른어린이집</t>
        </is>
      </c>
      <c r="B403" s="5" t="inlineStr">
        <is>
          <t>어린이집</t>
        </is>
      </c>
      <c r="C403" s="5" t="inlineStr">
        <is>
          <t>직장</t>
        </is>
      </c>
      <c r="D403" s="5" t="inlineStr">
        <is>
          <t>강서구</t>
        </is>
      </c>
      <c r="E403" s="5" t="inlineStr">
        <is>
          <t>부산광역시 강서구 녹산산단335로 11 (송정동)</t>
        </is>
      </c>
      <c r="F403" s="5" t="inlineStr"/>
      <c r="G403" s="5" t="inlineStr">
        <is>
          <t>051-831-5022</t>
        </is>
      </c>
      <c r="H403" s="12">
        <f>어린이집!T24</f>
        <v/>
      </c>
      <c r="I403" s="5" t="inlineStr">
        <is>
          <t>만1세 9 / 만2세 13 / 만3세 23 / 만4세 22 / 만5세 19 / 기타(연령구분 없음) 12</t>
        </is>
      </c>
    </row>
    <row r="404">
      <c r="A404" s="5" t="inlineStr">
        <is>
          <t>늘푸른어린이집</t>
        </is>
      </c>
      <c r="B404" s="5" t="inlineStr">
        <is>
          <t>어린이집</t>
        </is>
      </c>
      <c r="C404" s="5" t="inlineStr">
        <is>
          <t>가정</t>
        </is>
      </c>
      <c r="D404" s="5" t="inlineStr">
        <is>
          <t>강서구</t>
        </is>
      </c>
      <c r="E404" s="5" t="inlineStr">
        <is>
          <t>부산광역시 강서구 명지국제7로 111 108동 101호(명지1동, 명지더웨스턴)</t>
        </is>
      </c>
      <c r="F404" s="5" t="inlineStr"/>
      <c r="G404" s="5" t="inlineStr">
        <is>
          <t>051-204-8116</t>
        </is>
      </c>
      <c r="H404" s="12">
        <f>어린이집!T25</f>
        <v/>
      </c>
      <c r="I404" s="5" t="inlineStr">
        <is>
          <t>만0세 3 / 만1세 10 / 만2세 7 / 기타(연령구분 없음) 5</t>
        </is>
      </c>
    </row>
    <row r="405">
      <c r="A405" s="5" t="inlineStr">
        <is>
          <t>다솜어린이집</t>
        </is>
      </c>
      <c r="B405" s="5" t="inlineStr">
        <is>
          <t>어린이집</t>
        </is>
      </c>
      <c r="C405" s="5" t="inlineStr">
        <is>
          <t>가정</t>
        </is>
      </c>
      <c r="D405" s="5" t="inlineStr">
        <is>
          <t>강서구</t>
        </is>
      </c>
      <c r="E405" s="5" t="inlineStr">
        <is>
          <t>부산광역시 강서구 명지국제7로 110 109동 102호(명지동, 더 힐 시그니처)</t>
        </is>
      </c>
      <c r="F405" s="5" t="inlineStr"/>
      <c r="G405" s="5" t="inlineStr">
        <is>
          <t>070-8115-1022</t>
        </is>
      </c>
      <c r="H405" s="12">
        <f>어린이집!T26</f>
        <v/>
      </c>
      <c r="I405" s="5" t="inlineStr">
        <is>
          <t>만0세 6 / 만2세 7 / 영아혼합반 6 / 기타(연령구분 없음) 3</t>
        </is>
      </c>
    </row>
    <row r="406">
      <c r="A406" s="5" t="inlineStr">
        <is>
          <t>대방1차아름드리어린이집</t>
        </is>
      </c>
      <c r="B406" s="5" t="inlineStr">
        <is>
          <t>어린이집</t>
        </is>
      </c>
      <c r="C406" s="5" t="inlineStr">
        <is>
          <t>민간</t>
        </is>
      </c>
      <c r="D406" s="5" t="inlineStr">
        <is>
          <t>강서구</t>
        </is>
      </c>
      <c r="E406" s="5" t="inlineStr">
        <is>
          <t>부산광역시 강서구 명지국제5로 30 관리동 어린이집(명지동, 대방노블랜드오션뷰1차아파트)</t>
        </is>
      </c>
      <c r="F406" s="5" t="inlineStr"/>
      <c r="G406" s="5" t="inlineStr">
        <is>
          <t>051-292-0029</t>
        </is>
      </c>
      <c r="H406" s="12">
        <f>어린이집!T27</f>
        <v/>
      </c>
      <c r="I406" s="5" t="inlineStr">
        <is>
          <t>만0세 9 / 만1세 20 / 만2세 8 / 기타(연령구분 없음) 9</t>
        </is>
      </c>
    </row>
    <row r="407">
      <c r="A407" s="5" t="inlineStr">
        <is>
          <t>대방아이어린이집</t>
        </is>
      </c>
      <c r="B407" s="5" t="inlineStr">
        <is>
          <t>어린이집</t>
        </is>
      </c>
      <c r="C407" s="5" t="inlineStr">
        <is>
          <t>가정</t>
        </is>
      </c>
      <c r="D407" s="5" t="inlineStr">
        <is>
          <t>강서구</t>
        </is>
      </c>
      <c r="E407" s="5" t="inlineStr">
        <is>
          <t>부산광역시 강서구 에코델타3로 120 114동 102호</t>
        </is>
      </c>
      <c r="F407" s="5" t="inlineStr"/>
      <c r="G407" s="5" t="inlineStr">
        <is>
          <t>051-941-4911</t>
        </is>
      </c>
      <c r="H407" s="12">
        <f>어린이집!T28</f>
        <v/>
      </c>
      <c r="I407" s="5" t="inlineStr">
        <is>
          <t>만0세 9 / 만1세 3</t>
        </is>
      </c>
    </row>
    <row r="408">
      <c r="A408" s="5" t="inlineStr">
        <is>
          <t>대사라온어린이집</t>
        </is>
      </c>
      <c r="B408" s="5" t="inlineStr">
        <is>
          <t>어린이집</t>
        </is>
      </c>
      <c r="C408" s="5" t="inlineStr">
        <is>
          <t>민간</t>
        </is>
      </c>
      <c r="D408" s="5" t="inlineStr">
        <is>
          <t>강서구</t>
        </is>
      </c>
      <c r="E408" s="5" t="inlineStr">
        <is>
          <t>부산광역시 강서구 제도로 1166-11 3통5반 (강동동)</t>
        </is>
      </c>
      <c r="F408" s="5" t="inlineStr"/>
      <c r="G408" s="5" t="inlineStr">
        <is>
          <t>051-973-5254</t>
        </is>
      </c>
      <c r="H408" s="12">
        <f>어린이집!T29</f>
        <v/>
      </c>
      <c r="I408" s="5" t="inlineStr"/>
    </row>
    <row r="409">
      <c r="A409" s="5" t="inlineStr">
        <is>
          <t>대저어린이집</t>
        </is>
      </c>
      <c r="B409" s="5" t="inlineStr">
        <is>
          <t>어린이집</t>
        </is>
      </c>
      <c r="C409" s="5" t="inlineStr">
        <is>
          <t>사회복지법인</t>
        </is>
      </c>
      <c r="D409" s="5" t="inlineStr">
        <is>
          <t>강서구</t>
        </is>
      </c>
      <c r="E409" s="5" t="inlineStr">
        <is>
          <t>부산광역시 강서구 공항로767번나길 7 (대저2동)</t>
        </is>
      </c>
      <c r="F409" s="5" t="inlineStr"/>
      <c r="G409" s="5" t="inlineStr">
        <is>
          <t>051-973-4026</t>
        </is>
      </c>
      <c r="H409" s="12">
        <f>어린이집!T30</f>
        <v/>
      </c>
      <c r="I409" s="5" t="inlineStr">
        <is>
          <t>만0세 3 / 만1세 16 / 만2세 21</t>
        </is>
      </c>
    </row>
    <row r="410">
      <c r="A410" s="5" t="inlineStr">
        <is>
          <t>더베르힐어린이집</t>
        </is>
      </c>
      <c r="B410" s="5" t="inlineStr">
        <is>
          <t>어린이집</t>
        </is>
      </c>
      <c r="C410" s="5" t="inlineStr">
        <is>
          <t>국공립</t>
        </is>
      </c>
      <c r="D410" s="5" t="inlineStr">
        <is>
          <t>강서구</t>
        </is>
      </c>
      <c r="E410" s="5" t="inlineStr">
        <is>
          <t>부산광역시 강서구 에코델타5로 60</t>
        </is>
      </c>
      <c r="F410" s="5" t="inlineStr"/>
      <c r="G410" s="5" t="inlineStr">
        <is>
          <t>051-941-4888</t>
        </is>
      </c>
      <c r="H410" s="12">
        <f>어린이집!T31</f>
        <v/>
      </c>
      <c r="I410" s="5" t="inlineStr">
        <is>
          <t>만0세 8 / 만1세 35 / 만2세 19 / 기타(연령구분 없음) 5</t>
        </is>
      </c>
    </row>
    <row r="411">
      <c r="A411" s="5" t="inlineStr">
        <is>
          <t>더샵해누리어린이집</t>
        </is>
      </c>
      <c r="B411" s="5" t="inlineStr">
        <is>
          <t>어린이집</t>
        </is>
      </c>
      <c r="C411" s="5" t="inlineStr">
        <is>
          <t>가정</t>
        </is>
      </c>
      <c r="D411" s="5" t="inlineStr">
        <is>
          <t>강서구</t>
        </is>
      </c>
      <c r="E411" s="5" t="inlineStr">
        <is>
          <t>부산광역시 강서구 명지국제2로 41 306동 106호(명지동, 더샵명지퍼스트월드3단지)</t>
        </is>
      </c>
      <c r="F411" s="5" t="inlineStr"/>
      <c r="G411" s="5" t="inlineStr">
        <is>
          <t>051-951-5200</t>
        </is>
      </c>
      <c r="H411" s="12">
        <f>어린이집!T32</f>
        <v/>
      </c>
      <c r="I411" s="5" t="inlineStr">
        <is>
          <t>만0세 5 / 만1세 7 / 만2세 7 / 기타(연령구분 없음) 4</t>
        </is>
      </c>
    </row>
    <row r="412">
      <c r="A412" s="5" t="inlineStr">
        <is>
          <t>도담도담어린이집</t>
        </is>
      </c>
      <c r="B412" s="5" t="inlineStr">
        <is>
          <t>어린이집</t>
        </is>
      </c>
      <c r="C412" s="5" t="inlineStr">
        <is>
          <t>가정</t>
        </is>
      </c>
      <c r="D412" s="5" t="inlineStr">
        <is>
          <t>강서구</t>
        </is>
      </c>
      <c r="E412" s="5" t="inlineStr">
        <is>
          <t>부산광역시 강서구 명지국제5로 165 804동 104호(스위트팰리스아파트)</t>
        </is>
      </c>
      <c r="F412" s="5" t="inlineStr"/>
      <c r="G412" s="5" t="inlineStr">
        <is>
          <t>051-988-8544</t>
        </is>
      </c>
      <c r="H412" s="12">
        <f>어린이집!T33</f>
        <v/>
      </c>
      <c r="I412" s="5" t="inlineStr">
        <is>
          <t>만2세 4 / 영아혼합반 3 / 기타(연령구분 없음) 3</t>
        </is>
      </c>
    </row>
    <row r="413">
      <c r="A413" s="5" t="inlineStr">
        <is>
          <t>동화속어린이집</t>
        </is>
      </c>
      <c r="B413" s="5" t="inlineStr">
        <is>
          <t>어린이집</t>
        </is>
      </c>
      <c r="C413" s="5" t="inlineStr">
        <is>
          <t>가정</t>
        </is>
      </c>
      <c r="D413" s="5" t="inlineStr">
        <is>
          <t>강서구</t>
        </is>
      </c>
      <c r="E413" s="5" t="inlineStr">
        <is>
          <t>부산광역시 강서구 명지국제7로 111 108동 103호 (명지1동, 명지더웨스턴)</t>
        </is>
      </c>
      <c r="F413" s="5" t="inlineStr"/>
      <c r="G413" s="5" t="inlineStr">
        <is>
          <t>051-292-3365</t>
        </is>
      </c>
      <c r="H413" s="12">
        <f>어린이집!T34</f>
        <v/>
      </c>
      <c r="I413" s="5" t="inlineStr">
        <is>
          <t>만0세 4 / 만1세 9 / 만2세 7 / 기타(연령구분 없음) 7</t>
        </is>
      </c>
    </row>
    <row r="414">
      <c r="A414" s="5" t="inlineStr">
        <is>
          <t>두산사랑나무어린이집</t>
        </is>
      </c>
      <c r="B414" s="5" t="inlineStr">
        <is>
          <t>어린이집</t>
        </is>
      </c>
      <c r="C414" s="5" t="inlineStr">
        <is>
          <t>가정</t>
        </is>
      </c>
      <c r="D414" s="5" t="inlineStr">
        <is>
          <t>강서구</t>
        </is>
      </c>
      <c r="E414" s="5" t="inlineStr">
        <is>
          <t>부산광역시 강서구 명지오션시티11로 22 109동104호(명지동,두산위브포세이돈)</t>
        </is>
      </c>
      <c r="F414" s="5" t="inlineStr"/>
      <c r="G414" s="5" t="inlineStr">
        <is>
          <t>051-205-7775</t>
        </is>
      </c>
      <c r="H414" s="12">
        <f>어린이집!T35</f>
        <v/>
      </c>
      <c r="I414" s="5" t="inlineStr">
        <is>
          <t>만0세 6 / 만1세 5 / 만2세 6 / 기타(연령구분 없음) 8</t>
        </is>
      </c>
    </row>
    <row r="415">
      <c r="A415" s="5" t="inlineStr">
        <is>
          <t>디에트르더퍼스트어린이집</t>
        </is>
      </c>
      <c r="B415" s="5" t="inlineStr">
        <is>
          <t>어린이집</t>
        </is>
      </c>
      <c r="C415" s="5" t="inlineStr">
        <is>
          <t>국공립</t>
        </is>
      </c>
      <c r="D415" s="5" t="inlineStr">
        <is>
          <t>강서구</t>
        </is>
      </c>
      <c r="E415" s="5" t="inlineStr">
        <is>
          <t>부산광역시 강서구 에코델타3로 120 디에트르더퍼스트어린이집</t>
        </is>
      </c>
      <c r="F415" s="5" t="inlineStr"/>
      <c r="G415" s="5" t="inlineStr">
        <is>
          <t>051-971-3222</t>
        </is>
      </c>
      <c r="H415" s="12">
        <f>어린이집!T36</f>
        <v/>
      </c>
      <c r="I415" s="5" t="inlineStr">
        <is>
          <t>만0세 6 / 만1세 14 / 만2세 12</t>
        </is>
      </c>
    </row>
    <row r="416">
      <c r="A416" s="5" t="inlineStr">
        <is>
          <t>라온숲어린이집</t>
        </is>
      </c>
      <c r="B416" s="5" t="inlineStr">
        <is>
          <t>어린이집</t>
        </is>
      </c>
      <c r="C416" s="5" t="inlineStr">
        <is>
          <t>가정</t>
        </is>
      </c>
      <c r="D416" s="5" t="inlineStr">
        <is>
          <t>강서구</t>
        </is>
      </c>
      <c r="E416" s="5" t="inlineStr">
        <is>
          <t>부산광역시 강서구 명지국제5로 59 104동 104호(명지동, 금강펜테리움)</t>
        </is>
      </c>
      <c r="F416" s="5" t="inlineStr"/>
      <c r="G416" s="5" t="inlineStr">
        <is>
          <t>051-203-4283</t>
        </is>
      </c>
      <c r="H416" s="12">
        <f>어린이집!T37</f>
        <v/>
      </c>
      <c r="I416" s="5" t="inlineStr">
        <is>
          <t>만0세 6 / 만1세 4 / 만2세 6 / 기타(연령구분 없음) 3</t>
        </is>
      </c>
    </row>
    <row r="417">
      <c r="A417" s="5" t="inlineStr">
        <is>
          <t>라온제나어린이집</t>
        </is>
      </c>
      <c r="B417" s="5" t="inlineStr">
        <is>
          <t>어린이집</t>
        </is>
      </c>
      <c r="C417" s="5" t="inlineStr">
        <is>
          <t>사회복지법인</t>
        </is>
      </c>
      <c r="D417" s="5" t="inlineStr">
        <is>
          <t>강서구</t>
        </is>
      </c>
      <c r="E417" s="5" t="inlineStr">
        <is>
          <t>부산광역시 강서구 영강길 153-12 (명지동)</t>
        </is>
      </c>
      <c r="F417" s="5" t="inlineStr"/>
      <c r="G417" s="5" t="inlineStr">
        <is>
          <t>051-271-8303</t>
        </is>
      </c>
      <c r="H417" s="12">
        <f>어린이집!T38</f>
        <v/>
      </c>
      <c r="I417" s="5" t="inlineStr">
        <is>
          <t>만1세 10 / 만2세 21 / 만3세 30 / 만4세 9 / 유아혼합반 19 / 기타(연령구분 없음) 10</t>
        </is>
      </c>
    </row>
    <row r="418">
      <c r="A418" s="5" t="inlineStr">
        <is>
          <t>롯데캐슬어린이집</t>
        </is>
      </c>
      <c r="B418" s="5" t="inlineStr">
        <is>
          <t>어린이집</t>
        </is>
      </c>
      <c r="C418" s="5" t="inlineStr">
        <is>
          <t>가정</t>
        </is>
      </c>
      <c r="D418" s="5" t="inlineStr">
        <is>
          <t>강서구</t>
        </is>
      </c>
      <c r="E418" s="5" t="inlineStr">
        <is>
          <t>부산광역시 강서구 명지오션시티11로 84 116동 104호(명지동, 롯데캐슬아파트)</t>
        </is>
      </c>
      <c r="F418" s="11" t="inlineStr">
        <is>
          <t>http://blog.naver.com/bskslottecastle</t>
        </is>
      </c>
      <c r="G418" s="5" t="inlineStr">
        <is>
          <t>051-271-5800</t>
        </is>
      </c>
      <c r="H418" s="12">
        <f>어린이집!T39</f>
        <v/>
      </c>
      <c r="I418" s="5" t="inlineStr">
        <is>
          <t>만0세 2 / 만1세 6 / 만2세 5 / 기타(연령구분 없음) 2</t>
        </is>
      </c>
    </row>
    <row r="419">
      <c r="A419" s="5" t="inlineStr">
        <is>
          <t>리베어린이집</t>
        </is>
      </c>
      <c r="B419" s="5" t="inlineStr">
        <is>
          <t>어린이집</t>
        </is>
      </c>
      <c r="C419" s="5" t="inlineStr">
        <is>
          <t>가정</t>
        </is>
      </c>
      <c r="D419" s="5" t="inlineStr">
        <is>
          <t>강서구</t>
        </is>
      </c>
      <c r="E419" s="5" t="inlineStr">
        <is>
          <t>부산광역시 강서구 명지국제2로 41 302동 105호(명지동, 더샵명지퍼스트월드3단지)</t>
        </is>
      </c>
      <c r="F419" s="5" t="inlineStr"/>
      <c r="G419" s="5" t="inlineStr">
        <is>
          <t>051-271-1196</t>
        </is>
      </c>
      <c r="H419" s="12">
        <f>어린이집!T40</f>
        <v/>
      </c>
      <c r="I419" s="5" t="inlineStr">
        <is>
          <t>만0세 9 / 만1세 5 / 만2세 6 / 기타(연령구분 없음) 5</t>
        </is>
      </c>
    </row>
    <row r="420">
      <c r="A420" s="5" t="inlineStr">
        <is>
          <t>링컨어린이집</t>
        </is>
      </c>
      <c r="B420" s="5" t="inlineStr">
        <is>
          <t>어린이집</t>
        </is>
      </c>
      <c r="C420" s="5" t="inlineStr">
        <is>
          <t>민간</t>
        </is>
      </c>
      <c r="D420" s="5" t="inlineStr">
        <is>
          <t>강서구</t>
        </is>
      </c>
      <c r="E420" s="5" t="inlineStr">
        <is>
          <t>부산광역시 강서구 명지오션시티10로 16 퀸덤1차 링컨타운 211동 1층 (명지동)</t>
        </is>
      </c>
      <c r="F420" s="5" t="inlineStr"/>
      <c r="G420" s="5" t="inlineStr">
        <is>
          <t>051-997-1231</t>
        </is>
      </c>
      <c r="H420" s="12">
        <f>어린이집!T41</f>
        <v/>
      </c>
      <c r="I420" s="5" t="inlineStr">
        <is>
          <t>만0세 5 / 만1세 9 / 만2세 12 / 기타(연령구분 없음) 4</t>
        </is>
      </c>
    </row>
    <row r="421">
      <c r="A421" s="5" t="inlineStr">
        <is>
          <t>명지녹산산단 명지어린이집</t>
        </is>
      </c>
      <c r="B421" s="5" t="inlineStr">
        <is>
          <t>어린이집</t>
        </is>
      </c>
      <c r="C421" s="5" t="inlineStr">
        <is>
          <t>직장</t>
        </is>
      </c>
      <c r="D421" s="5" t="inlineStr">
        <is>
          <t>강서구</t>
        </is>
      </c>
      <c r="E421" s="5" t="inlineStr">
        <is>
          <t>부산광역시 강서구 명지오션시티11로 79 (명지동)</t>
        </is>
      </c>
      <c r="F421" s="5" t="inlineStr"/>
      <c r="G421" s="5" t="inlineStr">
        <is>
          <t>051-208-7009</t>
        </is>
      </c>
      <c r="H421" s="12">
        <f>어린이집!T42</f>
        <v/>
      </c>
      <c r="I421" s="5" t="inlineStr">
        <is>
          <t>만0세 3 / 만1세 8 / 만2세 13 / 만3세 11 / 영아혼합반 5 / 유아혼합반 14 / 기타(연령구분 없음) 12</t>
        </is>
      </c>
    </row>
    <row r="422">
      <c r="A422" s="5" t="inlineStr">
        <is>
          <t>명지더샵2단지어린이집</t>
        </is>
      </c>
      <c r="B422" s="5" t="inlineStr">
        <is>
          <t>어린이집</t>
        </is>
      </c>
      <c r="C422" s="5" t="inlineStr">
        <is>
          <t>국공립</t>
        </is>
      </c>
      <c r="D422" s="5" t="inlineStr">
        <is>
          <t>강서구</t>
        </is>
      </c>
      <c r="E422" s="5" t="inlineStr">
        <is>
          <t>부산광역시 강서구 명지국제7로 37 (명지동, 더샵명지퍼스트월드2단지)</t>
        </is>
      </c>
      <c r="F422" s="5" t="inlineStr"/>
      <c r="G422" s="5" t="inlineStr">
        <is>
          <t>051-291-0077</t>
        </is>
      </c>
      <c r="H422" s="12">
        <f>어린이집!T43</f>
        <v/>
      </c>
      <c r="I422" s="5" t="inlineStr">
        <is>
          <t>만0세 10 / 만1세 15 / 만2세 28 / 기타(연령구분 없음) 15</t>
        </is>
      </c>
    </row>
    <row r="423">
      <c r="A423" s="5" t="inlineStr">
        <is>
          <t>명지더샵3단지어린이집</t>
        </is>
      </c>
      <c r="B423" s="5" t="inlineStr">
        <is>
          <t>어린이집</t>
        </is>
      </c>
      <c r="C423" s="5" t="inlineStr">
        <is>
          <t>국공립</t>
        </is>
      </c>
      <c r="D423" s="5" t="inlineStr">
        <is>
          <t>강서구</t>
        </is>
      </c>
      <c r="E423" s="5" t="inlineStr">
        <is>
          <t>부산광역시 강서구 명지국제2로 41 (명지동, 더샵명지퍼스트월드3단지)</t>
        </is>
      </c>
      <c r="F423" s="5" t="inlineStr"/>
      <c r="G423" s="5" t="inlineStr">
        <is>
          <t>051-201-3403</t>
        </is>
      </c>
      <c r="H423" s="12">
        <f>어린이집!T44</f>
        <v/>
      </c>
      <c r="I423" s="5" t="inlineStr">
        <is>
          <t>만1세 28 / 만2세 28 / 기타(연령구분 없음) 5</t>
        </is>
      </c>
    </row>
    <row r="424">
      <c r="A424" s="5" t="inlineStr">
        <is>
          <t>명지삼정어린이집</t>
        </is>
      </c>
      <c r="B424" s="5" t="inlineStr">
        <is>
          <t>어린이집</t>
        </is>
      </c>
      <c r="C424" s="5" t="inlineStr">
        <is>
          <t>국공립</t>
        </is>
      </c>
      <c r="D424" s="5" t="inlineStr">
        <is>
          <t>강서구</t>
        </is>
      </c>
      <c r="E424" s="5" t="inlineStr">
        <is>
          <t>부산광역시 강서구 명지국제3로 97 (명지동, 삼정그린코아더베스트)</t>
        </is>
      </c>
      <c r="F424" s="5" t="inlineStr"/>
      <c r="G424" s="5" t="inlineStr">
        <is>
          <t>051-206-2235</t>
        </is>
      </c>
      <c r="H424" s="12">
        <f>어린이집!T45</f>
        <v/>
      </c>
      <c r="I424" s="5" t="inlineStr">
        <is>
          <t>만0세 5 / 만1세 10 / 만2세 14 / 기타(연령구분 없음) 5</t>
        </is>
      </c>
    </row>
    <row r="425">
      <c r="A425" s="5" t="inlineStr">
        <is>
          <t>명지엘크루어린이집</t>
        </is>
      </c>
      <c r="B425" s="5" t="inlineStr">
        <is>
          <t>어린이집</t>
        </is>
      </c>
      <c r="C425" s="5" t="inlineStr">
        <is>
          <t>민간</t>
        </is>
      </c>
      <c r="D425" s="5" t="inlineStr">
        <is>
          <t>강서구</t>
        </is>
      </c>
      <c r="E425" s="5" t="inlineStr">
        <is>
          <t>부산광역시 강서구 명지오션시티12로 10 107동(1층) (명지동, 엘크루솔마레)</t>
        </is>
      </c>
      <c r="F425" s="5" t="inlineStr"/>
      <c r="G425" s="5" t="inlineStr">
        <is>
          <t>051-293-3336</t>
        </is>
      </c>
      <c r="H425" s="12">
        <f>어린이집!T46</f>
        <v/>
      </c>
      <c r="I425" s="5" t="inlineStr">
        <is>
          <t>만0세 3 / 만1세 9 / 만2세 5 / 기타(연령구분 없음) 5</t>
        </is>
      </c>
    </row>
    <row r="426">
      <c r="A426" s="5" t="inlineStr">
        <is>
          <t>명지이편한어린이집</t>
        </is>
      </c>
      <c r="B426" s="5" t="inlineStr">
        <is>
          <t>어린이집</t>
        </is>
      </c>
      <c r="C426" s="5" t="inlineStr">
        <is>
          <t>국공립</t>
        </is>
      </c>
      <c r="D426" s="5" t="inlineStr">
        <is>
          <t>강서구</t>
        </is>
      </c>
      <c r="E426" s="5" t="inlineStr">
        <is>
          <t>부산광역시 강서구 명지국제2로 80 (명지동, e편한세상명지)</t>
        </is>
      </c>
      <c r="F426" s="5" t="inlineStr"/>
      <c r="G426" s="5" t="inlineStr">
        <is>
          <t>051-206-1007</t>
        </is>
      </c>
      <c r="H426" s="12">
        <f>어린이집!T47</f>
        <v/>
      </c>
      <c r="I426" s="5" t="inlineStr">
        <is>
          <t>만1세 15 / 만2세 14 / 기타(연령구분 없음) 5</t>
        </is>
      </c>
    </row>
    <row r="427">
      <c r="A427" s="5" t="inlineStr">
        <is>
          <t>명지큰별어린이집</t>
        </is>
      </c>
      <c r="B427" s="5" t="inlineStr">
        <is>
          <t>어린이집</t>
        </is>
      </c>
      <c r="C427" s="5" t="inlineStr">
        <is>
          <t>국공립</t>
        </is>
      </c>
      <c r="D427" s="5" t="inlineStr">
        <is>
          <t>강서구</t>
        </is>
      </c>
      <c r="E427" s="5" t="inlineStr">
        <is>
          <t>부산광역시 강서구 명지오션시티2로 71 (명지동, 극동스타클래스)</t>
        </is>
      </c>
      <c r="F427" s="5" t="inlineStr"/>
      <c r="G427" s="5" t="inlineStr">
        <is>
          <t>051-271-7211</t>
        </is>
      </c>
      <c r="H427" s="12">
        <f>어린이집!T48</f>
        <v/>
      </c>
      <c r="I427" s="5" t="inlineStr">
        <is>
          <t>만0세 6 / 만1세 20 / 만2세 21 / 기타(연령구분 없음) 5</t>
        </is>
      </c>
    </row>
    <row r="428">
      <c r="A428" s="5" t="inlineStr">
        <is>
          <t>무궁화어린이집</t>
        </is>
      </c>
      <c r="B428" s="5" t="inlineStr">
        <is>
          <t>어린이집</t>
        </is>
      </c>
      <c r="C428" s="5" t="inlineStr">
        <is>
          <t>사회복지법인</t>
        </is>
      </c>
      <c r="D428" s="5" t="inlineStr">
        <is>
          <t>강서구</t>
        </is>
      </c>
      <c r="E428" s="5" t="inlineStr">
        <is>
          <t>부산광역시 강서구 명지국제7로 190 (명지동)</t>
        </is>
      </c>
      <c r="F428" s="5" t="inlineStr"/>
      <c r="G428" s="5" t="inlineStr">
        <is>
          <t>051-271-2940</t>
        </is>
      </c>
      <c r="H428" s="12">
        <f>어린이집!T49</f>
        <v/>
      </c>
      <c r="I428" s="5" t="inlineStr">
        <is>
          <t>만1세 23 / 만2세 42 / 만3세 75 / 만4세 39 / 만5세 33 / 기타(연령구분 없음) 9</t>
        </is>
      </c>
    </row>
    <row r="429">
      <c r="A429" s="5" t="inlineStr">
        <is>
          <t>미소어린이집</t>
        </is>
      </c>
      <c r="B429" s="5" t="inlineStr">
        <is>
          <t>어린이집</t>
        </is>
      </c>
      <c r="C429" s="5" t="inlineStr">
        <is>
          <t>가정</t>
        </is>
      </c>
      <c r="D429" s="5" t="inlineStr">
        <is>
          <t>강서구</t>
        </is>
      </c>
      <c r="E429" s="5" t="inlineStr">
        <is>
          <t>부산광역시 강서구 명지오션시티11로 84 102동 103호(명지동,롯데캐슬)</t>
        </is>
      </c>
      <c r="F429" s="5" t="inlineStr"/>
      <c r="G429" s="5" t="inlineStr">
        <is>
          <t>051-271-7627</t>
        </is>
      </c>
      <c r="H429" s="12">
        <f>어린이집!T50</f>
        <v/>
      </c>
      <c r="I429" s="5" t="inlineStr">
        <is>
          <t>만0세 2 / 만2세 7 / 영아혼합반 4 / 기타(연령구분 없음) 5</t>
        </is>
      </c>
    </row>
    <row r="430">
      <c r="A430" s="5" t="inlineStr">
        <is>
          <t>민들레어린이집</t>
        </is>
      </c>
      <c r="B430" s="5" t="inlineStr">
        <is>
          <t>어린이집</t>
        </is>
      </c>
      <c r="C430" s="5" t="inlineStr">
        <is>
          <t>가정</t>
        </is>
      </c>
      <c r="D430" s="5" t="inlineStr">
        <is>
          <t>강서구</t>
        </is>
      </c>
      <c r="E430" s="5" t="inlineStr">
        <is>
          <t>부산광역시 강서구 신호산단3로 27 101동104호(신호동, 사랑으로부영1차아파트)</t>
        </is>
      </c>
      <c r="F430" s="5" t="inlineStr"/>
      <c r="G430" s="5" t="inlineStr">
        <is>
          <t>051-972-0706</t>
        </is>
      </c>
      <c r="H430" s="12">
        <f>어린이집!T51</f>
        <v/>
      </c>
      <c r="I430" s="5" t="inlineStr">
        <is>
          <t>만0세 2 / 만1세 3 / 기타(연령구분 없음) 3</t>
        </is>
      </c>
    </row>
    <row r="431">
      <c r="A431" s="5" t="inlineStr">
        <is>
          <t>베르힐햇살어린이집</t>
        </is>
      </c>
      <c r="B431" s="5" t="inlineStr">
        <is>
          <t>어린이집</t>
        </is>
      </c>
      <c r="C431" s="5" t="inlineStr">
        <is>
          <t>가정</t>
        </is>
      </c>
      <c r="D431" s="5" t="inlineStr">
        <is>
          <t>강서구</t>
        </is>
      </c>
      <c r="E431" s="5" t="inlineStr">
        <is>
          <t>부산광역시 강서구 에코델타5로 60 114동 102호</t>
        </is>
      </c>
      <c r="F431" s="5" t="inlineStr"/>
      <c r="G431" s="5" t="inlineStr">
        <is>
          <t>051-964-7954</t>
        </is>
      </c>
      <c r="H431" s="12">
        <f>어린이집!T52</f>
        <v/>
      </c>
      <c r="I431" s="5" t="inlineStr">
        <is>
          <t>만0세 8 / 만2세 6 / 기타(연령구분 없음) 3</t>
        </is>
      </c>
    </row>
    <row r="432">
      <c r="A432" s="5" t="inlineStr">
        <is>
          <t>별솔어린이집</t>
        </is>
      </c>
      <c r="B432" s="5" t="inlineStr">
        <is>
          <t>어린이집</t>
        </is>
      </c>
      <c r="C432" s="5" t="inlineStr">
        <is>
          <t>가정</t>
        </is>
      </c>
      <c r="D432" s="5" t="inlineStr">
        <is>
          <t>강서구</t>
        </is>
      </c>
      <c r="E432" s="5" t="inlineStr">
        <is>
          <t>부산광역시 강서구 에코델타1로 42 104-102</t>
        </is>
      </c>
      <c r="F432" s="5" t="inlineStr"/>
      <c r="G432" s="5" t="inlineStr">
        <is>
          <t>051-972-4531</t>
        </is>
      </c>
      <c r="H432" s="12">
        <f>어린이집!T53</f>
        <v/>
      </c>
      <c r="I432" s="5" t="inlineStr">
        <is>
          <t>만0세 12 / 만1세 5 / 기타(연령구분 없음) 2</t>
        </is>
      </c>
    </row>
    <row r="433">
      <c r="A433" s="5" t="inlineStr">
        <is>
          <t>별하어린이집</t>
        </is>
      </c>
      <c r="B433" s="5" t="inlineStr">
        <is>
          <t>어린이집</t>
        </is>
      </c>
      <c r="C433" s="5" t="inlineStr">
        <is>
          <t>가정</t>
        </is>
      </c>
      <c r="D433" s="5" t="inlineStr">
        <is>
          <t>강서구</t>
        </is>
      </c>
      <c r="E433" s="5" t="inlineStr">
        <is>
          <t>부산광역시 강서구 명지국제7로 110 109동 103호 (명지동, 더 힐 시그니처)</t>
        </is>
      </c>
      <c r="F433" s="5" t="inlineStr"/>
      <c r="G433" s="5" t="inlineStr">
        <is>
          <t>051-202-6233</t>
        </is>
      </c>
      <c r="H433" s="12">
        <f>어린이집!T54</f>
        <v/>
      </c>
      <c r="I433" s="5" t="inlineStr">
        <is>
          <t>만0세 3 / 만1세 10 / 만2세 4 / 기타(연령구분 없음) 5</t>
        </is>
      </c>
    </row>
    <row r="434">
      <c r="A434" s="5" t="inlineStr">
        <is>
          <t>봄누리어린이집</t>
        </is>
      </c>
      <c r="B434" s="5" t="inlineStr">
        <is>
          <t>어린이집</t>
        </is>
      </c>
      <c r="C434" s="5" t="inlineStr">
        <is>
          <t>민간</t>
        </is>
      </c>
      <c r="D434" s="5" t="inlineStr">
        <is>
          <t>강서구</t>
        </is>
      </c>
      <c r="E434" s="5" t="inlineStr">
        <is>
          <t>부산광역시 강서구 명지오션시티10로 114 (명지동, 삼정그린코아아파트)</t>
        </is>
      </c>
      <c r="F434" s="5" t="inlineStr"/>
      <c r="G434" s="5" t="inlineStr">
        <is>
          <t>051-271-1898</t>
        </is>
      </c>
      <c r="H434" s="12">
        <f>어린이집!T55</f>
        <v/>
      </c>
      <c r="I434" s="5" t="inlineStr">
        <is>
          <t>만0세 8 / 만1세 18 / 만2세 21 / 기타(연령구분 없음) 5</t>
        </is>
      </c>
    </row>
    <row r="435">
      <c r="A435" s="5" t="inlineStr">
        <is>
          <t>봄빛어린이집</t>
        </is>
      </c>
      <c r="B435" s="5" t="inlineStr">
        <is>
          <t>어린이집</t>
        </is>
      </c>
      <c r="C435" s="5" t="inlineStr">
        <is>
          <t>가정</t>
        </is>
      </c>
      <c r="D435" s="5" t="inlineStr">
        <is>
          <t>강서구</t>
        </is>
      </c>
      <c r="E435" s="5" t="inlineStr">
        <is>
          <t>부산광역시 강서구 명지국제5로 165 805동 103호(명지동,스위트팰리스)</t>
        </is>
      </c>
      <c r="F435" s="5" t="inlineStr"/>
      <c r="G435" s="5" t="inlineStr">
        <is>
          <t>051-201-1599</t>
        </is>
      </c>
      <c r="H435" s="12">
        <f>어린이집!T56</f>
        <v/>
      </c>
      <c r="I435" s="5" t="inlineStr">
        <is>
          <t>만0세 4 / 만1세 9 / 만2세 7 / 기타(연령구분 없음) 7</t>
        </is>
      </c>
    </row>
    <row r="436">
      <c r="A436" s="5" t="inlineStr">
        <is>
          <t>부산서부지원어린이집</t>
        </is>
      </c>
      <c r="B436" s="5" t="inlineStr">
        <is>
          <t>어린이집</t>
        </is>
      </c>
      <c r="C436" s="5" t="inlineStr">
        <is>
          <t>직장</t>
        </is>
      </c>
      <c r="D436" s="5" t="inlineStr">
        <is>
          <t>강서구</t>
        </is>
      </c>
      <c r="E436" s="5" t="inlineStr">
        <is>
          <t>부산광역시 강서구 명지국제7로 77 부산지방법원 서부지원2층</t>
        </is>
      </c>
      <c r="F436" s="5" t="inlineStr"/>
      <c r="G436" s="5" t="inlineStr">
        <is>
          <t>051-812-1520</t>
        </is>
      </c>
      <c r="H436" s="12">
        <f>어린이집!T57</f>
        <v/>
      </c>
      <c r="I436" s="5" t="inlineStr">
        <is>
          <t>만1세 8 / 만2세 6 / 만3세 3 / 유아혼합반 9 / 기타(연령구분 없음) 19</t>
        </is>
      </c>
    </row>
    <row r="437">
      <c r="A437" s="5" t="inlineStr">
        <is>
          <t>부산신호1차부영사랑으로어린이집</t>
        </is>
      </c>
      <c r="B437" s="5" t="inlineStr">
        <is>
          <t>어린이집</t>
        </is>
      </c>
      <c r="C437" s="5" t="inlineStr">
        <is>
          <t>민간</t>
        </is>
      </c>
      <c r="D437" s="5" t="inlineStr">
        <is>
          <t>강서구</t>
        </is>
      </c>
      <c r="E437" s="5" t="inlineStr">
        <is>
          <t>부산광역시 강서구 신호산단3로 27 104동(신호동, 부영1차아파트)</t>
        </is>
      </c>
      <c r="F437" s="11" t="inlineStr">
        <is>
          <t>https://booyoung1.kidsnote.ac/home/main</t>
        </is>
      </c>
      <c r="G437" s="5" t="inlineStr">
        <is>
          <t>051-832-2204</t>
        </is>
      </c>
      <c r="H437" s="12">
        <f>어린이집!T58</f>
        <v/>
      </c>
      <c r="I437" s="5" t="inlineStr">
        <is>
          <t>만0세 8 / 만1세 4 / 만2세 8 / 만3세 8 / 영아혼합반 5 / 기타(연령구분 없음) 15</t>
        </is>
      </c>
    </row>
    <row r="438">
      <c r="A438" s="5" t="inlineStr">
        <is>
          <t>부산신호2차부영사랑으로어린이집</t>
        </is>
      </c>
      <c r="B438" s="5" t="inlineStr">
        <is>
          <t>어린이집</t>
        </is>
      </c>
      <c r="C438" s="5" t="inlineStr">
        <is>
          <t>민간</t>
        </is>
      </c>
      <c r="D438" s="5" t="inlineStr">
        <is>
          <t>강서구</t>
        </is>
      </c>
      <c r="E438" s="5" t="inlineStr">
        <is>
          <t>부산광역시 강서구 신호산단4로 27 207동(신호동, 부영2차아파트)</t>
        </is>
      </c>
      <c r="F438" s="5" t="inlineStr"/>
      <c r="G438" s="5" t="inlineStr">
        <is>
          <t>051-971-1279</t>
        </is>
      </c>
      <c r="H438" s="12">
        <f>어린이집!T59</f>
        <v/>
      </c>
      <c r="I438" s="5" t="inlineStr">
        <is>
          <t>만0세 6 / 만1세 9 / 만2세 12 / 만3세 8 / 기타(연령구분 없음) 9</t>
        </is>
      </c>
    </row>
    <row r="439">
      <c r="A439" s="5" t="inlineStr">
        <is>
          <t>부산신호3차부영사랑으로어린이집</t>
        </is>
      </c>
      <c r="B439" s="5" t="inlineStr">
        <is>
          <t>어린이집</t>
        </is>
      </c>
      <c r="C439" s="5" t="inlineStr">
        <is>
          <t>민간</t>
        </is>
      </c>
      <c r="D439" s="5" t="inlineStr">
        <is>
          <t>강서구</t>
        </is>
      </c>
      <c r="E439" s="5" t="inlineStr">
        <is>
          <t>부산광역시 강서구 신호산단5로 31 318동(신호동, 부영3차아파트)</t>
        </is>
      </c>
      <c r="F439" s="5" t="inlineStr"/>
      <c r="G439" s="5" t="inlineStr">
        <is>
          <t>051-832-2253</t>
        </is>
      </c>
      <c r="H439" s="12">
        <f>어린이집!T60</f>
        <v/>
      </c>
      <c r="I439" s="5" t="inlineStr">
        <is>
          <t>만0세 4 / 만1세 19 / 만2세 7 / 장애아반(특수) 3 / 기타(연령구분 없음) 19</t>
        </is>
      </c>
    </row>
    <row r="440">
      <c r="A440" s="5" t="inlineStr">
        <is>
          <t>부산신호5차부영사랑으로어린이집</t>
        </is>
      </c>
      <c r="B440" s="5" t="inlineStr">
        <is>
          <t>어린이집</t>
        </is>
      </c>
      <c r="C440" s="5" t="inlineStr">
        <is>
          <t>민간</t>
        </is>
      </c>
      <c r="D440" s="5" t="inlineStr">
        <is>
          <t>강서구</t>
        </is>
      </c>
      <c r="E440" s="5" t="inlineStr">
        <is>
          <t>부산광역시 강서구 신호산단1로 101 관리동(신호동, 부영5차아파트)</t>
        </is>
      </c>
      <c r="F440" s="5" t="inlineStr"/>
      <c r="G440" s="5" t="inlineStr">
        <is>
          <t>051-832-2016</t>
        </is>
      </c>
      <c r="H440" s="12">
        <f>어린이집!T61</f>
        <v/>
      </c>
      <c r="I440" s="5" t="inlineStr">
        <is>
          <t>만0세 4 / 만1세 3 / 만2세 7</t>
        </is>
      </c>
    </row>
    <row r="441">
      <c r="A441" s="5" t="inlineStr">
        <is>
          <t>사랑가득어린이집</t>
        </is>
      </c>
      <c r="B441" s="5" t="inlineStr">
        <is>
          <t>어린이집</t>
        </is>
      </c>
      <c r="C441" s="5" t="inlineStr">
        <is>
          <t>가정</t>
        </is>
      </c>
      <c r="D441" s="5" t="inlineStr">
        <is>
          <t>강서구</t>
        </is>
      </c>
      <c r="E441" s="5" t="inlineStr">
        <is>
          <t>부산광역시 강서구 명지오션시티1로 155 110동 202호(명지동, 한신휴플러스)</t>
        </is>
      </c>
      <c r="F441" s="5" t="inlineStr"/>
      <c r="G441" s="5" t="inlineStr">
        <is>
          <t>051-900-6969</t>
        </is>
      </c>
      <c r="H441" s="12">
        <f>어린이집!T62</f>
        <v/>
      </c>
      <c r="I441" s="5" t="inlineStr">
        <is>
          <t>만0세 2 / 만1세 4 / 만2세 5 / 기타(연령구분 없음) 3</t>
        </is>
      </c>
    </row>
    <row r="442">
      <c r="A442" s="5" t="inlineStr">
        <is>
          <t>사랑둥이어린이집</t>
        </is>
      </c>
      <c r="B442" s="5" t="inlineStr">
        <is>
          <t>어린이집</t>
        </is>
      </c>
      <c r="C442" s="5" t="inlineStr">
        <is>
          <t>가정</t>
        </is>
      </c>
      <c r="D442" s="5" t="inlineStr">
        <is>
          <t>강서구</t>
        </is>
      </c>
      <c r="E442" s="5" t="inlineStr">
        <is>
          <t>부산광역시 강서구 명지국제5로 60 104-103(명지동, 에일린의 뜰 아파트)</t>
        </is>
      </c>
      <c r="F442" s="5" t="inlineStr"/>
      <c r="G442" s="5" t="inlineStr">
        <is>
          <t>051-202-0637</t>
        </is>
      </c>
      <c r="H442" s="12">
        <f>어린이집!T63</f>
        <v/>
      </c>
      <c r="I442" s="5" t="inlineStr">
        <is>
          <t>만0세 8 / 만1세 5 / 만2세 6 / 기타(연령구분 없음) 4</t>
        </is>
      </c>
    </row>
    <row r="443">
      <c r="A443" s="5" t="inlineStr">
        <is>
          <t>삼성전기부산어린이집</t>
        </is>
      </c>
      <c r="B443" s="5" t="inlineStr">
        <is>
          <t>어린이집</t>
        </is>
      </c>
      <c r="C443" s="5" t="inlineStr">
        <is>
          <t>직장</t>
        </is>
      </c>
      <c r="D443" s="5" t="inlineStr">
        <is>
          <t>강서구</t>
        </is>
      </c>
      <c r="E443" s="5" t="inlineStr">
        <is>
          <t>부산광역시 강서구 녹산산업중로 333 삼성전기 부산공장 33호동(여자기숙사) (송정동)</t>
        </is>
      </c>
      <c r="F443" s="5" t="inlineStr"/>
      <c r="G443" s="5" t="inlineStr">
        <is>
          <t>051-970-9040</t>
        </is>
      </c>
      <c r="H443" s="12">
        <f>어린이집!T64</f>
        <v/>
      </c>
      <c r="I443" s="5" t="inlineStr">
        <is>
          <t>만1세 15 / 만2세 15 / 만3세 15 / 만4세 16 / 만5세 10 / 기타(연령구분 없음) 61</t>
        </is>
      </c>
    </row>
    <row r="444">
      <c r="A444" s="5" t="inlineStr">
        <is>
          <t>삼정그린어린이집</t>
        </is>
      </c>
      <c r="B444" s="5" t="inlineStr">
        <is>
          <t>어린이집</t>
        </is>
      </c>
      <c r="C444" s="5" t="inlineStr">
        <is>
          <t>가정</t>
        </is>
      </c>
      <c r="D444" s="5" t="inlineStr">
        <is>
          <t>강서구</t>
        </is>
      </c>
      <c r="E444" s="5" t="inlineStr">
        <is>
          <t>부산광역시 강서구 명지오션시티10로 114 107동 203호(명지동, 삼정그린코아)</t>
        </is>
      </c>
      <c r="F444" s="5" t="inlineStr"/>
      <c r="G444" s="5" t="inlineStr">
        <is>
          <t>051-201-4160</t>
        </is>
      </c>
      <c r="H444" s="12">
        <f>어린이집!T65</f>
        <v/>
      </c>
      <c r="I444" s="5" t="inlineStr">
        <is>
          <t>만0세 3 / 만1세 6 / 만2세 5 / 기타(연령구분 없음) 3</t>
        </is>
      </c>
    </row>
    <row r="445">
      <c r="A445" s="5" t="inlineStr">
        <is>
          <t>삼정자연어린이집</t>
        </is>
      </c>
      <c r="B445" s="5" t="inlineStr">
        <is>
          <t>어린이집</t>
        </is>
      </c>
      <c r="C445" s="5" t="inlineStr">
        <is>
          <t>가정</t>
        </is>
      </c>
      <c r="D445" s="5" t="inlineStr">
        <is>
          <t>강서구</t>
        </is>
      </c>
      <c r="E445" s="5" t="inlineStr">
        <is>
          <t>부산광역시 강서구 과학산단2로20번길 91 103동 103호(지사삼정그린코아)</t>
        </is>
      </c>
      <c r="F445" s="11" t="inlineStr">
        <is>
          <t>https://blog.naver.com/pmww333</t>
        </is>
      </c>
      <c r="G445" s="5" t="inlineStr">
        <is>
          <t>051-915-8737</t>
        </is>
      </c>
      <c r="H445" s="12">
        <f>어린이집!T66</f>
        <v/>
      </c>
      <c r="I445" s="5" t="inlineStr">
        <is>
          <t>만0세 4 / 만1세 5 / 만2세 4 / 영아혼합반 3 / 기타(연령구분 없음) 4</t>
        </is>
      </c>
    </row>
    <row r="446">
      <c r="A446" s="5" t="inlineStr">
        <is>
          <t>삼정키즈어린이집</t>
        </is>
      </c>
      <c r="B446" s="5" t="inlineStr">
        <is>
          <t>어린이집</t>
        </is>
      </c>
      <c r="C446" s="5" t="inlineStr">
        <is>
          <t>가정</t>
        </is>
      </c>
      <c r="D446" s="5" t="inlineStr">
        <is>
          <t>강서구</t>
        </is>
      </c>
      <c r="E446" s="5" t="inlineStr">
        <is>
          <t>부산광역시 강서구 과학산단2로20번길 91 108동 103호(지사동, 삼정그린코아아파트)</t>
        </is>
      </c>
      <c r="F446" s="11" t="inlineStr">
        <is>
          <t>https://cafe.naver.com/samjeongkids</t>
        </is>
      </c>
      <c r="G446" s="5" t="inlineStr">
        <is>
          <t>051-941-2882</t>
        </is>
      </c>
      <c r="H446" s="12">
        <f>어린이집!T67</f>
        <v/>
      </c>
      <c r="I446" s="5" t="inlineStr">
        <is>
          <t>영아혼합반 3 / 기타(연령구분 없음) 2</t>
        </is>
      </c>
    </row>
    <row r="447">
      <c r="A447" s="5" t="inlineStr">
        <is>
          <t>서연정어린이집</t>
        </is>
      </c>
      <c r="B447" s="5" t="inlineStr">
        <is>
          <t>어린이집</t>
        </is>
      </c>
      <c r="C447" s="5" t="inlineStr">
        <is>
          <t>국공립</t>
        </is>
      </c>
      <c r="D447" s="5" t="inlineStr">
        <is>
          <t>강서구</t>
        </is>
      </c>
      <c r="E447" s="5" t="inlineStr">
        <is>
          <t>부산광역시 강서구 대저로255번길 15</t>
        </is>
      </c>
      <c r="F447" s="5" t="inlineStr"/>
      <c r="G447" s="5" t="inlineStr">
        <is>
          <t>051-971-6042</t>
        </is>
      </c>
      <c r="H447" s="12">
        <f>어린이집!T68</f>
        <v/>
      </c>
      <c r="I447" s="5" t="inlineStr">
        <is>
          <t>만0세 3 / 만1세 3 / 만2세 5 / 만3세 3 / 영아혼합반 8 / 장애아반(특수) 2 / 기타(연령구분 없음) 8</t>
        </is>
      </c>
    </row>
    <row r="448">
      <c r="A448" s="5" t="inlineStr">
        <is>
          <t>소담어린이집</t>
        </is>
      </c>
      <c r="B448" s="5" t="inlineStr">
        <is>
          <t>어린이집</t>
        </is>
      </c>
      <c r="C448" s="5" t="inlineStr">
        <is>
          <t>가정</t>
        </is>
      </c>
      <c r="D448" s="5" t="inlineStr">
        <is>
          <t>강서구</t>
        </is>
      </c>
      <c r="E448" s="5" t="inlineStr">
        <is>
          <t>부산광역시 강서구 명지국제7로 133 106동 105호(명지동, 중흥S클래스프라디움)</t>
        </is>
      </c>
      <c r="F448" s="5" t="inlineStr"/>
      <c r="G448" s="5" t="inlineStr">
        <is>
          <t>051-204-8678</t>
        </is>
      </c>
      <c r="H448" s="12">
        <f>어린이집!T69</f>
        <v/>
      </c>
      <c r="I448" s="5" t="inlineStr">
        <is>
          <t>만0세 6 / 만1세 5 / 만2세 5 / 기타(연령구분 없음) 3</t>
        </is>
      </c>
    </row>
    <row r="449">
      <c r="A449" s="5" t="inlineStr">
        <is>
          <t>스위트팰리스어린이집</t>
        </is>
      </c>
      <c r="B449" s="5" t="inlineStr">
        <is>
          <t>어린이집</t>
        </is>
      </c>
      <c r="C449" s="5" t="inlineStr">
        <is>
          <t>국공립</t>
        </is>
      </c>
      <c r="D449" s="5" t="inlineStr">
        <is>
          <t>강서구</t>
        </is>
      </c>
      <c r="E449" s="5" t="inlineStr">
        <is>
          <t>부산광역시 강서구 명지국제5로 165 (명지동, 명지스위트팰리스)</t>
        </is>
      </c>
      <c r="F449" s="5" t="inlineStr"/>
      <c r="G449" s="5" t="inlineStr">
        <is>
          <t>051-291-8366</t>
        </is>
      </c>
      <c r="H449" s="12">
        <f>어린이집!T70</f>
        <v/>
      </c>
      <c r="I449" s="5" t="inlineStr">
        <is>
          <t>만0세 7 / 만1세 25 / 만2세 12 / 기타(연령구분 없음) 5</t>
        </is>
      </c>
    </row>
    <row r="450">
      <c r="A450" s="5" t="inlineStr">
        <is>
          <t>아이마음어린이집</t>
        </is>
      </c>
      <c r="B450" s="5" t="inlineStr">
        <is>
          <t>어린이집</t>
        </is>
      </c>
      <c r="C450" s="5" t="inlineStr">
        <is>
          <t>가정</t>
        </is>
      </c>
      <c r="D450" s="5" t="inlineStr">
        <is>
          <t>강서구</t>
        </is>
      </c>
      <c r="E450" s="5" t="inlineStr">
        <is>
          <t>부산광역시 강서구 명지국제5로 141 협성휴포레 105동 102호</t>
        </is>
      </c>
      <c r="F450" s="5" t="inlineStr"/>
      <c r="G450" s="5" t="inlineStr">
        <is>
          <t>051-293-1233</t>
        </is>
      </c>
      <c r="H450" s="12">
        <f>어린이집!T71</f>
        <v/>
      </c>
      <c r="I450" s="5" t="inlineStr">
        <is>
          <t>만0세 5 / 만1세 8 / 만2세 5 / 기타(연령구분 없음) 3</t>
        </is>
      </c>
    </row>
    <row r="451">
      <c r="A451" s="5" t="inlineStr">
        <is>
          <t>아이캐슬어린이집</t>
        </is>
      </c>
      <c r="B451" s="5" t="inlineStr">
        <is>
          <t>어린이집</t>
        </is>
      </c>
      <c r="C451" s="5" t="inlineStr">
        <is>
          <t>민간</t>
        </is>
      </c>
      <c r="D451" s="5" t="inlineStr">
        <is>
          <t>강서구</t>
        </is>
      </c>
      <c r="E451" s="5" t="inlineStr">
        <is>
          <t>부산광역시 강서구 명지오션시티11로 84  (명지동, 롯데캐슬아파트)</t>
        </is>
      </c>
      <c r="F451" s="5" t="inlineStr"/>
      <c r="G451" s="5" t="inlineStr">
        <is>
          <t>051-202-6785</t>
        </is>
      </c>
      <c r="H451" s="12">
        <f>어린이집!T72</f>
        <v/>
      </c>
      <c r="I451" s="5" t="inlineStr">
        <is>
          <t>만0세 4 / 만1세 19 / 만2세 13 / 기타(연령구분 없음) 5</t>
        </is>
      </c>
    </row>
    <row r="452">
      <c r="A452" s="5" t="inlineStr">
        <is>
          <t>아이키즈어린이집</t>
        </is>
      </c>
      <c r="B452" s="5" t="inlineStr">
        <is>
          <t>어린이집</t>
        </is>
      </c>
      <c r="C452" s="5" t="inlineStr">
        <is>
          <t>민간</t>
        </is>
      </c>
      <c r="D452" s="5" t="inlineStr">
        <is>
          <t>강서구</t>
        </is>
      </c>
      <c r="E452" s="5" t="inlineStr">
        <is>
          <t>부산광역시 강서구 명지국제7로 133 1층 관리동(명지동, 중흥S클래스 프라디움)</t>
        </is>
      </c>
      <c r="F452" s="5" t="inlineStr"/>
      <c r="G452" s="5" t="inlineStr">
        <is>
          <t>051-204-7980</t>
        </is>
      </c>
      <c r="H452" s="12">
        <f>어린이집!T73</f>
        <v/>
      </c>
      <c r="I452" s="5" t="inlineStr">
        <is>
          <t>만0세 9 / 만1세 10 / 만2세 21 / 영아혼합반 5 / 기타(연령구분 없음) 9</t>
        </is>
      </c>
    </row>
    <row r="453">
      <c r="A453" s="5" t="inlineStr">
        <is>
          <t>아이포레어린이집</t>
        </is>
      </c>
      <c r="B453" s="5" t="inlineStr">
        <is>
          <t>어린이집</t>
        </is>
      </c>
      <c r="C453" s="5" t="inlineStr">
        <is>
          <t>민간</t>
        </is>
      </c>
      <c r="D453" s="5" t="inlineStr">
        <is>
          <t>강서구</t>
        </is>
      </c>
      <c r="E453" s="5" t="inlineStr">
        <is>
          <t>부산광역시 강서구 명지국제5로 141 관리동 (명지1동, 명지협성휴포레)</t>
        </is>
      </c>
      <c r="F453" s="5" t="inlineStr"/>
      <c r="G453" s="5" t="inlineStr">
        <is>
          <t>051-912-8221</t>
        </is>
      </c>
      <c r="H453" s="12">
        <f>어린이집!T74</f>
        <v/>
      </c>
      <c r="I453" s="5" t="inlineStr">
        <is>
          <t>만0세 8 / 만1세 15 / 만2세 14 / 기타(연령구분 없음) 5</t>
        </is>
      </c>
    </row>
    <row r="454">
      <c r="A454" s="5" t="inlineStr">
        <is>
          <t>아인슈타인어린이집</t>
        </is>
      </c>
      <c r="B454" s="5" t="inlineStr">
        <is>
          <t>어린이집</t>
        </is>
      </c>
      <c r="C454" s="5" t="inlineStr">
        <is>
          <t>민간</t>
        </is>
      </c>
      <c r="D454" s="5" t="inlineStr">
        <is>
          <t>강서구</t>
        </is>
      </c>
      <c r="E454" s="5" t="inlineStr">
        <is>
          <t>부산광역시 강서구 명지오션시티11로 51 퀸덤1차아파트 311동 (명지동)</t>
        </is>
      </c>
      <c r="F454" s="5" t="inlineStr"/>
      <c r="G454" s="5" t="inlineStr">
        <is>
          <t>051-271-7202</t>
        </is>
      </c>
      <c r="H454" s="12">
        <f>어린이집!T75</f>
        <v/>
      </c>
      <c r="I454" s="5" t="inlineStr">
        <is>
          <t>만0세 8 / 만1세 10 / 만2세 13 / 기타(연령구분 없음) 3</t>
        </is>
      </c>
    </row>
    <row r="455">
      <c r="A455" s="5" t="inlineStr">
        <is>
          <t>아침햇살 어린이집</t>
        </is>
      </c>
      <c r="B455" s="5" t="inlineStr">
        <is>
          <t>어린이집</t>
        </is>
      </c>
      <c r="C455" s="5" t="inlineStr">
        <is>
          <t>가정</t>
        </is>
      </c>
      <c r="D455" s="5" t="inlineStr">
        <is>
          <t>강서구</t>
        </is>
      </c>
      <c r="E455" s="5" t="inlineStr">
        <is>
          <t>부산광역시 강서구 명지국제7로 133 102-101(명지동, 중흥S클래스프라디움)</t>
        </is>
      </c>
      <c r="F455" s="5" t="inlineStr"/>
      <c r="G455" s="5" t="inlineStr">
        <is>
          <t>070-8286-4886</t>
        </is>
      </c>
      <c r="H455" s="12">
        <f>어린이집!T76</f>
        <v/>
      </c>
      <c r="I455" s="5" t="inlineStr">
        <is>
          <t>만0세 3 / 만1세 10 / 영아혼합반 2 / 기타(연령구분 없음) 5</t>
        </is>
      </c>
    </row>
    <row r="456">
      <c r="A456" s="5" t="inlineStr">
        <is>
          <t>앙쥬어린이집</t>
        </is>
      </c>
      <c r="B456" s="5" t="inlineStr">
        <is>
          <t>어린이집</t>
        </is>
      </c>
      <c r="C456" s="5" t="inlineStr">
        <is>
          <t>가정</t>
        </is>
      </c>
      <c r="D456" s="5" t="inlineStr">
        <is>
          <t>강서구</t>
        </is>
      </c>
      <c r="E456" s="5" t="inlineStr">
        <is>
          <t>부산광역시 강서구 신호산단1로 101 512동 103호(신호동,부영5차)</t>
        </is>
      </c>
      <c r="F456" s="5" t="inlineStr"/>
      <c r="G456" s="5" t="inlineStr">
        <is>
          <t>051-931-0023</t>
        </is>
      </c>
      <c r="H456" s="12">
        <f>어린이집!T77</f>
        <v/>
      </c>
      <c r="I456" s="5" t="inlineStr">
        <is>
          <t>만0세 2 / 만1세 4 / 기타(연령구분 없음) 3</t>
        </is>
      </c>
    </row>
    <row r="457">
      <c r="A457" s="5" t="inlineStr">
        <is>
          <t>에듀오션어린이집</t>
        </is>
      </c>
      <c r="B457" s="5" t="inlineStr">
        <is>
          <t>어린이집</t>
        </is>
      </c>
      <c r="C457" s="5" t="inlineStr">
        <is>
          <t>민간</t>
        </is>
      </c>
      <c r="D457" s="5" t="inlineStr">
        <is>
          <t>강서구</t>
        </is>
      </c>
      <c r="E457" s="5" t="inlineStr">
        <is>
          <t>부산광역시 강서구 명지국제5로 90 207동1층(명지1동, 중흥S클래스 에듀오션)</t>
        </is>
      </c>
      <c r="F457" s="5" t="inlineStr"/>
      <c r="G457" s="5" t="inlineStr">
        <is>
          <t>051-711-5505</t>
        </is>
      </c>
      <c r="H457" s="12">
        <f>어린이집!T78</f>
        <v/>
      </c>
      <c r="I457" s="5" t="inlineStr">
        <is>
          <t>만0세 12 / 만1세 20 / 만2세 28 / 기타(연령구분 없음) 5</t>
        </is>
      </c>
    </row>
    <row r="458">
      <c r="A458" s="5" t="inlineStr">
        <is>
          <t>에듀팰리스어린이집</t>
        </is>
      </c>
      <c r="B458" s="5" t="inlineStr">
        <is>
          <t>어린이집</t>
        </is>
      </c>
      <c r="C458" s="5" t="inlineStr">
        <is>
          <t>국공립</t>
        </is>
      </c>
      <c r="D458" s="5" t="inlineStr">
        <is>
          <t>강서구</t>
        </is>
      </c>
      <c r="E458" s="5" t="inlineStr">
        <is>
          <t>부산광역시 강서구 명지국제7로 110 (명지동, 더 힐 시그니처)</t>
        </is>
      </c>
      <c r="F458" s="5" t="inlineStr"/>
      <c r="G458" s="5" t="inlineStr">
        <is>
          <t>051-204-2202</t>
        </is>
      </c>
      <c r="H458" s="12">
        <f>어린이집!T79</f>
        <v/>
      </c>
      <c r="I458" s="5" t="inlineStr">
        <is>
          <t>만1세 13 / 만2세 19 / 기타(연령구분 없음) 5</t>
        </is>
      </c>
    </row>
    <row r="459">
      <c r="A459" s="5" t="inlineStr">
        <is>
          <t>에디슨키즈어린이집</t>
        </is>
      </c>
      <c r="B459" s="5" t="inlineStr">
        <is>
          <t>어린이집</t>
        </is>
      </c>
      <c r="C459" s="5" t="inlineStr">
        <is>
          <t>민간</t>
        </is>
      </c>
      <c r="D459" s="5" t="inlineStr">
        <is>
          <t>강서구</t>
        </is>
      </c>
      <c r="E459" s="5" t="inlineStr">
        <is>
          <t>부산광역시 강서구 명지오션시티10로 17 퀸덤1차아파트 107동 (명지동)</t>
        </is>
      </c>
      <c r="F459" s="5" t="inlineStr"/>
      <c r="G459" s="5" t="inlineStr">
        <is>
          <t>051-207-0691</t>
        </is>
      </c>
      <c r="H459" s="12">
        <f>어린이집!T80</f>
        <v/>
      </c>
      <c r="I459" s="5" t="inlineStr">
        <is>
          <t>만0세 2 / 만1세 8 / 만2세 7 / 기타(연령구분 없음) 8</t>
        </is>
      </c>
    </row>
    <row r="460">
      <c r="A460" s="5" t="inlineStr">
        <is>
          <t>에코린어린이집</t>
        </is>
      </c>
      <c r="B460" s="5" t="inlineStr">
        <is>
          <t>어린이집</t>
        </is>
      </c>
      <c r="C460" s="5" t="inlineStr">
        <is>
          <t>가정</t>
        </is>
      </c>
      <c r="D460" s="5" t="inlineStr">
        <is>
          <t>강서구</t>
        </is>
      </c>
      <c r="E460" s="5" t="inlineStr">
        <is>
          <t>부산광역시 강서구 에코델타3로 43 102동 104호</t>
        </is>
      </c>
      <c r="F460" s="5" t="inlineStr"/>
      <c r="G460" s="5" t="inlineStr">
        <is>
          <t>051-361-6344</t>
        </is>
      </c>
      <c r="H460" s="12">
        <f>어린이집!T81</f>
        <v/>
      </c>
      <c r="I460" s="5" t="inlineStr">
        <is>
          <t>만0세 8 / 만1세 10 / 기타(연령구분 없음) 5</t>
        </is>
      </c>
    </row>
    <row r="461">
      <c r="A461" s="5" t="inlineStr">
        <is>
          <t>에코이편한어린이집</t>
        </is>
      </c>
      <c r="B461" s="5" t="inlineStr">
        <is>
          <t>어린이집</t>
        </is>
      </c>
      <c r="C461" s="5" t="inlineStr">
        <is>
          <t>가정</t>
        </is>
      </c>
      <c r="D461" s="5" t="inlineStr">
        <is>
          <t>강서구</t>
        </is>
      </c>
      <c r="E461" s="5" t="inlineStr">
        <is>
          <t>부산광역시 강서구 에코델타1로 42 115동 103호</t>
        </is>
      </c>
      <c r="F461" s="5" t="inlineStr"/>
      <c r="G461" s="5" t="inlineStr">
        <is>
          <t>051-988-7900</t>
        </is>
      </c>
      <c r="H461" s="12">
        <f>어린이집!T82</f>
        <v/>
      </c>
      <c r="I461" s="5" t="inlineStr">
        <is>
          <t>만1세 8 / 만2세 7 / 영아혼합반 5 / 기타(연령구분 없음) 3</t>
        </is>
      </c>
    </row>
    <row r="462">
      <c r="A462" s="5" t="inlineStr">
        <is>
          <t>엘리시안어린이집</t>
        </is>
      </c>
      <c r="B462" s="5" t="inlineStr">
        <is>
          <t>어린이집</t>
        </is>
      </c>
      <c r="C462" s="5" t="inlineStr">
        <is>
          <t>가정</t>
        </is>
      </c>
      <c r="D462" s="5" t="inlineStr">
        <is>
          <t>강서구</t>
        </is>
      </c>
      <c r="E462" s="5" t="inlineStr">
        <is>
          <t>부산광역시 강서구 과학산단로306번길 10 102동 103호(지사동, 협성DS엘리시안아파트)</t>
        </is>
      </c>
      <c r="F462" s="5" t="inlineStr"/>
      <c r="G462" s="5" t="inlineStr">
        <is>
          <t>051-831-9778</t>
        </is>
      </c>
      <c r="H462" s="12">
        <f>어린이집!T83</f>
        <v/>
      </c>
      <c r="I462" s="5" t="inlineStr">
        <is>
          <t>만0세 2 / 만2세 5 / 영아혼합반 3 / 기타(연령구분 없음) 3</t>
        </is>
      </c>
    </row>
    <row r="463">
      <c r="A463" s="5" t="inlineStr">
        <is>
          <t>오션타운어린이집</t>
        </is>
      </c>
      <c r="B463" s="5" t="inlineStr">
        <is>
          <t>어린이집</t>
        </is>
      </c>
      <c r="C463" s="5" t="inlineStr">
        <is>
          <t>국공립</t>
        </is>
      </c>
      <c r="D463" s="5" t="inlineStr">
        <is>
          <t>강서구</t>
        </is>
      </c>
      <c r="E463" s="5" t="inlineStr">
        <is>
          <t>부산광역시 강서구 명지국제7로 111 (명지동, 명지더웨스턴)</t>
        </is>
      </c>
      <c r="F463" s="5" t="inlineStr"/>
      <c r="G463" s="5" t="inlineStr">
        <is>
          <t>051-715-7202</t>
        </is>
      </c>
      <c r="H463" s="12">
        <f>어린이집!T84</f>
        <v/>
      </c>
      <c r="I463" s="5" t="inlineStr">
        <is>
          <t>만0세 9 / 만1세 25 / 만2세 28 / 장애아반(특수) 3 / 기타(연령구분 없음) 5</t>
        </is>
      </c>
    </row>
    <row r="464">
      <c r="A464" s="5" t="inlineStr">
        <is>
          <t>올리브나무어린이집</t>
        </is>
      </c>
      <c r="B464" s="5" t="inlineStr">
        <is>
          <t>어린이집</t>
        </is>
      </c>
      <c r="C464" s="5" t="inlineStr">
        <is>
          <t>가정</t>
        </is>
      </c>
      <c r="D464" s="5" t="inlineStr">
        <is>
          <t>강서구</t>
        </is>
      </c>
      <c r="E464" s="5" t="inlineStr">
        <is>
          <t>부산광역시 강서구 명지국제7로 110 115동 104호(명지동, 더힐시그니처)</t>
        </is>
      </c>
      <c r="F464" s="5" t="inlineStr"/>
      <c r="G464" s="5" t="inlineStr">
        <is>
          <t>051-902-8878</t>
        </is>
      </c>
      <c r="H464" s="12">
        <f>어린이집!T85</f>
        <v/>
      </c>
      <c r="I464" s="5" t="inlineStr">
        <is>
          <t>만0세 2 / 만1세 5 / 만2세 11 / 영아혼합반 2</t>
        </is>
      </c>
    </row>
    <row r="465">
      <c r="A465" s="5" t="inlineStr">
        <is>
          <t>우방도담어린이집</t>
        </is>
      </c>
      <c r="B465" s="5" t="inlineStr">
        <is>
          <t>어린이집</t>
        </is>
      </c>
      <c r="C465" s="5" t="inlineStr">
        <is>
          <t>가정</t>
        </is>
      </c>
      <c r="D465" s="5" t="inlineStr">
        <is>
          <t>강서구</t>
        </is>
      </c>
      <c r="E465" s="5" t="inlineStr">
        <is>
          <t>부산광역시 강서구 화전산단4로 74 111동 106호(화전동,우방아이유쉘)</t>
        </is>
      </c>
      <c r="F465" s="5" t="inlineStr"/>
      <c r="G465" s="5" t="inlineStr">
        <is>
          <t>051-947-2004</t>
        </is>
      </c>
      <c r="H465" s="12">
        <f>어린이집!T86</f>
        <v/>
      </c>
      <c r="I465" s="5" t="inlineStr">
        <is>
          <t>영아혼합반 9 / 기타(연령구분 없음) 3</t>
        </is>
      </c>
    </row>
    <row r="466">
      <c r="A466" s="5" t="inlineStr">
        <is>
          <t>우방라온어린이집</t>
        </is>
      </c>
      <c r="B466" s="5" t="inlineStr">
        <is>
          <t>어린이집</t>
        </is>
      </c>
      <c r="C466" s="5" t="inlineStr">
        <is>
          <t>가정</t>
        </is>
      </c>
      <c r="D466" s="5" t="inlineStr">
        <is>
          <t>강서구</t>
        </is>
      </c>
      <c r="E466" s="5" t="inlineStr">
        <is>
          <t>부산광역시 강서구 화전산단4로 74 108동 104호(화전동,우방아이유쉘)</t>
        </is>
      </c>
      <c r="F466" s="5" t="inlineStr"/>
      <c r="G466" s="5" t="inlineStr">
        <is>
          <t>051-905-3660</t>
        </is>
      </c>
      <c r="H466" s="12">
        <f>어린이집!T87</f>
        <v/>
      </c>
      <c r="I466" s="5" t="inlineStr">
        <is>
          <t>만0세 5 / 만1세 5 / 만2세 4 / 기타(연령구분 없음) 19</t>
        </is>
      </c>
    </row>
    <row r="467">
      <c r="A467" s="5" t="inlineStr">
        <is>
          <t>우방아이유쉘어린이집</t>
        </is>
      </c>
      <c r="B467" s="5" t="inlineStr">
        <is>
          <t>어린이집</t>
        </is>
      </c>
      <c r="C467" s="5" t="inlineStr">
        <is>
          <t>국공립</t>
        </is>
      </c>
      <c r="D467" s="5" t="inlineStr">
        <is>
          <t>강서구</t>
        </is>
      </c>
      <c r="E467" s="5" t="inlineStr">
        <is>
          <t>부산광역시 강서구 화전산단4로 74 (화전동, 우방아이유쉘)</t>
        </is>
      </c>
      <c r="F467" s="5" t="inlineStr"/>
      <c r="G467" s="5" t="inlineStr">
        <is>
          <t>051-974-1249</t>
        </is>
      </c>
      <c r="H467" s="12">
        <f>어린이집!T88</f>
        <v/>
      </c>
      <c r="I467" s="5" t="inlineStr">
        <is>
          <t>만0세 6 / 만1세 5 / 만2세 20 / 만3세 18 / 만4세 16 / 만5세 15 / 영아혼합반 8 / 장애아반(특수) 2 / 기타(연령구분 없음) 21</t>
        </is>
      </c>
    </row>
    <row r="468">
      <c r="A468" s="5" t="inlineStr">
        <is>
          <t>윌어린이집</t>
        </is>
      </c>
      <c r="B468" s="5" t="inlineStr">
        <is>
          <t>어린이집</t>
        </is>
      </c>
      <c r="C468" s="5" t="inlineStr">
        <is>
          <t>민간</t>
        </is>
      </c>
      <c r="D468" s="5" t="inlineStr">
        <is>
          <t>강서구</t>
        </is>
      </c>
      <c r="E468" s="5" t="inlineStr">
        <is>
          <t>부산광역시 강서구 신호산단3로 55 (윌더하임아파트 관리동보육시설) (신호동)</t>
        </is>
      </c>
      <c r="F468" s="5" t="inlineStr"/>
      <c r="G468" s="5" t="inlineStr">
        <is>
          <t>051-971-9078</t>
        </is>
      </c>
      <c r="H468" s="12">
        <f>어린이집!T89</f>
        <v/>
      </c>
      <c r="I468" s="5" t="inlineStr">
        <is>
          <t>만0세 2 / 만1세 3 / 만2세 5 / 영아혼합반 7 / 기타(연령구분 없음) 7</t>
        </is>
      </c>
    </row>
    <row r="469">
      <c r="A469" s="5" t="inlineStr">
        <is>
          <t>이편한센터포인트어린이집</t>
        </is>
      </c>
      <c r="B469" s="5" t="inlineStr">
        <is>
          <t>어린이집</t>
        </is>
      </c>
      <c r="C469" s="5" t="inlineStr">
        <is>
          <t>국공립</t>
        </is>
      </c>
      <c r="D469" s="5" t="inlineStr">
        <is>
          <t>강서구</t>
        </is>
      </c>
      <c r="E469" s="5" t="inlineStr">
        <is>
          <t>부산광역시 강서구 에코델타1로 42</t>
        </is>
      </c>
      <c r="F469" s="5" t="inlineStr"/>
      <c r="G469" s="5" t="inlineStr">
        <is>
          <t>051-832-5525</t>
        </is>
      </c>
      <c r="H469" s="12">
        <f>어린이집!T90</f>
        <v/>
      </c>
      <c r="I469" s="5" t="inlineStr">
        <is>
          <t>만0세 9 / 만1세 25 / 만2세 32 / 기타(연령구분 없음) 5</t>
        </is>
      </c>
    </row>
    <row r="470">
      <c r="A470" s="5" t="inlineStr">
        <is>
          <t>자이꿈어린이집</t>
        </is>
      </c>
      <c r="B470" s="5" t="inlineStr">
        <is>
          <t>어린이집</t>
        </is>
      </c>
      <c r="C470" s="5" t="inlineStr">
        <is>
          <t>가정</t>
        </is>
      </c>
      <c r="D470" s="5" t="inlineStr">
        <is>
          <t>강서구</t>
        </is>
      </c>
      <c r="E470" s="5" t="inlineStr">
        <is>
          <t>부산광역시 강서구 에코델타1로 24</t>
        </is>
      </c>
      <c r="F470" s="5" t="inlineStr"/>
      <c r="G470" s="5" t="inlineStr">
        <is>
          <t>051-961-1599</t>
        </is>
      </c>
      <c r="H470" s="12">
        <f>어린이집!T91</f>
        <v/>
      </c>
      <c r="I470" s="5" t="inlineStr">
        <is>
          <t>만0세 5 / 만1세 9 / 만2세 6 / 기타(연령구분 없음) 4</t>
        </is>
      </c>
    </row>
    <row r="471">
      <c r="A471" s="5" t="inlineStr">
        <is>
          <t>제일어린이집</t>
        </is>
      </c>
      <c r="B471" s="5" t="inlineStr">
        <is>
          <t>어린이집</t>
        </is>
      </c>
      <c r="C471" s="5" t="inlineStr">
        <is>
          <t>민간</t>
        </is>
      </c>
      <c r="D471" s="5" t="inlineStr">
        <is>
          <t>강서구</t>
        </is>
      </c>
      <c r="E471" s="5" t="inlineStr">
        <is>
          <t>부산광역시 강서구 송정길43번길 16 제일어린이집</t>
        </is>
      </c>
      <c r="F471" s="5" t="inlineStr"/>
      <c r="G471" s="5" t="inlineStr">
        <is>
          <t>051-831-7126</t>
        </is>
      </c>
      <c r="H471" s="12">
        <f>어린이집!T92</f>
        <v/>
      </c>
      <c r="I471" s="5" t="inlineStr">
        <is>
          <t>만1세 20 / 만2세 35 / 만3세 36 / 만4세 48 / 만5세 38 / 기타(연령구분 없음) 15</t>
        </is>
      </c>
    </row>
    <row r="472">
      <c r="A472" s="5" t="inlineStr">
        <is>
          <t>조은어린이집</t>
        </is>
      </c>
      <c r="B472" s="5" t="inlineStr">
        <is>
          <t>어린이집</t>
        </is>
      </c>
      <c r="C472" s="5" t="inlineStr">
        <is>
          <t>민간</t>
        </is>
      </c>
      <c r="D472" s="5" t="inlineStr">
        <is>
          <t>강서구</t>
        </is>
      </c>
      <c r="E472" s="5" t="inlineStr">
        <is>
          <t>부산광역시 강서구 명지오션시티11로 22 107동(명지동, 명지두산위브포세이돈)</t>
        </is>
      </c>
      <c r="F472" s="5" t="inlineStr"/>
      <c r="G472" s="5" t="inlineStr">
        <is>
          <t>051-271-1367</t>
        </is>
      </c>
      <c r="H472" s="12">
        <f>어린이집!T93</f>
        <v/>
      </c>
      <c r="I472" s="5" t="inlineStr">
        <is>
          <t>만0세 11 / 만1세 10 / 만2세 7 / 영아혼합반 5 / 기타(연령구분 없음) 8</t>
        </is>
      </c>
    </row>
    <row r="473">
      <c r="A473" s="5" t="inlineStr">
        <is>
          <t>중흥1차어린이집</t>
        </is>
      </c>
      <c r="B473" s="5" t="inlineStr">
        <is>
          <t>어린이집</t>
        </is>
      </c>
      <c r="C473" s="5" t="inlineStr">
        <is>
          <t>가정</t>
        </is>
      </c>
      <c r="D473" s="5" t="inlineStr">
        <is>
          <t>강서구</t>
        </is>
      </c>
      <c r="E473" s="5" t="inlineStr">
        <is>
          <t>부산광역시 강서구 명지국제7로 133 109-101</t>
        </is>
      </c>
      <c r="F473" s="5" t="inlineStr"/>
      <c r="G473" s="5" t="inlineStr">
        <is>
          <t>051-203-8323</t>
        </is>
      </c>
      <c r="H473" s="12">
        <f>어린이집!T94</f>
        <v/>
      </c>
      <c r="I473" s="5" t="inlineStr">
        <is>
          <t>만0세 2 / 만2세 4 / 영아혼합반 4 / 기타(연령구분 없음) 4</t>
        </is>
      </c>
    </row>
    <row r="474">
      <c r="A474" s="5" t="inlineStr">
        <is>
          <t>지사어린이집</t>
        </is>
      </c>
      <c r="B474" s="5" t="inlineStr">
        <is>
          <t>어린이집</t>
        </is>
      </c>
      <c r="C474" s="5" t="inlineStr">
        <is>
          <t>국공립</t>
        </is>
      </c>
      <c r="D474" s="5" t="inlineStr">
        <is>
          <t>강서구</t>
        </is>
      </c>
      <c r="E474" s="5" t="inlineStr">
        <is>
          <t>부산광역시 강서구 과학산단2로20번길 35 (지사동, LH휴먼시아)</t>
        </is>
      </c>
      <c r="F474" s="5" t="inlineStr"/>
      <c r="G474" s="5" t="inlineStr">
        <is>
          <t>051-972-0030</t>
        </is>
      </c>
      <c r="H474" s="12">
        <f>어린이집!T95</f>
        <v/>
      </c>
      <c r="I474" s="5" t="inlineStr">
        <is>
          <t>만0세 10 / 만1세 8 / 만2세 14 / 기타(연령구분 없음) 4</t>
        </is>
      </c>
    </row>
    <row r="475">
      <c r="A475" s="5" t="inlineStr">
        <is>
          <t>청민어린이집</t>
        </is>
      </c>
      <c r="B475" s="5" t="inlineStr">
        <is>
          <t>어린이집</t>
        </is>
      </c>
      <c r="C475" s="5" t="inlineStr">
        <is>
          <t>민간</t>
        </is>
      </c>
      <c r="D475" s="5" t="inlineStr">
        <is>
          <t>강서구</t>
        </is>
      </c>
      <c r="E475" s="5" t="inlineStr">
        <is>
          <t>부산광역시 강서구 명지오션시티6로 33 (명지동)</t>
        </is>
      </c>
      <c r="F475" s="5" t="inlineStr"/>
      <c r="G475" s="5" t="inlineStr">
        <is>
          <t>051-202-0079</t>
        </is>
      </c>
      <c r="H475" s="12">
        <f>어린이집!T96</f>
        <v/>
      </c>
      <c r="I475" s="5" t="inlineStr">
        <is>
          <t>만0세 5 / 만1세 4 / 만2세 14 / 영아혼합반 3</t>
        </is>
      </c>
    </row>
    <row r="476">
      <c r="A476" s="5" t="inlineStr">
        <is>
          <t>초록둥지어린이집</t>
        </is>
      </c>
      <c r="B476" s="5" t="inlineStr">
        <is>
          <t>어린이집</t>
        </is>
      </c>
      <c r="C476" s="5" t="inlineStr">
        <is>
          <t>국공립</t>
        </is>
      </c>
      <c r="D476" s="5" t="inlineStr">
        <is>
          <t>강서구</t>
        </is>
      </c>
      <c r="E476" s="5" t="inlineStr">
        <is>
          <t>부산광역시 강서구 명지국제5로 60 (명지동, 에일린의 뜰)</t>
        </is>
      </c>
      <c r="F476" s="5" t="inlineStr"/>
      <c r="G476" s="5" t="inlineStr">
        <is>
          <t>051-271-7502</t>
        </is>
      </c>
      <c r="H476" s="12">
        <f>어린이집!T97</f>
        <v/>
      </c>
      <c r="I476" s="5" t="inlineStr">
        <is>
          <t>만1세 18 / 만2세 21 / 기타(연령구분 없음) 5</t>
        </is>
      </c>
    </row>
    <row r="477">
      <c r="A477" s="5" t="inlineStr">
        <is>
          <t>초록뜰어린이집</t>
        </is>
      </c>
      <c r="B477" s="5" t="inlineStr">
        <is>
          <t>어린이집</t>
        </is>
      </c>
      <c r="C477" s="5" t="inlineStr">
        <is>
          <t>가정</t>
        </is>
      </c>
      <c r="D477" s="5" t="inlineStr">
        <is>
          <t>강서구</t>
        </is>
      </c>
      <c r="E477" s="5" t="inlineStr">
        <is>
          <t>부산광역시 강서구 명지오션시티10로 16 216-102(명지동, 퀸덤1차)</t>
        </is>
      </c>
      <c r="F477" s="5" t="inlineStr"/>
      <c r="G477" s="5" t="inlineStr">
        <is>
          <t>051-902-7770</t>
        </is>
      </c>
      <c r="H477" s="12">
        <f>어린이집!T98</f>
        <v/>
      </c>
      <c r="I477" s="5" t="inlineStr">
        <is>
          <t>만1세 5 / 만2세 4 / 영아혼합반 2 / 기타(연령구분 없음) 4</t>
        </is>
      </c>
    </row>
    <row r="478">
      <c r="A478" s="5" t="inlineStr">
        <is>
          <t>키즈앤수자인어린이집</t>
        </is>
      </c>
      <c r="B478" s="5" t="inlineStr">
        <is>
          <t>어린이집</t>
        </is>
      </c>
      <c r="C478" s="5" t="inlineStr">
        <is>
          <t>국공립</t>
        </is>
      </c>
      <c r="D478" s="5" t="inlineStr">
        <is>
          <t>강서구</t>
        </is>
      </c>
      <c r="E478" s="5" t="inlineStr">
        <is>
          <t>부산광역시 강서구 에코중앙1로 33 (강동동, 에코델타 스마트시티 수자인)</t>
        </is>
      </c>
      <c r="F478" s="5" t="inlineStr"/>
      <c r="G478" s="5" t="inlineStr">
        <is>
          <t>051-711-3357</t>
        </is>
      </c>
      <c r="H478" s="12">
        <f>어린이집!T99</f>
        <v/>
      </c>
      <c r="I478" s="5" t="inlineStr">
        <is>
          <t>만0세 9 / 만1세 21 / 만2세 27 / 기타(연령구분 없음) 3</t>
        </is>
      </c>
    </row>
    <row r="479">
      <c r="A479" s="5" t="inlineStr">
        <is>
          <t>키즈테라스어린이집</t>
        </is>
      </c>
      <c r="B479" s="5" t="inlineStr">
        <is>
          <t>어린이집</t>
        </is>
      </c>
      <c r="C479" s="5" t="inlineStr">
        <is>
          <t>민간</t>
        </is>
      </c>
      <c r="D479" s="5" t="inlineStr">
        <is>
          <t>강서구</t>
        </is>
      </c>
      <c r="E479" s="5" t="inlineStr">
        <is>
          <t>부산광역시 강서구 명지국제13로38번길 11 (명지동, 명지중흥S클래스더테라스)</t>
        </is>
      </c>
      <c r="F479" s="5" t="inlineStr"/>
      <c r="G479" s="5" t="inlineStr">
        <is>
          <t>051-711-1440</t>
        </is>
      </c>
      <c r="H479" s="12">
        <f>어린이집!T100</f>
        <v/>
      </c>
      <c r="I479" s="5" t="inlineStr">
        <is>
          <t>만0세 6 / 만1세 20 / 만2세 14 / 기타(연령구분 없음) 5</t>
        </is>
      </c>
    </row>
    <row r="480">
      <c r="A480" s="5" t="inlineStr">
        <is>
          <t>토마토어린이집</t>
        </is>
      </c>
      <c r="B480" s="5" t="inlineStr">
        <is>
          <t>어린이집</t>
        </is>
      </c>
      <c r="C480" s="5" t="inlineStr">
        <is>
          <t>가정</t>
        </is>
      </c>
      <c r="D480" s="5" t="inlineStr">
        <is>
          <t>강서구</t>
        </is>
      </c>
      <c r="E480" s="5" t="inlineStr">
        <is>
          <t>부산광역시 강서구 명지국제2로 41 302동 103호(명지동, 더샵명지퍼스트월드3단지)</t>
        </is>
      </c>
      <c r="F480" s="5" t="inlineStr"/>
      <c r="G480" s="5" t="inlineStr">
        <is>
          <t>051-242-1600</t>
        </is>
      </c>
      <c r="H480" s="12">
        <f>어린이집!T101</f>
        <v/>
      </c>
      <c r="I480" s="5" t="inlineStr">
        <is>
          <t>만0세 8 / 만1세 5 / 만2세 6 / 기타(연령구분 없음) 3</t>
        </is>
      </c>
    </row>
    <row r="481">
      <c r="A481" s="5" t="inlineStr">
        <is>
          <t>파랑새어린이집</t>
        </is>
      </c>
      <c r="B481" s="5" t="inlineStr">
        <is>
          <t>어린이집</t>
        </is>
      </c>
      <c r="C481" s="5" t="inlineStr">
        <is>
          <t>민간</t>
        </is>
      </c>
      <c r="D481" s="5" t="inlineStr">
        <is>
          <t>강서구</t>
        </is>
      </c>
      <c r="E481" s="5" t="inlineStr">
        <is>
          <t>부산광역시 강서구 낙동남로 458-2 (녹산동)</t>
        </is>
      </c>
      <c r="F481" s="5" t="inlineStr"/>
      <c r="G481" s="5" t="inlineStr">
        <is>
          <t>051-971-9940</t>
        </is>
      </c>
      <c r="H481" s="12">
        <f>어린이집!T102</f>
        <v/>
      </c>
      <c r="I481" s="5" t="inlineStr">
        <is>
          <t>만1세 10 / 만2세 13 / 만5세 15 / 유아혼합반 26 / 기타(연령구분 없음) 18</t>
        </is>
      </c>
    </row>
    <row r="482">
      <c r="A482" s="5" t="inlineStr">
        <is>
          <t>포스코어린이집</t>
        </is>
      </c>
      <c r="B482" s="5" t="inlineStr">
        <is>
          <t>어린이집</t>
        </is>
      </c>
      <c r="C482" s="5" t="inlineStr">
        <is>
          <t>가정</t>
        </is>
      </c>
      <c r="D482" s="5" t="inlineStr">
        <is>
          <t>강서구</t>
        </is>
      </c>
      <c r="E482" s="5" t="inlineStr">
        <is>
          <t>부산광역시 강서구 명지국제2로 41 303동 103호(명지동, 더샵명지퍼스트월드3단지)</t>
        </is>
      </c>
      <c r="F482" s="5" t="inlineStr"/>
      <c r="G482" s="5" t="inlineStr">
        <is>
          <t>051-293-5013</t>
        </is>
      </c>
      <c r="H482" s="12">
        <f>어린이집!T103</f>
        <v/>
      </c>
      <c r="I482" s="5" t="inlineStr">
        <is>
          <t>만0세 5 / 만1세 8 / 만2세 6 / 기타(연령구분 없음) 5</t>
        </is>
      </c>
    </row>
    <row r="483">
      <c r="A483" s="5" t="inlineStr">
        <is>
          <t>푸르지오린어린이집</t>
        </is>
      </c>
      <c r="B483" s="5" t="inlineStr">
        <is>
          <t>어린이집</t>
        </is>
      </c>
      <c r="C483" s="5" t="inlineStr">
        <is>
          <t>국공립</t>
        </is>
      </c>
      <c r="D483" s="5" t="inlineStr">
        <is>
          <t>강서구</t>
        </is>
      </c>
      <c r="E483" s="5" t="inlineStr">
        <is>
          <t>부산광역시 강서구 에코델타3로 43</t>
        </is>
      </c>
      <c r="F483" s="5" t="inlineStr"/>
      <c r="G483" s="5" t="inlineStr">
        <is>
          <t>051-715-1203</t>
        </is>
      </c>
      <c r="H483" s="12">
        <f>어린이집!T104</f>
        <v/>
      </c>
      <c r="I483" s="5" t="inlineStr">
        <is>
          <t>만0세 10 / 만1세 15 / 만2세 28 / 기타(연령구분 없음) 15</t>
        </is>
      </c>
    </row>
    <row r="484">
      <c r="A484" s="5" t="inlineStr">
        <is>
          <t>푸르지오봄어린이집</t>
        </is>
      </c>
      <c r="B484" s="5" t="inlineStr">
        <is>
          <t>어린이집</t>
        </is>
      </c>
      <c r="C484" s="5" t="inlineStr">
        <is>
          <t>가정</t>
        </is>
      </c>
      <c r="D484" s="5" t="inlineStr">
        <is>
          <t>강서구</t>
        </is>
      </c>
      <c r="E484" s="5" t="inlineStr">
        <is>
          <t>부산광역시 강서구 에코델타1로 66 101동 102호</t>
        </is>
      </c>
      <c r="F484" s="5" t="inlineStr"/>
      <c r="G484" s="5" t="inlineStr">
        <is>
          <t>051-911-6663</t>
        </is>
      </c>
      <c r="H484" s="12">
        <f>어린이집!T105</f>
        <v/>
      </c>
      <c r="I484" s="5" t="inlineStr">
        <is>
          <t>만0세 6 / 만1세 5 / 만2세 7 / 기타(연령구분 없음) 5</t>
        </is>
      </c>
    </row>
    <row r="485">
      <c r="A485" s="5" t="inlineStr">
        <is>
          <t>푸르지오센터파크어린이집</t>
        </is>
      </c>
      <c r="B485" s="5" t="inlineStr">
        <is>
          <t>어린이집</t>
        </is>
      </c>
      <c r="C485" s="5" t="inlineStr">
        <is>
          <t>국공립</t>
        </is>
      </c>
      <c r="D485" s="5" t="inlineStr">
        <is>
          <t>강서구</t>
        </is>
      </c>
      <c r="E485" s="5" t="inlineStr">
        <is>
          <t>부산광역시 강서구 에코델타1로 66 관리동</t>
        </is>
      </c>
      <c r="F485" s="5" t="inlineStr"/>
      <c r="G485" s="5" t="inlineStr">
        <is>
          <t>051-987-2591</t>
        </is>
      </c>
      <c r="H485" s="12">
        <f>어린이집!T106</f>
        <v/>
      </c>
      <c r="I485" s="5" t="inlineStr">
        <is>
          <t>만0세 9 / 만1세 15 / 만2세 27 / 기타(연령구분 없음) 14</t>
        </is>
      </c>
    </row>
    <row r="486">
      <c r="A486" s="5" t="inlineStr">
        <is>
          <t>하늘나리어린이집</t>
        </is>
      </c>
      <c r="B486" s="5" t="inlineStr">
        <is>
          <t>어린이집</t>
        </is>
      </c>
      <c r="C486" s="5" t="inlineStr">
        <is>
          <t>가정</t>
        </is>
      </c>
      <c r="D486" s="5" t="inlineStr">
        <is>
          <t>강서구</t>
        </is>
      </c>
      <c r="E486" s="5" t="inlineStr">
        <is>
          <t>부산광역시 강서구 명지국제5로 109 201동 101호(금강펜테리움센터럴파크2차)</t>
        </is>
      </c>
      <c r="F486" s="5" t="inlineStr"/>
      <c r="G486" s="5" t="inlineStr">
        <is>
          <t>051-205-6790</t>
        </is>
      </c>
      <c r="H486" s="12">
        <f>어린이집!T107</f>
        <v/>
      </c>
      <c r="I486" s="5" t="inlineStr">
        <is>
          <t>만0세 2 / 만1세 5 / 만2세 6 / 영아혼합반 3 / 기타(연령구분 없음) 5</t>
        </is>
      </c>
    </row>
    <row r="487">
      <c r="A487" s="5" t="inlineStr">
        <is>
          <t>하늘어린이집</t>
        </is>
      </c>
      <c r="B487" s="5" t="inlineStr">
        <is>
          <t>어린이집</t>
        </is>
      </c>
      <c r="C487" s="5" t="inlineStr">
        <is>
          <t>국공립</t>
        </is>
      </c>
      <c r="D487" s="5" t="inlineStr">
        <is>
          <t>강서구</t>
        </is>
      </c>
      <c r="E487" s="5" t="inlineStr">
        <is>
          <t>부산광역시 강서구 공항진입로42번길 20 (대저2동)</t>
        </is>
      </c>
      <c r="F487" s="5" t="inlineStr"/>
      <c r="G487" s="5" t="inlineStr">
        <is>
          <t>051-832-7800</t>
        </is>
      </c>
      <c r="H487" s="12">
        <f>어린이집!T108</f>
        <v/>
      </c>
      <c r="I487" s="5" t="inlineStr">
        <is>
          <t>만0세 6 / 만1세 18 / 만2세 12</t>
        </is>
      </c>
    </row>
    <row r="488">
      <c r="A488" s="5" t="inlineStr">
        <is>
          <t>해뜰어린이집</t>
        </is>
      </c>
      <c r="B488" s="5" t="inlineStr">
        <is>
          <t>어린이집</t>
        </is>
      </c>
      <c r="C488" s="5" t="inlineStr">
        <is>
          <t>가정</t>
        </is>
      </c>
      <c r="D488" s="5" t="inlineStr">
        <is>
          <t>강서구</t>
        </is>
      </c>
      <c r="E488" s="5" t="inlineStr">
        <is>
          <t>부산광역시 강서구 명지국제5로 60 110동 102호(명지동, 에일린의뜰)</t>
        </is>
      </c>
      <c r="F488" s="5" t="inlineStr"/>
      <c r="G488" s="5" t="inlineStr">
        <is>
          <t>051-271-7999</t>
        </is>
      </c>
      <c r="H488" s="12">
        <f>어린이집!T109</f>
        <v/>
      </c>
      <c r="I488" s="5" t="inlineStr">
        <is>
          <t>만0세 6 / 만1세 3 / 만2세 7 / 기타(연령구분 없음) 3</t>
        </is>
      </c>
    </row>
    <row r="489">
      <c r="A489" s="5" t="inlineStr">
        <is>
          <t>해맑은어린이집</t>
        </is>
      </c>
      <c r="B489" s="5" t="inlineStr">
        <is>
          <t>어린이집</t>
        </is>
      </c>
      <c r="C489" s="5" t="inlineStr">
        <is>
          <t>가정</t>
        </is>
      </c>
      <c r="D489" s="5" t="inlineStr">
        <is>
          <t>강서구</t>
        </is>
      </c>
      <c r="E489" s="5" t="inlineStr">
        <is>
          <t>부산광역시 강서구 명지국제5로 90 203동 102호(명지동, 중흥S클래스에듀오션)</t>
        </is>
      </c>
      <c r="F489" s="5" t="inlineStr"/>
      <c r="G489" s="5" t="inlineStr">
        <is>
          <t>051-911-4248</t>
        </is>
      </c>
      <c r="H489" s="12">
        <f>어린이집!T110</f>
        <v/>
      </c>
      <c r="I489" s="5" t="inlineStr">
        <is>
          <t>만0세 7 / 만1세 4 / 만2세 9 / 기타(연령구분 없음) 7</t>
        </is>
      </c>
    </row>
    <row r="490">
      <c r="A490" s="5" t="inlineStr">
        <is>
          <t>해바라기어린이집</t>
        </is>
      </c>
      <c r="B490" s="5" t="inlineStr">
        <is>
          <t>어린이집</t>
        </is>
      </c>
      <c r="C490" s="5" t="inlineStr">
        <is>
          <t>가정</t>
        </is>
      </c>
      <c r="D490" s="5" t="inlineStr">
        <is>
          <t>강서구</t>
        </is>
      </c>
      <c r="E490" s="5" t="inlineStr">
        <is>
          <t>부산광역시 강서구 신호산단3로 55 109-104(신호동, 윌더하임아파트)</t>
        </is>
      </c>
      <c r="F490" s="5" t="inlineStr"/>
      <c r="G490" s="5" t="inlineStr">
        <is>
          <t>070-8866-5026</t>
        </is>
      </c>
      <c r="H490" s="12">
        <f>어린이집!T111</f>
        <v/>
      </c>
      <c r="I490" s="5" t="inlineStr">
        <is>
          <t>만0세 4 / 만1세 9 / 만2세 7 / 기타(연령구분 없음) 8</t>
        </is>
      </c>
    </row>
    <row r="491">
      <c r="A491" s="5" t="inlineStr">
        <is>
          <t>해성어린이집</t>
        </is>
      </c>
      <c r="B491" s="5" t="inlineStr">
        <is>
          <t>어린이집</t>
        </is>
      </c>
      <c r="C491" s="5" t="inlineStr">
        <is>
          <t>직장</t>
        </is>
      </c>
      <c r="D491" s="5" t="inlineStr">
        <is>
          <t>강서구</t>
        </is>
      </c>
      <c r="E491" s="5" t="inlineStr">
        <is>
          <t>부산광역시 강서구 공항진입로42번길 20 (대저2동)</t>
        </is>
      </c>
      <c r="F491" s="5" t="inlineStr"/>
      <c r="G491" s="5" t="inlineStr">
        <is>
          <t>051-941-0177</t>
        </is>
      </c>
      <c r="H491" s="12">
        <f>어린이집!T112</f>
        <v/>
      </c>
      <c r="I491" s="5" t="inlineStr">
        <is>
          <t>만3세 12 / 만4세 15 / 만5세 15 / 기타(연령구분 없음) 20</t>
        </is>
      </c>
    </row>
    <row r="492">
      <c r="A492" s="5" t="inlineStr">
        <is>
          <t>협성아이숲어린이집</t>
        </is>
      </c>
      <c r="B492" s="5" t="inlineStr">
        <is>
          <t>어린이집</t>
        </is>
      </c>
      <c r="C492" s="5" t="inlineStr">
        <is>
          <t>민간</t>
        </is>
      </c>
      <c r="D492" s="5" t="inlineStr">
        <is>
          <t>강서구</t>
        </is>
      </c>
      <c r="E492" s="5" t="inlineStr">
        <is>
          <t>부산광역시 강서구 과학산단로306번길 10 관리동(지사동, 협성DS엘리시안아파트)</t>
        </is>
      </c>
      <c r="F492" s="5" t="inlineStr"/>
      <c r="G492" s="5" t="inlineStr">
        <is>
          <t>051-831-3525</t>
        </is>
      </c>
      <c r="H492" s="12">
        <f>어린이집!T113</f>
        <v/>
      </c>
      <c r="I492" s="5" t="inlineStr">
        <is>
          <t>만0세 7 / 만1세 15 / 만2세 13 / 유아혼합반 24 / 기타(연령구분 없음) 18</t>
        </is>
      </c>
    </row>
    <row r="493">
      <c r="A493" s="5" t="inlineStr">
        <is>
          <t>협성향기나무어린이집</t>
        </is>
      </c>
      <c r="B493" s="5" t="inlineStr">
        <is>
          <t>어린이집</t>
        </is>
      </c>
      <c r="C493" s="5" t="inlineStr">
        <is>
          <t>가정</t>
        </is>
      </c>
      <c r="D493" s="5" t="inlineStr">
        <is>
          <t>강서구</t>
        </is>
      </c>
      <c r="E493" s="5" t="inlineStr">
        <is>
          <t>부산광역시 강서구 명지국제5로 141 협성휴포레 114동101</t>
        </is>
      </c>
      <c r="F493" s="5" t="inlineStr"/>
      <c r="G493" s="5" t="inlineStr">
        <is>
          <t>051-205-5015</t>
        </is>
      </c>
      <c r="H493" s="12">
        <f>어린이집!T114</f>
        <v/>
      </c>
      <c r="I493" s="5" t="inlineStr">
        <is>
          <t>만0세 3 / 만1세 3 / 만2세 5 / 기타(연령구분 없음) 4</t>
        </is>
      </c>
    </row>
    <row r="494">
      <c r="A494" s="5" t="inlineStr">
        <is>
          <t>협성휴포레어린이집</t>
        </is>
      </c>
      <c r="B494" s="5" t="inlineStr">
        <is>
          <t>어린이집</t>
        </is>
      </c>
      <c r="C494" s="5" t="inlineStr">
        <is>
          <t>가정</t>
        </is>
      </c>
      <c r="D494" s="5" t="inlineStr">
        <is>
          <t>강서구</t>
        </is>
      </c>
      <c r="E494" s="5" t="inlineStr">
        <is>
          <t>부산광역시 강서구 명지국제5로 141 111-101(명지동, 명지협성휴포레)</t>
        </is>
      </c>
      <c r="F494" s="5" t="inlineStr"/>
      <c r="G494" s="5" t="inlineStr">
        <is>
          <t>051-265-7376</t>
        </is>
      </c>
      <c r="H494" s="12">
        <f>어린이집!T115</f>
        <v/>
      </c>
      <c r="I494" s="5" t="inlineStr">
        <is>
          <t>만0세 3 / 만1세 5 / 만2세 7 / 영아혼합반 2 / 기타(연령구분 없음) 5</t>
        </is>
      </c>
    </row>
    <row r="495">
      <c r="A495" s="5" t="inlineStr">
        <is>
          <t>호반베르디움어린이집</t>
        </is>
      </c>
      <c r="B495" s="5" t="inlineStr">
        <is>
          <t>어린이집</t>
        </is>
      </c>
      <c r="C495" s="5" t="inlineStr">
        <is>
          <t>민간</t>
        </is>
      </c>
      <c r="D495" s="5" t="inlineStr">
        <is>
          <t>강서구</t>
        </is>
      </c>
      <c r="E495" s="5" t="inlineStr">
        <is>
          <t>부산광역시 강서구 명지국제5로 29 107동 1층(명지동, 호반베르디움1차)</t>
        </is>
      </c>
      <c r="F495" s="5" t="inlineStr"/>
      <c r="G495" s="5" t="inlineStr">
        <is>
          <t>051-293-2922</t>
        </is>
      </c>
      <c r="H495" s="12">
        <f>어린이집!T116</f>
        <v/>
      </c>
      <c r="I495" s="5" t="inlineStr">
        <is>
          <t>만0세 9 / 만1세 14 / 만2세 14 / 기타(연령구분 없음) 16</t>
        </is>
      </c>
    </row>
    <row r="496">
      <c r="A496" s="5" t="inlineStr">
        <is>
          <t>호반써밋명지국제어린이집</t>
        </is>
      </c>
      <c r="B496" s="5" t="inlineStr">
        <is>
          <t>어린이집</t>
        </is>
      </c>
      <c r="C496" s="5" t="inlineStr">
        <is>
          <t>민간</t>
        </is>
      </c>
      <c r="D496" s="5" t="inlineStr">
        <is>
          <t>강서구</t>
        </is>
      </c>
      <c r="E496" s="5" t="inlineStr">
        <is>
          <t>부산광역시 강서구 명지국제5로 89 (명지동, 호반써밋명지국제아파트)</t>
        </is>
      </c>
      <c r="F496" s="5" t="inlineStr"/>
      <c r="G496" s="5" t="inlineStr">
        <is>
          <t>051-291-2933</t>
        </is>
      </c>
      <c r="H496" s="12">
        <f>어린이집!T117</f>
        <v/>
      </c>
      <c r="I496" s="5" t="inlineStr">
        <is>
          <t>만0세 5 / 만1세 5 / 만2세 7 / 영아혼합반 5</t>
        </is>
      </c>
    </row>
    <row r="497">
      <c r="A497" s="5" t="inlineStr">
        <is>
          <t>호반써밋어린이집</t>
        </is>
      </c>
      <c r="B497" s="5" t="inlineStr">
        <is>
          <t>어린이집</t>
        </is>
      </c>
      <c r="C497" s="5" t="inlineStr">
        <is>
          <t>국공립</t>
        </is>
      </c>
      <c r="D497" s="5" t="inlineStr">
        <is>
          <t>강서구</t>
        </is>
      </c>
      <c r="E497" s="5" t="inlineStr">
        <is>
          <t>부산광역시 강서구 에코대로 243 (강동동, 호반써밋스마트시티)</t>
        </is>
      </c>
      <c r="F497" s="5" t="inlineStr"/>
      <c r="G497" s="5" t="inlineStr">
        <is>
          <t>051-974-0327</t>
        </is>
      </c>
      <c r="H497" s="12">
        <f>어린이집!T118</f>
        <v/>
      </c>
      <c r="I497" s="5" t="inlineStr">
        <is>
          <t>만0세 8 / 만1세 18 / 만2세 14 / 기타(연령구분 없음) 5</t>
        </is>
      </c>
    </row>
    <row r="498">
      <c r="A498" s="5" t="inlineStr">
        <is>
          <t>휴플러스어린이집</t>
        </is>
      </c>
      <c r="B498" s="5" t="inlineStr">
        <is>
          <t>어린이집</t>
        </is>
      </c>
      <c r="C498" s="5" t="inlineStr">
        <is>
          <t>민간</t>
        </is>
      </c>
      <c r="D498" s="5" t="inlineStr">
        <is>
          <t>강서구</t>
        </is>
      </c>
      <c r="E498" s="5" t="inlineStr">
        <is>
          <t>부산광역시 강서구 명지오션시티1로 155 (명지동, 한신휴플러스아파트)</t>
        </is>
      </c>
      <c r="F498" s="5" t="inlineStr"/>
      <c r="G498" s="5" t="inlineStr">
        <is>
          <t>051-201-0975</t>
        </is>
      </c>
      <c r="H498" s="12">
        <f>어린이집!T119</f>
        <v/>
      </c>
      <c r="I498" s="5" t="inlineStr">
        <is>
          <t>만0세 2 / 만1세 12 / 만2세 17 / 기타(연령구분 없음) 4</t>
        </is>
      </c>
    </row>
    <row r="499">
      <c r="A499" s="5" t="inlineStr">
        <is>
          <t>BNK금정어린이집</t>
        </is>
      </c>
      <c r="B499" s="5" t="inlineStr">
        <is>
          <t>어린이집</t>
        </is>
      </c>
      <c r="C499" s="5" t="inlineStr">
        <is>
          <t>직장</t>
        </is>
      </c>
      <c r="D499" s="5" t="inlineStr">
        <is>
          <t>금정구</t>
        </is>
      </c>
      <c r="E499" s="5" t="inlineStr">
        <is>
          <t>부산광역시 금정구 금강로 324 (장전동)</t>
        </is>
      </c>
      <c r="F499" s="11" t="inlineStr">
        <is>
          <t>http://www.puruni.com/busanbank3</t>
        </is>
      </c>
      <c r="G499" s="5" t="inlineStr">
        <is>
          <t>051-513-2561</t>
        </is>
      </c>
      <c r="H499" s="12">
        <f>어린이집!T120</f>
        <v/>
      </c>
      <c r="I499" s="5" t="inlineStr">
        <is>
          <t>만1세 8 / 만2세 3 / 유아혼합반 3 / 기타(연령구분 없음) 8</t>
        </is>
      </c>
    </row>
    <row r="500">
      <c r="A500" s="5" t="inlineStr">
        <is>
          <t>공립구서어린이집</t>
        </is>
      </c>
      <c r="B500" s="5" t="inlineStr">
        <is>
          <t>어린이집</t>
        </is>
      </c>
      <c r="C500" s="5" t="inlineStr">
        <is>
          <t>국공립</t>
        </is>
      </c>
      <c r="D500" s="5" t="inlineStr">
        <is>
          <t>금정구</t>
        </is>
      </c>
      <c r="E500" s="5" t="inlineStr">
        <is>
          <t>부산광역시 금정구 금강로 503 롯데캐슬골드 2단지내 (구서동)</t>
        </is>
      </c>
      <c r="F500" s="5" t="inlineStr"/>
      <c r="G500" s="5" t="inlineStr">
        <is>
          <t>051-518-1437</t>
        </is>
      </c>
      <c r="H500" s="12">
        <f>어린이집!T121</f>
        <v/>
      </c>
      <c r="I500" s="5" t="inlineStr">
        <is>
          <t>만1세 25 / 만2세 26 / 만3세 21 / 만4세 19 / 만5세 14 / 기타(연령구분 없음) 24</t>
        </is>
      </c>
    </row>
    <row r="501">
      <c r="A501" s="5" t="inlineStr">
        <is>
          <t>공립부곡복지어린이집</t>
        </is>
      </c>
      <c r="B501" s="5" t="inlineStr">
        <is>
          <t>어린이집</t>
        </is>
      </c>
      <c r="C501" s="5" t="inlineStr">
        <is>
          <t>국공립</t>
        </is>
      </c>
      <c r="D501" s="5" t="inlineStr">
        <is>
          <t>금정구</t>
        </is>
      </c>
      <c r="E501" s="5" t="inlineStr">
        <is>
          <t>부산광역시 금정구 동현로 67 2차상가동내(부곡동, 부곡시영아파트)</t>
        </is>
      </c>
      <c r="F501" s="5" t="inlineStr"/>
      <c r="G501" s="5" t="inlineStr">
        <is>
          <t>051-515-2066</t>
        </is>
      </c>
      <c r="H501" s="12">
        <f>어린이집!T122</f>
        <v/>
      </c>
      <c r="I501" s="5" t="inlineStr">
        <is>
          <t>만0세 3 / 만1세 10 / 만2세 10 / 만3세 8 / 유아혼합반 9</t>
        </is>
      </c>
    </row>
    <row r="502">
      <c r="A502" s="5" t="inlineStr">
        <is>
          <t>구서SK뷰해야어린이집</t>
        </is>
      </c>
      <c r="B502" s="5" t="inlineStr">
        <is>
          <t>어린이집</t>
        </is>
      </c>
      <c r="C502" s="5" t="inlineStr">
        <is>
          <t>국공립</t>
        </is>
      </c>
      <c r="D502" s="5" t="inlineStr">
        <is>
          <t>금정구</t>
        </is>
      </c>
      <c r="E502" s="5" t="inlineStr">
        <is>
          <t>부산광역시 금정구 금샘로246번길 18 구서동, 구서SK뷰1단지아파트</t>
        </is>
      </c>
      <c r="F502" s="11" t="inlineStr">
        <is>
          <t>https://www.instagram.com/haeya_kid</t>
        </is>
      </c>
      <c r="G502" s="5" t="inlineStr">
        <is>
          <t>051-583-4110</t>
        </is>
      </c>
      <c r="H502" s="12">
        <f>어린이집!T123</f>
        <v/>
      </c>
      <c r="I502" s="5" t="inlineStr">
        <is>
          <t>만0세 5 / 만1세 10 / 만2세 14 / 기타(연령구분 없음) 5</t>
        </is>
      </c>
    </row>
    <row r="503">
      <c r="A503" s="5" t="inlineStr">
        <is>
          <t>구서롯데어린이집</t>
        </is>
      </c>
      <c r="B503" s="5" t="inlineStr">
        <is>
          <t>어린이집</t>
        </is>
      </c>
      <c r="C503" s="5" t="inlineStr">
        <is>
          <t>민간</t>
        </is>
      </c>
      <c r="D503" s="5" t="inlineStr">
        <is>
          <t>금정구</t>
        </is>
      </c>
      <c r="E503" s="5" t="inlineStr">
        <is>
          <t>부산광역시 금정구 금강로 502 관리동(구서동,롯데캐슬골드1단지)</t>
        </is>
      </c>
      <c r="F503" s="5" t="inlineStr"/>
      <c r="G503" s="5" t="inlineStr">
        <is>
          <t>051-912-5158</t>
        </is>
      </c>
      <c r="H503" s="12">
        <f>어린이집!T124</f>
        <v/>
      </c>
      <c r="I503" s="5" t="inlineStr">
        <is>
          <t>만0세 13 / 만1세 19 / 만2세 24 / 기타(연령구분 없음) 5</t>
        </is>
      </c>
    </row>
    <row r="504">
      <c r="A504" s="5" t="inlineStr">
        <is>
          <t>금샘어린이집</t>
        </is>
      </c>
      <c r="B504" s="5" t="inlineStr">
        <is>
          <t>어린이집</t>
        </is>
      </c>
      <c r="C504" s="5" t="inlineStr">
        <is>
          <t>민간</t>
        </is>
      </c>
      <c r="D504" s="5" t="inlineStr">
        <is>
          <t>금정구</t>
        </is>
      </c>
      <c r="E504" s="5" t="inlineStr">
        <is>
          <t>부산광역시 금정구 팔송로59번길 14 (남산동)</t>
        </is>
      </c>
      <c r="F504" s="11" t="inlineStr">
        <is>
          <t>http://cafe.naver.com/geumsaem4846</t>
        </is>
      </c>
      <c r="G504" s="5" t="inlineStr">
        <is>
          <t>051-582-4846</t>
        </is>
      </c>
      <c r="H504" s="12">
        <f>어린이집!T125</f>
        <v/>
      </c>
      <c r="I504" s="5" t="inlineStr">
        <is>
          <t>영아혼합반 7 / 기타(연령구분 없음) 3</t>
        </is>
      </c>
    </row>
    <row r="505">
      <c r="A505" s="5" t="inlineStr">
        <is>
          <t>금정구청어린이집</t>
        </is>
      </c>
      <c r="B505" s="5" t="inlineStr">
        <is>
          <t>어린이집</t>
        </is>
      </c>
      <c r="C505" s="5" t="inlineStr">
        <is>
          <t>직장</t>
        </is>
      </c>
      <c r="D505" s="5" t="inlineStr">
        <is>
          <t>금정구</t>
        </is>
      </c>
      <c r="E505" s="5" t="inlineStr">
        <is>
          <t>부산광역시 금정구 중앙대로 1777 금정구청내 금정구청어린이집</t>
        </is>
      </c>
      <c r="F505" s="5" t="inlineStr"/>
      <c r="G505" s="5" t="inlineStr">
        <is>
          <t>051-519-4327</t>
        </is>
      </c>
      <c r="H505" s="12">
        <f>어린이집!T126</f>
        <v/>
      </c>
      <c r="I505" s="5" t="inlineStr">
        <is>
          <t>만1세 4 / 만2세 10 / 만3세 8 / 만4세 13 / 만5세 8 / 기타(연령구분 없음) 20</t>
        </is>
      </c>
    </row>
    <row r="506">
      <c r="A506" s="5" t="inlineStr">
        <is>
          <t>금정산 SK 어린이집</t>
        </is>
      </c>
      <c r="B506" s="5" t="inlineStr">
        <is>
          <t>어린이집</t>
        </is>
      </c>
      <c r="C506" s="5" t="inlineStr">
        <is>
          <t>가정</t>
        </is>
      </c>
      <c r="D506" s="5" t="inlineStr">
        <is>
          <t>금정구</t>
        </is>
      </c>
      <c r="E506" s="5" t="inlineStr">
        <is>
          <t>부산광역시 금정구 식물원로 64 108동 102호</t>
        </is>
      </c>
      <c r="F506" s="5" t="inlineStr"/>
      <c r="G506" s="5" t="inlineStr">
        <is>
          <t>051-517-5932</t>
        </is>
      </c>
      <c r="H506" s="12">
        <f>어린이집!T127</f>
        <v/>
      </c>
      <c r="I506" s="5" t="inlineStr">
        <is>
          <t>만0세 3 / 만1세 9 / 만2세 7 / 기타(연령구분 없음) 5</t>
        </is>
      </c>
    </row>
    <row r="507">
      <c r="A507" s="5" t="inlineStr">
        <is>
          <t>금정힐스테이트어린이집</t>
        </is>
      </c>
      <c r="B507" s="5" t="inlineStr">
        <is>
          <t>어린이집</t>
        </is>
      </c>
      <c r="C507" s="5" t="inlineStr">
        <is>
          <t>민간</t>
        </is>
      </c>
      <c r="D507" s="5" t="inlineStr">
        <is>
          <t>금정구</t>
        </is>
      </c>
      <c r="E507" s="5" t="inlineStr">
        <is>
          <t>부산광역시 금정구 금강로335번길 90 금정힐스테이트 관리동 1층 (장전동)</t>
        </is>
      </c>
      <c r="F507" s="5" t="inlineStr"/>
      <c r="G507" s="5" t="inlineStr">
        <is>
          <t>051-517-7560</t>
        </is>
      </c>
      <c r="H507" s="12">
        <f>어린이집!T128</f>
        <v/>
      </c>
      <c r="I507" s="5" t="inlineStr">
        <is>
          <t>만0세 3 / 만1세 5 / 만2세 7 / 영아혼합반 4 / 기타(연령구분 없음) 3</t>
        </is>
      </c>
    </row>
    <row r="508">
      <c r="A508" s="5" t="inlineStr">
        <is>
          <t>꼬마대통령어린이집</t>
        </is>
      </c>
      <c r="B508" s="5" t="inlineStr">
        <is>
          <t>어린이집</t>
        </is>
      </c>
      <c r="C508" s="5" t="inlineStr">
        <is>
          <t>민간</t>
        </is>
      </c>
      <c r="D508" s="5" t="inlineStr">
        <is>
          <t>금정구</t>
        </is>
      </c>
      <c r="E508" s="5" t="inlineStr">
        <is>
          <t>부산광역시 금정구 동현로 50-4</t>
        </is>
      </c>
      <c r="F508" s="5" t="inlineStr"/>
      <c r="G508" s="5" t="inlineStr">
        <is>
          <t>051-514-5177</t>
        </is>
      </c>
      <c r="H508" s="12">
        <f>어린이집!T129</f>
        <v/>
      </c>
      <c r="I508" s="5" t="inlineStr">
        <is>
          <t>만1세 3 / 만2세 4 / 영아혼합반 3 / 유아혼합반 9 / 기타(연령구분 없음) 9</t>
        </is>
      </c>
    </row>
    <row r="509">
      <c r="A509" s="5" t="inlineStr">
        <is>
          <t>꽃잎 어린이집</t>
        </is>
      </c>
      <c r="B509" s="5" t="inlineStr">
        <is>
          <t>어린이집</t>
        </is>
      </c>
      <c r="C509" s="5" t="inlineStr">
        <is>
          <t>민간</t>
        </is>
      </c>
      <c r="D509" s="5" t="inlineStr">
        <is>
          <t>금정구</t>
        </is>
      </c>
      <c r="E509" s="5" t="inlineStr">
        <is>
          <t>부산광역시 금정구 금단로 88 (구서동)</t>
        </is>
      </c>
      <c r="F509" s="5" t="inlineStr"/>
      <c r="G509" s="5" t="inlineStr">
        <is>
          <t>051-514-9730</t>
        </is>
      </c>
      <c r="H509" s="12">
        <f>어린이집!T130</f>
        <v/>
      </c>
      <c r="I509" s="5" t="inlineStr">
        <is>
          <t>만0세 5 / 만1세 3 / 만2세 6 / 만3세 13 / 유아혼합반 13 / 기타(연령구분 없음) 15</t>
        </is>
      </c>
    </row>
    <row r="510">
      <c r="A510" s="5" t="inlineStr">
        <is>
          <t>꾸미랑어린이집</t>
        </is>
      </c>
      <c r="B510" s="5" t="inlineStr">
        <is>
          <t>어린이집</t>
        </is>
      </c>
      <c r="C510" s="5" t="inlineStr">
        <is>
          <t>민간</t>
        </is>
      </c>
      <c r="D510" s="5" t="inlineStr">
        <is>
          <t>금정구</t>
        </is>
      </c>
      <c r="E510" s="5" t="inlineStr">
        <is>
          <t>부산광역시 금정구 서부곡로15번길 34 (부곡동)</t>
        </is>
      </c>
      <c r="F510" s="5" t="inlineStr"/>
      <c r="G510" s="5" t="inlineStr">
        <is>
          <t>051-516-7260</t>
        </is>
      </c>
      <c r="H510" s="12">
        <f>어린이집!T131</f>
        <v/>
      </c>
      <c r="I510" s="5" t="inlineStr">
        <is>
          <t>만0세 4 / 만1세 10 / 영아혼합반 6 / 기타(연령구분 없음) 5</t>
        </is>
      </c>
    </row>
    <row r="511">
      <c r="A511" s="5" t="inlineStr">
        <is>
          <t>꿈동이 어린이집</t>
        </is>
      </c>
      <c r="B511" s="5" t="inlineStr">
        <is>
          <t>어린이집</t>
        </is>
      </c>
      <c r="C511" s="5" t="inlineStr">
        <is>
          <t>민간</t>
        </is>
      </c>
      <c r="D511" s="5" t="inlineStr">
        <is>
          <t>금정구</t>
        </is>
      </c>
      <c r="E511" s="5" t="inlineStr">
        <is>
          <t>부산광역시 금정구 팔송로 50 (남산동)</t>
        </is>
      </c>
      <c r="F511" s="11" t="inlineStr">
        <is>
          <t>http://osjjlove@hanmail.net</t>
        </is>
      </c>
      <c r="G511" s="5" t="inlineStr">
        <is>
          <t>051-514-7567</t>
        </is>
      </c>
      <c r="H511" s="12">
        <f>어린이집!T132</f>
        <v/>
      </c>
      <c r="I511" s="5" t="inlineStr">
        <is>
          <t>만2세 6 / 영아혼합반 10 / 유아혼합반 18 / 기타(연령구분 없음) 11</t>
        </is>
      </c>
    </row>
    <row r="512">
      <c r="A512" s="5" t="inlineStr">
        <is>
          <t>꿈사랑어린이집</t>
        </is>
      </c>
      <c r="B512" s="5" t="inlineStr">
        <is>
          <t>어린이집</t>
        </is>
      </c>
      <c r="C512" s="5" t="inlineStr">
        <is>
          <t>사회복지법인</t>
        </is>
      </c>
      <c r="D512" s="5" t="inlineStr">
        <is>
          <t>금정구</t>
        </is>
      </c>
      <c r="E512" s="5" t="inlineStr">
        <is>
          <t>부산광역시 금정구 서금로25번길 10 (서동)</t>
        </is>
      </c>
      <c r="F512" s="11" t="inlineStr">
        <is>
          <t>http://ktp://cafe.naver.com/dreamlovechildren</t>
        </is>
      </c>
      <c r="G512" s="5" t="inlineStr">
        <is>
          <t>051-526-9752</t>
        </is>
      </c>
      <c r="H512" s="12">
        <f>어린이집!T133</f>
        <v/>
      </c>
      <c r="I512" s="5" t="inlineStr">
        <is>
          <t>장애아반(특수) 33</t>
        </is>
      </c>
    </row>
    <row r="513">
      <c r="A513" s="5" t="inlineStr">
        <is>
          <t>나무야어린이집</t>
        </is>
      </c>
      <c r="B513" s="5" t="inlineStr">
        <is>
          <t>어린이집</t>
        </is>
      </c>
      <c r="C513" s="5" t="inlineStr">
        <is>
          <t>민간</t>
        </is>
      </c>
      <c r="D513" s="5" t="inlineStr">
        <is>
          <t>금정구</t>
        </is>
      </c>
      <c r="E513" s="5" t="inlineStr">
        <is>
          <t>부산광역시 금정구 금샘로386번길 5 (구서동)</t>
        </is>
      </c>
      <c r="F513" s="5" t="inlineStr"/>
      <c r="G513" s="5" t="inlineStr">
        <is>
          <t>051-512-3188</t>
        </is>
      </c>
      <c r="H513" s="12">
        <f>어린이집!T134</f>
        <v/>
      </c>
      <c r="I513" s="5" t="inlineStr">
        <is>
          <t>만0세 3 / 만1세 5 / 만2세 10 / 만3세 12 / 유아혼합반 13 / 기타(연령구분 없음) 19</t>
        </is>
      </c>
    </row>
    <row r="514">
      <c r="A514" s="5" t="inlineStr">
        <is>
          <t>늘푸른 어린이집</t>
        </is>
      </c>
      <c r="B514" s="5" t="inlineStr">
        <is>
          <t>어린이집</t>
        </is>
      </c>
      <c r="C514" s="5" t="inlineStr">
        <is>
          <t>민간</t>
        </is>
      </c>
      <c r="D514" s="5" t="inlineStr">
        <is>
          <t>금정구</t>
        </is>
      </c>
      <c r="E514" s="5" t="inlineStr">
        <is>
          <t>부산광역시 금정구 학산로13번길 6 미주빌리지 1층(남산동)</t>
        </is>
      </c>
      <c r="F514" s="11" t="inlineStr">
        <is>
          <t>http://cafe.daum.net/baby0959</t>
        </is>
      </c>
      <c r="G514" s="5" t="inlineStr">
        <is>
          <t>051-583-0959</t>
        </is>
      </c>
      <c r="H514" s="12">
        <f>어린이집!T135</f>
        <v/>
      </c>
      <c r="I514" s="5" t="inlineStr">
        <is>
          <t>만0세 4 / 만1세 10 / 만2세 8 / 유아혼합반 8 / 기타(연령구분 없음) 12</t>
        </is>
      </c>
    </row>
    <row r="515">
      <c r="A515" s="5" t="inlineStr">
        <is>
          <t>대우어린이집</t>
        </is>
      </c>
      <c r="B515" s="5" t="inlineStr">
        <is>
          <t>어린이집</t>
        </is>
      </c>
      <c r="C515" s="5" t="inlineStr">
        <is>
          <t>민간</t>
        </is>
      </c>
      <c r="D515" s="5" t="inlineStr">
        <is>
          <t>금정구</t>
        </is>
      </c>
      <c r="E515" s="5" t="inlineStr">
        <is>
          <t>부산광역시 금정구 부산대학로 10</t>
        </is>
      </c>
      <c r="F515" s="5" t="inlineStr"/>
      <c r="G515" s="5" t="inlineStr">
        <is>
          <t>051-912-2888</t>
        </is>
      </c>
      <c r="H515" s="12">
        <f>어린이집!T136</f>
        <v/>
      </c>
      <c r="I515" s="5" t="inlineStr">
        <is>
          <t>만0세 9 / 만1세 5 / 만2세 10 / 기타(연령구분 없음) 5</t>
        </is>
      </c>
    </row>
    <row r="516">
      <c r="A516" s="5" t="inlineStr">
        <is>
          <t>동그라미어린이집</t>
        </is>
      </c>
      <c r="B516" s="5" t="inlineStr">
        <is>
          <t>어린이집</t>
        </is>
      </c>
      <c r="C516" s="5" t="inlineStr">
        <is>
          <t>가정</t>
        </is>
      </c>
      <c r="D516" s="5" t="inlineStr">
        <is>
          <t>금정구</t>
        </is>
      </c>
      <c r="E516" s="5" t="inlineStr">
        <is>
          <t>부산광역시 금정구 중앙대로1685번길 24 103동 103호(부곡동, 경남한신아파트)</t>
        </is>
      </c>
      <c r="F516" s="11" t="inlineStr">
        <is>
          <t>http://cafe.naver.com/dongramicare</t>
        </is>
      </c>
      <c r="G516" s="5" t="inlineStr">
        <is>
          <t>051-516-9923</t>
        </is>
      </c>
      <c r="H516" s="12">
        <f>어린이집!T137</f>
        <v/>
      </c>
      <c r="I516" s="5" t="inlineStr">
        <is>
          <t>만0세 3 / 만1세 7 / 만2세 7 / 기타(연령구분 없음) 5</t>
        </is>
      </c>
    </row>
    <row r="517">
      <c r="A517" s="5" t="inlineStr">
        <is>
          <t>동성어린이집</t>
        </is>
      </c>
      <c r="B517" s="5" t="inlineStr">
        <is>
          <t>어린이집</t>
        </is>
      </c>
      <c r="C517" s="5" t="inlineStr">
        <is>
          <t>사회복지법인</t>
        </is>
      </c>
      <c r="D517" s="5" t="inlineStr">
        <is>
          <t>금정구</t>
        </is>
      </c>
      <c r="E517" s="5" t="inlineStr">
        <is>
          <t>부산광역시 금정구 두실로7번길 69 (구서동)</t>
        </is>
      </c>
      <c r="F517" s="5" t="inlineStr"/>
      <c r="G517" s="5" t="inlineStr">
        <is>
          <t>051-581-0422</t>
        </is>
      </c>
      <c r="H517" s="12">
        <f>어린이집!T138</f>
        <v/>
      </c>
      <c r="I517" s="5" t="inlineStr">
        <is>
          <t>만1세 3 / 만2세 4 / 영아혼합반 3 / 유아혼합반 8 / 기타(연령구분 없음) 3</t>
        </is>
      </c>
    </row>
    <row r="518">
      <c r="A518" s="5" t="inlineStr">
        <is>
          <t>동심어린이집</t>
        </is>
      </c>
      <c r="B518" s="5" t="inlineStr">
        <is>
          <t>어린이집</t>
        </is>
      </c>
      <c r="C518" s="5" t="inlineStr">
        <is>
          <t>민간</t>
        </is>
      </c>
      <c r="D518" s="5" t="inlineStr">
        <is>
          <t>금정구</t>
        </is>
      </c>
      <c r="E518" s="5" t="inlineStr">
        <is>
          <t>부산광역시 금정구 금강로740번길 23 (청룡동)</t>
        </is>
      </c>
      <c r="F518" s="11" t="inlineStr">
        <is>
          <t>http://a8225@hanmail.net</t>
        </is>
      </c>
      <c r="G518" s="5" t="inlineStr">
        <is>
          <t>051-508-3314</t>
        </is>
      </c>
      <c r="H518" s="12">
        <f>어린이집!T139</f>
        <v/>
      </c>
      <c r="I518" s="5" t="inlineStr">
        <is>
          <t>만0세 3 / 만1세 4 / 만2세 11 / 영아혼합반 9 / 기타(연령구분 없음) 5</t>
        </is>
      </c>
    </row>
    <row r="519">
      <c r="A519" s="5" t="inlineStr">
        <is>
          <t>동원어린이집</t>
        </is>
      </c>
      <c r="B519" s="5" t="inlineStr">
        <is>
          <t>어린이집</t>
        </is>
      </c>
      <c r="C519" s="5" t="inlineStr">
        <is>
          <t>가정</t>
        </is>
      </c>
      <c r="D519" s="5" t="inlineStr">
        <is>
          <t>금정구</t>
        </is>
      </c>
      <c r="E519" s="5" t="inlineStr">
        <is>
          <t>부산광역시 금정구 부곡로42번길 25 101동 101호(부곡동,온천장역동원로얄듀크)</t>
        </is>
      </c>
      <c r="F519" s="11" t="inlineStr">
        <is>
          <t>http://dla3319@hanmail.net</t>
        </is>
      </c>
      <c r="G519" s="5" t="inlineStr">
        <is>
          <t>051-525-5095</t>
        </is>
      </c>
      <c r="H519" s="12">
        <f>어린이집!T140</f>
        <v/>
      </c>
      <c r="I519" s="5" t="inlineStr">
        <is>
          <t>만0세 4 / 만1세 5 / 만2세 6 / 영아혼합반 2 / 기타(연령구분 없음) 4</t>
        </is>
      </c>
    </row>
    <row r="520">
      <c r="A520" s="5" t="inlineStr">
        <is>
          <t>두산위브어린이집</t>
        </is>
      </c>
      <c r="B520" s="5" t="inlineStr">
        <is>
          <t>어린이집</t>
        </is>
      </c>
      <c r="C520" s="5" t="inlineStr">
        <is>
          <t>국공립</t>
        </is>
      </c>
      <c r="D520" s="5" t="inlineStr">
        <is>
          <t>금정구</t>
        </is>
      </c>
      <c r="E520" s="5" t="inlineStr">
        <is>
          <t>부산광역시 금정구 금정로233번길 63 구서역두산위브포세이돈</t>
        </is>
      </c>
      <c r="F520" s="5" t="inlineStr"/>
      <c r="G520" s="5" t="inlineStr">
        <is>
          <t>051-583-1020</t>
        </is>
      </c>
      <c r="H520" s="12">
        <f>어린이집!T141</f>
        <v/>
      </c>
      <c r="I520" s="5" t="inlineStr">
        <is>
          <t>만0세 6 / 만1세 10 / 만2세 10 / 기타(연령구분 없음) 5</t>
        </is>
      </c>
    </row>
    <row r="521">
      <c r="A521" s="5" t="inlineStr">
        <is>
          <t>딸기어린이집</t>
        </is>
      </c>
      <c r="B521" s="5" t="inlineStr">
        <is>
          <t>어린이집</t>
        </is>
      </c>
      <c r="C521" s="5" t="inlineStr">
        <is>
          <t>민간</t>
        </is>
      </c>
      <c r="D521" s="5" t="inlineStr">
        <is>
          <t>금정구</t>
        </is>
      </c>
      <c r="E521" s="5" t="inlineStr">
        <is>
          <t>부산광역시 금정구 서부로69번길 26 (서동)</t>
        </is>
      </c>
      <c r="F521" s="5" t="inlineStr"/>
      <c r="G521" s="5" t="inlineStr">
        <is>
          <t>051-527-2183</t>
        </is>
      </c>
      <c r="H521" s="12">
        <f>어린이집!T142</f>
        <v/>
      </c>
      <c r="I521" s="5" t="inlineStr">
        <is>
          <t>만1세 3 / 만2세 7 / 영아혼합반 5 / 기타(연령구분 없음) 5</t>
        </is>
      </c>
    </row>
    <row r="522">
      <c r="A522" s="5" t="inlineStr">
        <is>
          <t>래미안장전어린이집</t>
        </is>
      </c>
      <c r="B522" s="5" t="inlineStr">
        <is>
          <t>어린이집</t>
        </is>
      </c>
      <c r="C522" s="5" t="inlineStr">
        <is>
          <t>국공립</t>
        </is>
      </c>
      <c r="D522" s="5" t="inlineStr">
        <is>
          <t>금정구</t>
        </is>
      </c>
      <c r="E522" s="5" t="inlineStr">
        <is>
          <t>부산광역시 금정구 금정로 20</t>
        </is>
      </c>
      <c r="F522" s="5" t="inlineStr"/>
      <c r="G522" s="5" t="inlineStr">
        <is>
          <t>051-515-1616</t>
        </is>
      </c>
      <c r="H522" s="12">
        <f>어린이집!T143</f>
        <v/>
      </c>
      <c r="I522" s="5" t="inlineStr">
        <is>
          <t>만1세 25 / 만2세 41 / 만3세 10 / 유아혼합반 7 / 기타(연령구분 없음) 10</t>
        </is>
      </c>
    </row>
    <row r="523">
      <c r="A523" s="5" t="inlineStr">
        <is>
          <t>미키어린이집</t>
        </is>
      </c>
      <c r="B523" s="5" t="inlineStr">
        <is>
          <t>어린이집</t>
        </is>
      </c>
      <c r="C523" s="5" t="inlineStr">
        <is>
          <t>민간</t>
        </is>
      </c>
      <c r="D523" s="5" t="inlineStr">
        <is>
          <t>금정구</t>
        </is>
      </c>
      <c r="E523" s="5" t="inlineStr">
        <is>
          <t>부산광역시 금정구 서동로5번길 43 (부곡동)</t>
        </is>
      </c>
      <c r="F523" s="5" t="inlineStr"/>
      <c r="G523" s="5" t="inlineStr">
        <is>
          <t>051-581-7632</t>
        </is>
      </c>
      <c r="H523" s="12">
        <f>어린이집!T144</f>
        <v/>
      </c>
      <c r="I523" s="5" t="inlineStr">
        <is>
          <t>만1세 9 / 만2세 11 / 영아혼합반 4 / 유아혼합반 9 / 장애아반(특수) 2 / 기타(연령구분 없음) 9</t>
        </is>
      </c>
    </row>
    <row r="524">
      <c r="A524" s="5" t="inlineStr">
        <is>
          <t>벽산포레어린이집</t>
        </is>
      </c>
      <c r="B524" s="5" t="inlineStr">
        <is>
          <t>어린이집</t>
        </is>
      </c>
      <c r="C524" s="5" t="inlineStr">
        <is>
          <t>민간</t>
        </is>
      </c>
      <c r="D524" s="5" t="inlineStr">
        <is>
          <t>금정구</t>
        </is>
      </c>
      <c r="E524" s="5" t="inlineStr">
        <is>
          <t>부산광역시 금정구 금강로 225 관리동(장전동, 벽산블루밍아파트)</t>
        </is>
      </c>
      <c r="F524" s="5" t="inlineStr"/>
      <c r="G524" s="5" t="inlineStr">
        <is>
          <t>051-515-8700</t>
        </is>
      </c>
      <c r="H524" s="12">
        <f>어린이집!T145</f>
        <v/>
      </c>
      <c r="I524" s="5" t="inlineStr">
        <is>
          <t>만0세 2 / 만1세 19 / 만2세 14 / 기타(연령구분 없음) 5</t>
        </is>
      </c>
    </row>
    <row r="525">
      <c r="A525" s="5" t="inlineStr">
        <is>
          <t>부산대학교 직장어린이집</t>
        </is>
      </c>
      <c r="B525" s="5" t="inlineStr">
        <is>
          <t>어린이집</t>
        </is>
      </c>
      <c r="C525" s="5" t="inlineStr">
        <is>
          <t>직장</t>
        </is>
      </c>
      <c r="D525" s="5" t="inlineStr">
        <is>
          <t>금정구</t>
        </is>
      </c>
      <c r="E525" s="5" t="inlineStr">
        <is>
          <t>부산광역시 금정구 부산대학로63번길 2 (장전동)</t>
        </is>
      </c>
      <c r="F525" s="5" t="inlineStr"/>
      <c r="G525" s="5" t="inlineStr">
        <is>
          <t>051-510-3626</t>
        </is>
      </c>
      <c r="H525" s="12">
        <f>어린이집!T146</f>
        <v/>
      </c>
      <c r="I525" s="5" t="inlineStr">
        <is>
          <t>만1세 10 / 만2세 14 / 만3세 18 / 만4세 12 / 만5세 19 / 영아혼합반 10 / 기타(연령구분 없음) 40</t>
        </is>
      </c>
    </row>
    <row r="526">
      <c r="A526" s="5" t="inlineStr">
        <is>
          <t>부산대학교부설어린이집</t>
        </is>
      </c>
      <c r="B526" s="5" t="inlineStr">
        <is>
          <t>어린이집</t>
        </is>
      </c>
      <c r="C526" s="5" t="inlineStr">
        <is>
          <t>국공립</t>
        </is>
      </c>
      <c r="D526" s="5" t="inlineStr">
        <is>
          <t>금정구</t>
        </is>
      </c>
      <c r="E526" s="5" t="inlineStr">
        <is>
          <t>부산광역시 금정구 금강로321번길 63 (장전동) 부산대학교 부설 어린이집</t>
        </is>
      </c>
      <c r="F526" s="11" t="inlineStr">
        <is>
          <t>http://ecochild.pusan.ac.kr/</t>
        </is>
      </c>
      <c r="G526" s="5" t="inlineStr">
        <is>
          <t>051-510-1596</t>
        </is>
      </c>
      <c r="H526" s="12">
        <f>어린이집!T147</f>
        <v/>
      </c>
      <c r="I526" s="5" t="inlineStr">
        <is>
          <t>만1세 20 / 만2세 42 / 만3세 30 / 만4세 19 / 만5세 25 / 유아혼합반 29 / 기타(연령구분 없음) 61</t>
        </is>
      </c>
    </row>
    <row r="527">
      <c r="A527" s="5" t="inlineStr">
        <is>
          <t>삼한골든뷰어린이집</t>
        </is>
      </c>
      <c r="B527" s="5" t="inlineStr">
        <is>
          <t>어린이집</t>
        </is>
      </c>
      <c r="C527" s="5" t="inlineStr">
        <is>
          <t>국공립</t>
        </is>
      </c>
      <c r="D527" s="5" t="inlineStr">
        <is>
          <t>금정구</t>
        </is>
      </c>
      <c r="E527" s="5" t="inlineStr">
        <is>
          <t>부산광역시 금정구 중앙대로1629번길 16 부산대역삼한골든뷰에듀스테이션</t>
        </is>
      </c>
      <c r="F527" s="5" t="inlineStr"/>
      <c r="G527" s="5" t="inlineStr">
        <is>
          <t>051-514-9993</t>
        </is>
      </c>
      <c r="H527" s="12">
        <f>어린이집!T148</f>
        <v/>
      </c>
      <c r="I527" s="5" t="inlineStr">
        <is>
          <t>만0세 6 / 만1세 15 / 만2세 23 / 기타(연령구분 없음) 8</t>
        </is>
      </c>
    </row>
    <row r="528">
      <c r="A528" s="5" t="inlineStr">
        <is>
          <t>서동어린이집</t>
        </is>
      </c>
      <c r="B528" s="5" t="inlineStr">
        <is>
          <t>어린이집</t>
        </is>
      </c>
      <c r="C528" s="5" t="inlineStr">
        <is>
          <t>민간</t>
        </is>
      </c>
      <c r="D528" s="5" t="inlineStr">
        <is>
          <t>금정구</t>
        </is>
      </c>
      <c r="E528" s="5" t="inlineStr">
        <is>
          <t>부산광역시 금정구 서부로42번길 5 (서동)</t>
        </is>
      </c>
      <c r="F528" s="11" t="inlineStr">
        <is>
          <t>http://cafe.naver.com/seodong0818</t>
        </is>
      </c>
      <c r="G528" s="5" t="inlineStr">
        <is>
          <t>051-522-0818</t>
        </is>
      </c>
      <c r="H528" s="12">
        <f>어린이집!T149</f>
        <v/>
      </c>
      <c r="I528" s="5" t="inlineStr">
        <is>
          <t>영아혼합반 6 / 기타(연령구분 없음) 2</t>
        </is>
      </c>
    </row>
    <row r="529">
      <c r="A529" s="5" t="inlineStr">
        <is>
          <t>서희스타어린이집</t>
        </is>
      </c>
      <c r="B529" s="5" t="inlineStr">
        <is>
          <t>어린이집</t>
        </is>
      </c>
      <c r="C529" s="5" t="inlineStr">
        <is>
          <t>민간</t>
        </is>
      </c>
      <c r="D529" s="5" t="inlineStr">
        <is>
          <t>금정구</t>
        </is>
      </c>
      <c r="E529" s="5" t="inlineStr">
        <is>
          <t>부산광역시 금정구 부곡온천천로 170 (부곡동, 장전서희스타힐스아파트)</t>
        </is>
      </c>
      <c r="F529" s="5" t="inlineStr"/>
      <c r="G529" s="5" t="inlineStr">
        <is>
          <t>051-916-7779</t>
        </is>
      </c>
      <c r="H529" s="12">
        <f>어린이집!T150</f>
        <v/>
      </c>
      <c r="I529" s="5" t="inlineStr">
        <is>
          <t>만0세 10 / 만1세 10 / 만2세 11 / 기타(연령구분 없음) 5</t>
        </is>
      </c>
    </row>
    <row r="530">
      <c r="A530" s="5" t="inlineStr">
        <is>
          <t>석화영아전담어린이집</t>
        </is>
      </c>
      <c r="B530" s="5" t="inlineStr">
        <is>
          <t>어린이집</t>
        </is>
      </c>
      <c r="C530" s="5" t="inlineStr">
        <is>
          <t>사회복지법인</t>
        </is>
      </c>
      <c r="D530" s="5" t="inlineStr">
        <is>
          <t>금정구</t>
        </is>
      </c>
      <c r="E530" s="5" t="inlineStr">
        <is>
          <t>부산광역시 금정구 금샘로578번길 51-1</t>
        </is>
      </c>
      <c r="F530" s="11" t="inlineStr">
        <is>
          <t>https://blog.naver.com/seokhwa_kids</t>
        </is>
      </c>
      <c r="G530" s="5" t="inlineStr">
        <is>
          <t>051-512-0636</t>
        </is>
      </c>
      <c r="H530" s="12">
        <f>어린이집!T151</f>
        <v/>
      </c>
      <c r="I530" s="5" t="inlineStr">
        <is>
          <t>만0세 10 / 만1세 15 / 만2세 22 / 기타(연령구분 없음) 8</t>
        </is>
      </c>
    </row>
    <row r="531">
      <c r="A531" s="5" t="inlineStr">
        <is>
          <t>선재어린이집</t>
        </is>
      </c>
      <c r="B531" s="5" t="inlineStr">
        <is>
          <t>어린이집</t>
        </is>
      </c>
      <c r="C531" s="5" t="inlineStr">
        <is>
          <t>법인·단체등</t>
        </is>
      </c>
      <c r="D531" s="5" t="inlineStr">
        <is>
          <t>금정구</t>
        </is>
      </c>
      <c r="E531" s="5" t="inlineStr">
        <is>
          <t>부산광역시 금정구 두실로7번길 103 (구서동)</t>
        </is>
      </c>
      <c r="F531" s="5" t="inlineStr"/>
      <c r="G531" s="5" t="inlineStr">
        <is>
          <t>051-517-5513</t>
        </is>
      </c>
      <c r="H531" s="12">
        <f>어린이집!T152</f>
        <v/>
      </c>
      <c r="I531" s="5" t="inlineStr">
        <is>
          <t>만0세 3 / 만2세 7 / 영아혼합반 7 / 기타(연령구분 없음) 7</t>
        </is>
      </c>
    </row>
    <row r="532">
      <c r="A532" s="5" t="inlineStr">
        <is>
          <t>성심어린이집</t>
        </is>
      </c>
      <c r="B532" s="5" t="inlineStr">
        <is>
          <t>어린이집</t>
        </is>
      </c>
      <c r="C532" s="5" t="inlineStr">
        <is>
          <t>민간</t>
        </is>
      </c>
      <c r="D532" s="5" t="inlineStr">
        <is>
          <t>금정구</t>
        </is>
      </c>
      <c r="E532" s="5" t="inlineStr">
        <is>
          <t>부산광역시 금정구 서금로 97 (금사동)</t>
        </is>
      </c>
      <c r="F532" s="5" t="inlineStr"/>
      <c r="G532" s="5" t="inlineStr">
        <is>
          <t>051-523-2097</t>
        </is>
      </c>
      <c r="H532" s="12">
        <f>어린이집!T153</f>
        <v/>
      </c>
      <c r="I532" s="5" t="inlineStr">
        <is>
          <t>영아혼합반 8 / 유아혼합반 9 / 기타(연령구분 없음) 14</t>
        </is>
      </c>
    </row>
    <row r="533">
      <c r="A533" s="5" t="inlineStr">
        <is>
          <t>수연어린이집</t>
        </is>
      </c>
      <c r="B533" s="5" t="inlineStr">
        <is>
          <t>어린이집</t>
        </is>
      </c>
      <c r="C533" s="5" t="inlineStr">
        <is>
          <t>민간</t>
        </is>
      </c>
      <c r="D533" s="5" t="inlineStr">
        <is>
          <t>금정구</t>
        </is>
      </c>
      <c r="E533" s="5" t="inlineStr">
        <is>
          <t>부산광역시 금정구 금샘로18번길 79-21</t>
        </is>
      </c>
      <c r="F533" s="11" t="inlineStr">
        <is>
          <t>http://www.sooyun.co.kr</t>
        </is>
      </c>
      <c r="G533" s="5" t="inlineStr">
        <is>
          <t>051-514-4327</t>
        </is>
      </c>
      <c r="H533" s="12">
        <f>어린이집!T154</f>
        <v/>
      </c>
      <c r="I533" s="5" t="inlineStr">
        <is>
          <t>만0세 3 / 만1세 19 / 만2세 14 / 영아혼합반 8 / 유아혼합반 9 / 기타(연령구분 없음) 5</t>
        </is>
      </c>
    </row>
    <row r="534">
      <c r="A534" s="5" t="inlineStr">
        <is>
          <t>숲속어린이집</t>
        </is>
      </c>
      <c r="B534" s="5" t="inlineStr">
        <is>
          <t>어린이집</t>
        </is>
      </c>
      <c r="C534" s="5" t="inlineStr">
        <is>
          <t>가정</t>
        </is>
      </c>
      <c r="D534" s="5" t="inlineStr">
        <is>
          <t>금정구</t>
        </is>
      </c>
      <c r="E534" s="5" t="inlineStr">
        <is>
          <t>부산광역시 금정구 금샘로582번길 45 숲속어린이집</t>
        </is>
      </c>
      <c r="F534" s="5" t="inlineStr"/>
      <c r="G534" s="5" t="inlineStr">
        <is>
          <t>051-512-3533</t>
        </is>
      </c>
      <c r="H534" s="12">
        <f>어린이집!T155</f>
        <v/>
      </c>
      <c r="I534" s="5" t="inlineStr">
        <is>
          <t>만0세 3 / 만1세 5</t>
        </is>
      </c>
    </row>
    <row r="535">
      <c r="A535" s="5" t="inlineStr">
        <is>
          <t>숲속예나어린이집</t>
        </is>
      </c>
      <c r="B535" s="5" t="inlineStr">
        <is>
          <t>어린이집</t>
        </is>
      </c>
      <c r="C535" s="5" t="inlineStr">
        <is>
          <t>민간</t>
        </is>
      </c>
      <c r="D535" s="5" t="inlineStr">
        <is>
          <t>금정구</t>
        </is>
      </c>
      <c r="E535" s="5" t="inlineStr">
        <is>
          <t>부산광역시 금정구 서부로 81 (서동)</t>
        </is>
      </c>
      <c r="F535" s="5" t="inlineStr"/>
      <c r="G535" s="5" t="inlineStr">
        <is>
          <t>051-522-1828</t>
        </is>
      </c>
      <c r="H535" s="12">
        <f>어린이집!T156</f>
        <v/>
      </c>
      <c r="I535" s="5" t="inlineStr">
        <is>
          <t>만1세 3 / 영아혼합반 7 / 유아혼합반 14 / 기타(연령구분 없음) 7</t>
        </is>
      </c>
    </row>
    <row r="536">
      <c r="A536" s="5" t="inlineStr">
        <is>
          <t>신명어린이집</t>
        </is>
      </c>
      <c r="B536" s="5" t="inlineStr">
        <is>
          <t>어린이집</t>
        </is>
      </c>
      <c r="C536" s="5" t="inlineStr">
        <is>
          <t>가정</t>
        </is>
      </c>
      <c r="D536" s="5" t="inlineStr">
        <is>
          <t>금정구</t>
        </is>
      </c>
      <c r="E536" s="5" t="inlineStr">
        <is>
          <t>부산광역시 금정구 부산대학로 10 107동 101호(부곡동, 대우아파트)</t>
        </is>
      </c>
      <c r="F536" s="5" t="inlineStr"/>
      <c r="G536" s="5" t="inlineStr">
        <is>
          <t>051-517-7454</t>
        </is>
      </c>
      <c r="H536" s="12">
        <f>어린이집!T157</f>
        <v/>
      </c>
      <c r="I536" s="5" t="inlineStr">
        <is>
          <t>만0세 4 / 만1세 4 / 기타(연령구분 없음) 4</t>
        </is>
      </c>
    </row>
    <row r="537">
      <c r="A537" s="5" t="inlineStr">
        <is>
          <t>쌍용예가어린이집</t>
        </is>
      </c>
      <c r="B537" s="5" t="inlineStr">
        <is>
          <t>어린이집</t>
        </is>
      </c>
      <c r="C537" s="5" t="inlineStr">
        <is>
          <t>국공립</t>
        </is>
      </c>
      <c r="D537" s="5" t="inlineStr">
        <is>
          <t>금정구</t>
        </is>
      </c>
      <c r="E537" s="5" t="inlineStr">
        <is>
          <t>부산광역시 금정구 금샘로 262 관리동(구서동, 쌍용예가2단지)</t>
        </is>
      </c>
      <c r="F537" s="5" t="inlineStr"/>
      <c r="G537" s="5" t="inlineStr">
        <is>
          <t>051-711-2588</t>
        </is>
      </c>
      <c r="H537" s="12">
        <f>어린이집!T158</f>
        <v/>
      </c>
      <c r="I537" s="5" t="inlineStr">
        <is>
          <t>만0세 6 / 만1세 16 / 만2세 18 / 유아혼합반 7 / 기타(연령구분 없음) 5</t>
        </is>
      </c>
    </row>
    <row r="538">
      <c r="A538" s="5" t="inlineStr">
        <is>
          <t>아이누리어린이집</t>
        </is>
      </c>
      <c r="B538" s="5" t="inlineStr">
        <is>
          <t>어린이집</t>
        </is>
      </c>
      <c r="C538" s="5" t="inlineStr">
        <is>
          <t>국공립</t>
        </is>
      </c>
      <c r="D538" s="5" t="inlineStr">
        <is>
          <t>금정구</t>
        </is>
      </c>
      <c r="E538" s="5" t="inlineStr">
        <is>
          <t>부산광역시 금정구 금강로453번길 24</t>
        </is>
      </c>
      <c r="F538" s="5" t="inlineStr"/>
      <c r="G538" s="5" t="inlineStr">
        <is>
          <t>051-513-8108</t>
        </is>
      </c>
      <c r="H538" s="12">
        <f>어린이집!T159</f>
        <v/>
      </c>
      <c r="I538" s="5" t="inlineStr">
        <is>
          <t>만0세 2 / 만1세 13 / 만2세 21 / 만3세 7 / 유아혼합반 10 / 기타(연령구분 없음) 15</t>
        </is>
      </c>
    </row>
    <row r="539">
      <c r="A539" s="5" t="inlineStr">
        <is>
          <t>아이미래어린이집</t>
        </is>
      </c>
      <c r="B539" s="5" t="inlineStr">
        <is>
          <t>어린이집</t>
        </is>
      </c>
      <c r="C539" s="5" t="inlineStr">
        <is>
          <t>민간</t>
        </is>
      </c>
      <c r="D539" s="5" t="inlineStr">
        <is>
          <t>금정구</t>
        </is>
      </c>
      <c r="E539" s="5" t="inlineStr">
        <is>
          <t>부산광역시 금정구 금강로379번길 50 (장전동, 쌍용예가아파트)</t>
        </is>
      </c>
      <c r="F539" s="5" t="inlineStr"/>
      <c r="G539" s="5" t="inlineStr">
        <is>
          <t>051-951-5115</t>
        </is>
      </c>
      <c r="H539" s="12">
        <f>어린이집!T160</f>
        <v/>
      </c>
      <c r="I539" s="5" t="inlineStr">
        <is>
          <t>만0세 5 / 만1세 10 / 만2세 6 / 영아혼합반 3 / 기타(연령구분 없음) 5</t>
        </is>
      </c>
    </row>
    <row r="540">
      <c r="A540" s="5" t="inlineStr">
        <is>
          <t>아이원어린이집</t>
        </is>
      </c>
      <c r="B540" s="5" t="inlineStr">
        <is>
          <t>어린이집</t>
        </is>
      </c>
      <c r="C540" s="5" t="inlineStr">
        <is>
          <t>민간</t>
        </is>
      </c>
      <c r="D540" s="5" t="inlineStr">
        <is>
          <t>금정구</t>
        </is>
      </c>
      <c r="E540" s="5" t="inlineStr">
        <is>
          <t>부산광역시 금정구 동부곡로5번길 77 (부곡동)</t>
        </is>
      </c>
      <c r="F540" s="11" t="inlineStr">
        <is>
          <t>http://ch6188@naver.com</t>
        </is>
      </c>
      <c r="G540" s="5" t="inlineStr">
        <is>
          <t>051-513-9990</t>
        </is>
      </c>
      <c r="H540" s="12">
        <f>어린이집!T161</f>
        <v/>
      </c>
      <c r="I540" s="5" t="inlineStr">
        <is>
          <t>만0세 11 / 만1세 34 / 만2세 31 / 만3세 23 / 만4세 19 / 만5세 9 / 기타(연령구분 없음) 39</t>
        </is>
      </c>
    </row>
    <row r="541">
      <c r="A541" s="5" t="inlineStr">
        <is>
          <t>엘지어린이집</t>
        </is>
      </c>
      <c r="B541" s="5" t="inlineStr">
        <is>
          <t>어린이집</t>
        </is>
      </c>
      <c r="C541" s="5" t="inlineStr">
        <is>
          <t>가정</t>
        </is>
      </c>
      <c r="D541" s="5" t="inlineStr">
        <is>
          <t>금정구</t>
        </is>
      </c>
      <c r="E541" s="5" t="inlineStr">
        <is>
          <t>부산광역시 금정구 중앙대로1667번길 8 102동 112호(부곡동, 우신뉴타운아파트)</t>
        </is>
      </c>
      <c r="F541" s="5" t="inlineStr"/>
      <c r="G541" s="5" t="inlineStr">
        <is>
          <t>051-582-3209</t>
        </is>
      </c>
      <c r="H541" s="12">
        <f>어린이집!T162</f>
        <v/>
      </c>
      <c r="I541" s="5" t="inlineStr">
        <is>
          <t>만0세 4 / 영아혼합반 3 / 기타(연령구분 없음) 5</t>
        </is>
      </c>
    </row>
    <row r="542">
      <c r="A542" s="5" t="inlineStr">
        <is>
          <t>영재타운어린이집</t>
        </is>
      </c>
      <c r="B542" s="5" t="inlineStr">
        <is>
          <t>어린이집</t>
        </is>
      </c>
      <c r="C542" s="5" t="inlineStr">
        <is>
          <t>민간</t>
        </is>
      </c>
      <c r="D542" s="5" t="inlineStr">
        <is>
          <t>금정구</t>
        </is>
      </c>
      <c r="E542" s="5" t="inlineStr">
        <is>
          <t>부산광역시 금정구 식물원로 64 금정산에스케이뷰아파트</t>
        </is>
      </c>
      <c r="F542" s="5" t="inlineStr"/>
      <c r="G542" s="5" t="inlineStr">
        <is>
          <t>051-514-3393</t>
        </is>
      </c>
      <c r="H542" s="12">
        <f>어린이집!T163</f>
        <v/>
      </c>
      <c r="I542" s="5" t="inlineStr">
        <is>
          <t>만0세 14 / 만1세 23 / 만2세 29 / 만3세 5 / 기타(연령구분 없음) 4</t>
        </is>
      </c>
    </row>
    <row r="543">
      <c r="A543" s="5" t="inlineStr">
        <is>
          <t>예가람어린이집</t>
        </is>
      </c>
      <c r="B543" s="5" t="inlineStr">
        <is>
          <t>어린이집</t>
        </is>
      </c>
      <c r="C543" s="5" t="inlineStr">
        <is>
          <t>국공립</t>
        </is>
      </c>
      <c r="D543" s="5" t="inlineStr">
        <is>
          <t>금정구</t>
        </is>
      </c>
      <c r="E543" s="5" t="inlineStr">
        <is>
          <t>부산광역시 금정구 수림로72번길 21 장전동, 금정산2차쌍용예가아파트</t>
        </is>
      </c>
      <c r="F543" s="5" t="inlineStr"/>
      <c r="G543" s="5" t="inlineStr">
        <is>
          <t>051-517-1240</t>
        </is>
      </c>
      <c r="H543" s="12">
        <f>어린이집!T164</f>
        <v/>
      </c>
      <c r="I543" s="5" t="inlineStr">
        <is>
          <t>만0세 5 / 만1세 17 / 만2세 13 / 기타(연령구분 없음) 8</t>
        </is>
      </c>
    </row>
    <row r="544">
      <c r="A544" s="5" t="inlineStr">
        <is>
          <t>유정어린이집</t>
        </is>
      </c>
      <c r="B544" s="5" t="inlineStr">
        <is>
          <t>어린이집</t>
        </is>
      </c>
      <c r="C544" s="5" t="inlineStr">
        <is>
          <t>가정</t>
        </is>
      </c>
      <c r="D544" s="5" t="inlineStr">
        <is>
          <t>금정구</t>
        </is>
      </c>
      <c r="E544" s="5" t="inlineStr">
        <is>
          <t>부산광역시 금정구 수림로 12 105동 105호(부곡동, 에스케이)</t>
        </is>
      </c>
      <c r="F544" s="11" t="inlineStr">
        <is>
          <t>http://cafe.naver.com/01034224133</t>
        </is>
      </c>
      <c r="G544" s="5" t="inlineStr">
        <is>
          <t>051-914-4133</t>
        </is>
      </c>
      <c r="H544" s="12">
        <f>어린이집!T165</f>
        <v/>
      </c>
      <c r="I544" s="5" t="inlineStr">
        <is>
          <t>만0세 4 / 만1세 5 / 만2세 5 / 영아혼합반 3 / 기타(연령구분 없음) 12</t>
        </is>
      </c>
    </row>
    <row r="545">
      <c r="A545" s="5" t="inlineStr">
        <is>
          <t>장전그린키즈어린이집</t>
        </is>
      </c>
      <c r="B545" s="5" t="inlineStr">
        <is>
          <t>어린이집</t>
        </is>
      </c>
      <c r="C545" s="5" t="inlineStr">
        <is>
          <t>가정</t>
        </is>
      </c>
      <c r="D545" s="5" t="inlineStr">
        <is>
          <t>금정구</t>
        </is>
      </c>
      <c r="E545" s="5" t="inlineStr">
        <is>
          <t>부산광역시 금정구 식물원로9번길 15 삼정그린코아 더베스트</t>
        </is>
      </c>
      <c r="F545" s="5" t="inlineStr"/>
      <c r="G545" s="5" t="inlineStr">
        <is>
          <t>051-905-2019</t>
        </is>
      </c>
      <c r="H545" s="12">
        <f>어린이집!T166</f>
        <v/>
      </c>
      <c r="I545" s="5" t="inlineStr">
        <is>
          <t>만0세 5 / 만1세 5 / 만2세 7 / 기타(연령구분 없음) 5</t>
        </is>
      </c>
    </row>
    <row r="546">
      <c r="A546" s="5" t="inlineStr">
        <is>
          <t>장전제일교회어린이집</t>
        </is>
      </c>
      <c r="B546" s="5" t="inlineStr">
        <is>
          <t>어린이집</t>
        </is>
      </c>
      <c r="C546" s="5" t="inlineStr">
        <is>
          <t>민간</t>
        </is>
      </c>
      <c r="D546" s="5" t="inlineStr">
        <is>
          <t>금정구</t>
        </is>
      </c>
      <c r="E546" s="5" t="inlineStr">
        <is>
          <t>부산광역시 금정구 금정로 50 (장전동)</t>
        </is>
      </c>
      <c r="F546" s="11" t="inlineStr">
        <is>
          <t>http://5815838@hanmaiㅣ.net</t>
        </is>
      </c>
      <c r="G546" s="5" t="inlineStr">
        <is>
          <t>051-518-8739</t>
        </is>
      </c>
      <c r="H546" s="12">
        <f>어린이집!T167</f>
        <v/>
      </c>
      <c r="I546" s="5" t="inlineStr">
        <is>
          <t>만1세 10 / 만2세 14 / 만3세 20 / 만4세 20 / 만5세 15 / 기타(연령구분 없음) 42</t>
        </is>
      </c>
    </row>
    <row r="547">
      <c r="A547" s="5" t="inlineStr">
        <is>
          <t>지산어린이집</t>
        </is>
      </c>
      <c r="B547" s="5" t="inlineStr">
        <is>
          <t>어린이집</t>
        </is>
      </c>
      <c r="C547" s="5" t="inlineStr">
        <is>
          <t>국공립</t>
        </is>
      </c>
      <c r="D547" s="5" t="inlineStr">
        <is>
          <t>금정구</t>
        </is>
      </c>
      <c r="E547" s="5" t="inlineStr">
        <is>
          <t>부산광역시 금정구 기찰로108번길 48</t>
        </is>
      </c>
      <c r="F547" s="5" t="inlineStr"/>
      <c r="G547" s="5" t="inlineStr">
        <is>
          <t>051-515-5161</t>
        </is>
      </c>
      <c r="H547" s="12">
        <f>어린이집!T168</f>
        <v/>
      </c>
      <c r="I547" s="5" t="inlineStr">
        <is>
          <t>만1세 12 / 만2세 17 / 만3세 7 / 유아혼합반 9 / 기타(연령구분 없음) 10</t>
        </is>
      </c>
    </row>
    <row r="548">
      <c r="A548" s="5" t="inlineStr">
        <is>
          <t>푸른하늘어린이집</t>
        </is>
      </c>
      <c r="B548" s="5" t="inlineStr">
        <is>
          <t>어린이집</t>
        </is>
      </c>
      <c r="C548" s="5" t="inlineStr">
        <is>
          <t>가정</t>
        </is>
      </c>
      <c r="D548" s="5" t="inlineStr">
        <is>
          <t>금정구</t>
        </is>
      </c>
      <c r="E548" s="5" t="inlineStr">
        <is>
          <t>부산광역시 금정구 금강로379번길 50 104동 104호 (장전동, 금정산 쌍용예가아파트)</t>
        </is>
      </c>
      <c r="F548" s="5" t="inlineStr"/>
      <c r="G548" s="5" t="inlineStr">
        <is>
          <t>051-517-9007</t>
        </is>
      </c>
      <c r="H548" s="12">
        <f>어린이집!T169</f>
        <v/>
      </c>
      <c r="I548" s="5" t="inlineStr">
        <is>
          <t>만0세 6 / 만2세 11 / 영아혼합반 2 / 기타(연령구분 없음) 5</t>
        </is>
      </c>
    </row>
    <row r="549">
      <c r="A549" s="5" t="inlineStr">
        <is>
          <t>해맑은어린이집</t>
        </is>
      </c>
      <c r="B549" s="5" t="inlineStr">
        <is>
          <t>어린이집</t>
        </is>
      </c>
      <c r="C549" s="5" t="inlineStr">
        <is>
          <t>민간</t>
        </is>
      </c>
      <c r="D549" s="5" t="inlineStr">
        <is>
          <t>금정구</t>
        </is>
      </c>
      <c r="E549" s="5" t="inlineStr">
        <is>
          <t>부산광역시 금정구 금단로 113-13 부산시 금정구 금단로 113-13 해맑은어린이집</t>
        </is>
      </c>
      <c r="F549" s="11" t="inlineStr">
        <is>
          <t>https://blog.naver.com/sunnykids7130</t>
        </is>
      </c>
      <c r="G549" s="5" t="inlineStr">
        <is>
          <t>051-516-7130</t>
        </is>
      </c>
      <c r="H549" s="12">
        <f>어린이집!T170</f>
        <v/>
      </c>
      <c r="I549" s="5" t="inlineStr">
        <is>
          <t>만0세 9 / 만1세 5 / 만2세 29 / 만3세 12 / 영아혼합반 10 / 유아혼합반 12 / 기타(연령구분 없음) 28</t>
        </is>
      </c>
    </row>
    <row r="550">
      <c r="A550" s="5" t="inlineStr">
        <is>
          <t>해수어린이집</t>
        </is>
      </c>
      <c r="B550" s="5" t="inlineStr">
        <is>
          <t>어린이집</t>
        </is>
      </c>
      <c r="C550" s="5" t="inlineStr">
        <is>
          <t>가정</t>
        </is>
      </c>
      <c r="D550" s="5" t="inlineStr">
        <is>
          <t>금정구</t>
        </is>
      </c>
      <c r="E550" s="5" t="inlineStr">
        <is>
          <t>부산광역시 금정구 식물원로 64 장전동 금정산 SK뷰  110동103호</t>
        </is>
      </c>
      <c r="F550" s="5" t="inlineStr"/>
      <c r="G550" s="5" t="inlineStr">
        <is>
          <t>051-514-9645</t>
        </is>
      </c>
      <c r="H550" s="12">
        <f>어린이집!T171</f>
        <v/>
      </c>
      <c r="I550" s="5" t="inlineStr">
        <is>
          <t>만0세 7 / 만1세 5 / 영아혼합반 6 / 기타(연령구분 없음) 8</t>
        </is>
      </c>
    </row>
    <row r="551">
      <c r="A551" s="5" t="inlineStr">
        <is>
          <t>행복한그림동산어린이집</t>
        </is>
      </c>
      <c r="B551" s="5" t="inlineStr">
        <is>
          <t>어린이집</t>
        </is>
      </c>
      <c r="C551" s="5" t="inlineStr">
        <is>
          <t>국공립</t>
        </is>
      </c>
      <c r="D551" s="5" t="inlineStr">
        <is>
          <t>금정구</t>
        </is>
      </c>
      <c r="E551" s="5" t="inlineStr">
        <is>
          <t>부산광역시 금정구 금사로29번길 57</t>
        </is>
      </c>
      <c r="F551" s="5" t="inlineStr"/>
      <c r="G551" s="5" t="inlineStr">
        <is>
          <t>051-522-4071</t>
        </is>
      </c>
      <c r="H551" s="12">
        <f>어린이집!T172</f>
        <v/>
      </c>
      <c r="I551" s="5" t="inlineStr">
        <is>
          <t>만1세 5 / 만2세 9 / 유아혼합반 11 / 장애아반(특수) 3 / 기타(연령구분 없음) 17</t>
        </is>
      </c>
    </row>
    <row r="552">
      <c r="A552" s="5" t="inlineStr">
        <is>
          <t>EG아이숲어린이집</t>
        </is>
      </c>
      <c r="B552" s="5" t="inlineStr">
        <is>
          <t>어린이집</t>
        </is>
      </c>
      <c r="C552" s="5" t="inlineStr">
        <is>
          <t>민간</t>
        </is>
      </c>
      <c r="D552" s="5" t="inlineStr">
        <is>
          <t>기장군</t>
        </is>
      </c>
      <c r="E552" s="5" t="inlineStr">
        <is>
          <t>부산광역시 기장군 정관읍 정관로 350 이지더원 3차 관리동</t>
        </is>
      </c>
      <c r="F552" s="5" t="inlineStr"/>
      <c r="G552" s="5" t="inlineStr">
        <is>
          <t>051-728-0055</t>
        </is>
      </c>
      <c r="H552" s="12">
        <f>어린이집!T173</f>
        <v/>
      </c>
      <c r="I552" s="5" t="inlineStr">
        <is>
          <t>만0세 8 / 만1세 8 / 만2세 7 / 영아혼합반 5 / 기타(연령구분 없음) 3</t>
        </is>
      </c>
    </row>
    <row r="553">
      <c r="A553" s="5" t="inlineStr">
        <is>
          <t>가동캐슬어린이집</t>
        </is>
      </c>
      <c r="B553" s="5" t="inlineStr">
        <is>
          <t>어린이집</t>
        </is>
      </c>
      <c r="C553" s="5" t="inlineStr">
        <is>
          <t>가정</t>
        </is>
      </c>
      <c r="D553" s="5" t="inlineStr">
        <is>
          <t>기장군</t>
        </is>
      </c>
      <c r="E553" s="5" t="inlineStr">
        <is>
          <t>부산광역시 기장군 정관읍 가동3로 19 이진캐스빌2차 104동 105호</t>
        </is>
      </c>
      <c r="F553" s="5" t="inlineStr"/>
      <c r="G553" s="5" t="inlineStr">
        <is>
          <t>051-996-1002</t>
        </is>
      </c>
      <c r="H553" s="12">
        <f>어린이집!T174</f>
        <v/>
      </c>
      <c r="I553" s="5" t="inlineStr">
        <is>
          <t>만0세 4 / 만1세 4 / 만2세 4 / 기타(연령구분 없음) 9</t>
        </is>
      </c>
    </row>
    <row r="554">
      <c r="A554" s="5" t="inlineStr">
        <is>
          <t>가온어린이집</t>
        </is>
      </c>
      <c r="B554" s="5" t="inlineStr">
        <is>
          <t>어린이집</t>
        </is>
      </c>
      <c r="C554" s="5" t="inlineStr">
        <is>
          <t>가정</t>
        </is>
      </c>
      <c r="D554" s="5" t="inlineStr">
        <is>
          <t>기장군</t>
        </is>
      </c>
      <c r="E554" s="5" t="inlineStr">
        <is>
          <t>부산광역시 기장군 정관읍 정관4로 24 동일스위트 1차 109-104</t>
        </is>
      </c>
      <c r="F554" s="5" t="inlineStr"/>
      <c r="G554" s="5" t="inlineStr">
        <is>
          <t>051-728-5528</t>
        </is>
      </c>
      <c r="H554" s="12">
        <f>어린이집!T175</f>
        <v/>
      </c>
      <c r="I554" s="5" t="inlineStr">
        <is>
          <t>만0세 4 / 만1세 6 / 만2세 4 / 기타(연령구분 없음) 19</t>
        </is>
      </c>
    </row>
    <row r="555">
      <c r="A555" s="5" t="inlineStr">
        <is>
          <t>가화사랑어린이집</t>
        </is>
      </c>
      <c r="B555" s="5" t="inlineStr">
        <is>
          <t>어린이집</t>
        </is>
      </c>
      <c r="C555" s="5" t="inlineStr">
        <is>
          <t>민간</t>
        </is>
      </c>
      <c r="D555" s="5" t="inlineStr">
        <is>
          <t>기장군</t>
        </is>
      </c>
      <c r="E555" s="5" t="inlineStr">
        <is>
          <t>부산광역시 기장군 정관읍 방곡로 39 가화정관타운 관리동</t>
        </is>
      </c>
      <c r="F555" s="5" t="inlineStr"/>
      <c r="G555" s="5" t="inlineStr">
        <is>
          <t>051-723-5050</t>
        </is>
      </c>
      <c r="H555" s="12">
        <f>어린이집!T176</f>
        <v/>
      </c>
      <c r="I555" s="5" t="inlineStr">
        <is>
          <t>만0세 3 / 만1세 8 / 만2세 9 / 만3세 6 / 영아혼합반 5 / 기타(연령구분 없음) 9</t>
        </is>
      </c>
    </row>
    <row r="556">
      <c r="A556" s="5" t="inlineStr">
        <is>
          <t>가화숲어린이집</t>
        </is>
      </c>
      <c r="B556" s="5" t="inlineStr">
        <is>
          <t>어린이집</t>
        </is>
      </c>
      <c r="C556" s="5" t="inlineStr">
        <is>
          <t>민간</t>
        </is>
      </c>
      <c r="D556" s="5" t="inlineStr">
        <is>
          <t>기장군</t>
        </is>
      </c>
      <c r="E556" s="5" t="inlineStr">
        <is>
          <t>부산광역시 기장군 정관읍 구연방곡로 120 가화만사성더테라스아파트</t>
        </is>
      </c>
      <c r="F556" s="5" t="inlineStr"/>
      <c r="G556" s="5" t="inlineStr">
        <is>
          <t>051-728-0332</t>
        </is>
      </c>
      <c r="H556" s="12">
        <f>어린이집!T177</f>
        <v/>
      </c>
      <c r="I556" s="5" t="inlineStr">
        <is>
          <t>만0세 3 / 만1세 10 / 만2세 14 / 영아혼합반 4 / 기타(연령구분 없음) 10</t>
        </is>
      </c>
    </row>
    <row r="557">
      <c r="A557" s="5" t="inlineStr">
        <is>
          <t>가화아이어린이집</t>
        </is>
      </c>
      <c r="B557" s="5" t="inlineStr">
        <is>
          <t>어린이집</t>
        </is>
      </c>
      <c r="C557" s="5" t="inlineStr">
        <is>
          <t>민간</t>
        </is>
      </c>
      <c r="D557" s="5" t="inlineStr">
        <is>
          <t>기장군</t>
        </is>
      </c>
      <c r="E557" s="5" t="inlineStr">
        <is>
          <t>부산광역시 기장군 이천10길 37 가화일광타워 101동 1층</t>
        </is>
      </c>
      <c r="F557" s="5" t="inlineStr"/>
      <c r="G557" s="5" t="inlineStr">
        <is>
          <t>051-723-3700</t>
        </is>
      </c>
      <c r="H557" s="12">
        <f>어린이집!T178</f>
        <v/>
      </c>
      <c r="I557" s="5" t="inlineStr">
        <is>
          <t>만0세 6 / 만1세 5 / 기타(연령구분 없음) 2</t>
        </is>
      </c>
    </row>
    <row r="558">
      <c r="A558" s="5" t="inlineStr">
        <is>
          <t>가화행복어린이집</t>
        </is>
      </c>
      <c r="B558" s="5" t="inlineStr">
        <is>
          <t>어린이집</t>
        </is>
      </c>
      <c r="C558" s="5" t="inlineStr">
        <is>
          <t>민간</t>
        </is>
      </c>
      <c r="D558" s="5" t="inlineStr">
        <is>
          <t>기장군</t>
        </is>
      </c>
      <c r="E558" s="5" t="inlineStr">
        <is>
          <t>부산광역시 기장군 정관읍 구연방곡로 106 가화만사성더테라스2차</t>
        </is>
      </c>
      <c r="F558" s="5" t="inlineStr"/>
      <c r="G558" s="5" t="inlineStr">
        <is>
          <t>051-728-7977</t>
        </is>
      </c>
      <c r="H558" s="12">
        <f>어린이집!T179</f>
        <v/>
      </c>
      <c r="I558" s="5" t="inlineStr">
        <is>
          <t>만1세 3 / 만3세 8 / 영아혼합반 5 / 기타(연령구분 없음) 13</t>
        </is>
      </c>
    </row>
    <row r="559">
      <c r="A559" s="5" t="inlineStr">
        <is>
          <t>고촌어린이집</t>
        </is>
      </c>
      <c r="B559" s="5" t="inlineStr">
        <is>
          <t>어린이집</t>
        </is>
      </c>
      <c r="C559" s="5" t="inlineStr">
        <is>
          <t>국공립</t>
        </is>
      </c>
      <c r="D559" s="5" t="inlineStr">
        <is>
          <t>기장군</t>
        </is>
      </c>
      <c r="E559" s="5" t="inlineStr">
        <is>
          <t>부산광역시 기장군 철마면 고촌로44번길 16 112호 고촌어린이집</t>
        </is>
      </c>
      <c r="F559" s="5" t="inlineStr"/>
      <c r="G559" s="5" t="inlineStr">
        <is>
          <t>051-915-5000</t>
        </is>
      </c>
      <c r="H559" s="12">
        <f>어린이집!T180</f>
        <v/>
      </c>
      <c r="I559" s="5" t="inlineStr">
        <is>
          <t>만0세 3 / 영아혼합반 8 / 유아혼합반 5 / 기타(연령구분 없음) 7</t>
        </is>
      </c>
    </row>
    <row r="560">
      <c r="A560" s="5" t="inlineStr">
        <is>
          <t>그림나라어린이집</t>
        </is>
      </c>
      <c r="B560" s="5" t="inlineStr">
        <is>
          <t>어린이집</t>
        </is>
      </c>
      <c r="C560" s="5" t="inlineStr">
        <is>
          <t>민간</t>
        </is>
      </c>
      <c r="D560" s="5" t="inlineStr">
        <is>
          <t>기장군</t>
        </is>
      </c>
      <c r="E560" s="5" t="inlineStr">
        <is>
          <t>부산광역시 기장군 기장읍 차성서로101번길 14</t>
        </is>
      </c>
      <c r="F560" s="5" t="inlineStr"/>
      <c r="G560" s="5" t="inlineStr">
        <is>
          <t>051-722-4370</t>
        </is>
      </c>
      <c r="H560" s="12">
        <f>어린이집!T181</f>
        <v/>
      </c>
      <c r="I560" s="5" t="inlineStr">
        <is>
          <t>만0세 8 / 만1세 5 / 만2세 7 / 만3세 17 / 영아혼합반 8 / 유아혼합반 19 / 기타(연령구분 없음) 35</t>
        </is>
      </c>
    </row>
    <row r="561">
      <c r="A561" s="5" t="inlineStr">
        <is>
          <t>기장군종합사회복지관어린이집</t>
        </is>
      </c>
      <c r="B561" s="5" t="inlineStr">
        <is>
          <t>어린이집</t>
        </is>
      </c>
      <c r="C561" s="5" t="inlineStr">
        <is>
          <t>국공립</t>
        </is>
      </c>
      <c r="D561" s="5" t="inlineStr">
        <is>
          <t>기장군</t>
        </is>
      </c>
      <c r="E561" s="5" t="inlineStr">
        <is>
          <t>부산광역시 기장군 기장읍 차성로 206</t>
        </is>
      </c>
      <c r="F561" s="5" t="inlineStr"/>
      <c r="G561" s="5" t="inlineStr">
        <is>
          <t>051-724-8811</t>
        </is>
      </c>
      <c r="H561" s="12">
        <f>어린이집!T182</f>
        <v/>
      </c>
      <c r="I561" s="5" t="inlineStr">
        <is>
          <t>영아혼합반 13 / 유아혼합반 14 / 기타(연령구분 없음) 14</t>
        </is>
      </c>
    </row>
    <row r="562">
      <c r="A562" s="5" t="inlineStr">
        <is>
          <t>기장소방서공동직장어린이집</t>
        </is>
      </c>
      <c r="B562" s="5" t="inlineStr">
        <is>
          <t>어린이집</t>
        </is>
      </c>
      <c r="C562" s="5" t="inlineStr">
        <is>
          <t>직장</t>
        </is>
      </c>
      <c r="D562" s="5" t="inlineStr">
        <is>
          <t>기장군</t>
        </is>
      </c>
      <c r="E562" s="5" t="inlineStr">
        <is>
          <t>부산광역시 기장군 정관읍 용수로 7</t>
        </is>
      </c>
      <c r="F562" s="5" t="inlineStr"/>
      <c r="G562" s="5" t="inlineStr">
        <is>
          <t>051-728-4119</t>
        </is>
      </c>
      <c r="H562" s="12">
        <f>어린이집!T183</f>
        <v/>
      </c>
      <c r="I562" s="5" t="inlineStr">
        <is>
          <t>만0세 2 / 만1세 6 / 만2세 8 / 기타(연령구분 없음) 5</t>
        </is>
      </c>
    </row>
    <row r="563">
      <c r="A563" s="5" t="inlineStr">
        <is>
          <t>기장웨이브리즈어린이집</t>
        </is>
      </c>
      <c r="B563" s="5" t="inlineStr">
        <is>
          <t>어린이집</t>
        </is>
      </c>
      <c r="C563" s="5" t="inlineStr">
        <is>
          <t>국공립</t>
        </is>
      </c>
      <c r="D563" s="5" t="inlineStr">
        <is>
          <t>기장군</t>
        </is>
      </c>
      <c r="E563" s="5" t="inlineStr">
        <is>
          <t>부산광역시 기장군 기장읍 대변로 43 관리동</t>
        </is>
      </c>
      <c r="F563" s="5" t="inlineStr"/>
      <c r="G563" s="5" t="inlineStr">
        <is>
          <t>051-711-0073</t>
        </is>
      </c>
      <c r="H563" s="12">
        <f>어린이집!T184</f>
        <v/>
      </c>
      <c r="I563" s="5" t="inlineStr">
        <is>
          <t>만0세 8 / 만1세 15 / 만2세 20 / 만3세 19 / 만4세 16 / 만5세 18 / 기타(연령구분 없음) 52</t>
        </is>
      </c>
    </row>
    <row r="564">
      <c r="A564" s="5" t="inlineStr">
        <is>
          <t>까르르어린이집</t>
        </is>
      </c>
      <c r="B564" s="5" t="inlineStr">
        <is>
          <t>어린이집</t>
        </is>
      </c>
      <c r="C564" s="5" t="inlineStr">
        <is>
          <t>가정</t>
        </is>
      </c>
      <c r="D564" s="5" t="inlineStr">
        <is>
          <t>기장군</t>
        </is>
      </c>
      <c r="E564" s="5" t="inlineStr">
        <is>
          <t>부산광역시 기장군 정관읍 정관2로 9 이지2차아파트 208동 103호</t>
        </is>
      </c>
      <c r="F564" s="5" t="inlineStr"/>
      <c r="G564" s="5" t="inlineStr">
        <is>
          <t>051-728-1213</t>
        </is>
      </c>
      <c r="H564" s="12">
        <f>어린이집!T185</f>
        <v/>
      </c>
      <c r="I564" s="5" t="inlineStr">
        <is>
          <t>만0세 5 / 만2세 4 / 영아혼합반 7 / 기타(연령구분 없음) 32</t>
        </is>
      </c>
    </row>
    <row r="565">
      <c r="A565" s="5" t="inlineStr">
        <is>
          <t>꼬마어린이집</t>
        </is>
      </c>
      <c r="B565" s="5" t="inlineStr">
        <is>
          <t>어린이집</t>
        </is>
      </c>
      <c r="C565" s="5" t="inlineStr">
        <is>
          <t>가정</t>
        </is>
      </c>
      <c r="D565" s="5" t="inlineStr">
        <is>
          <t>기장군</t>
        </is>
      </c>
      <c r="E565" s="5" t="inlineStr">
        <is>
          <t>부산광역시 기장군 기장읍 차성로344번길 13 한신아파트 108동 104호</t>
        </is>
      </c>
      <c r="F565" s="5" t="inlineStr"/>
      <c r="G565" s="5" t="inlineStr">
        <is>
          <t>051-921-4232</t>
        </is>
      </c>
      <c r="H565" s="12">
        <f>어린이집!T186</f>
        <v/>
      </c>
      <c r="I565" s="5" t="inlineStr">
        <is>
          <t>만0세 3 / 영아혼합반 4 / 기타(연령구분 없음) 6</t>
        </is>
      </c>
    </row>
    <row r="566">
      <c r="A566" s="5" t="inlineStr">
        <is>
          <t>꼬망쎄어린이집</t>
        </is>
      </c>
      <c r="B566" s="5" t="inlineStr">
        <is>
          <t>어린이집</t>
        </is>
      </c>
      <c r="C566" s="5" t="inlineStr">
        <is>
          <t>가정</t>
        </is>
      </c>
      <c r="D566" s="5" t="inlineStr">
        <is>
          <t>기장군</t>
        </is>
      </c>
      <c r="E566" s="5" t="inlineStr">
        <is>
          <t>부산광역시 기장군 기장읍 차성서로 51 103동 102호(대라리, 이진캐스빌)</t>
        </is>
      </c>
      <c r="F566" s="11" t="inlineStr">
        <is>
          <t>http://www.kidsnote.com</t>
        </is>
      </c>
      <c r="G566" s="5" t="inlineStr">
        <is>
          <t>051-722-5815</t>
        </is>
      </c>
      <c r="H566" s="12">
        <f>어린이집!T187</f>
        <v/>
      </c>
      <c r="I566" s="5" t="inlineStr">
        <is>
          <t>영아혼합반 6 / 기타(연령구분 없음) 6</t>
        </is>
      </c>
    </row>
    <row r="567">
      <c r="A567" s="5" t="inlineStr">
        <is>
          <t>내리어린이집</t>
        </is>
      </c>
      <c r="B567" s="5" t="inlineStr">
        <is>
          <t>어린이집</t>
        </is>
      </c>
      <c r="C567" s="5" t="inlineStr">
        <is>
          <t>국공립</t>
        </is>
      </c>
      <c r="D567" s="5" t="inlineStr">
        <is>
          <t>기장군</t>
        </is>
      </c>
      <c r="E567" s="5" t="inlineStr">
        <is>
          <t>부산광역시 기장군 기장읍 소정안길 68 내리휴먼시아 110동 1층</t>
        </is>
      </c>
      <c r="F567" s="11" t="inlineStr">
        <is>
          <t>http://pegasusmw@naver.com</t>
        </is>
      </c>
      <c r="G567" s="5" t="inlineStr">
        <is>
          <t>051-722-4241</t>
        </is>
      </c>
      <c r="H567" s="12">
        <f>어린이집!T188</f>
        <v/>
      </c>
      <c r="I567" s="5" t="inlineStr">
        <is>
          <t>만1세 4 / 영아혼합반 6 / 유아혼합반 6 / 기타(연령구분 없음) 3</t>
        </is>
      </c>
    </row>
    <row r="568">
      <c r="A568" s="5" t="inlineStr">
        <is>
          <t>늘채움어린이집</t>
        </is>
      </c>
      <c r="B568" s="5" t="inlineStr">
        <is>
          <t>어린이집</t>
        </is>
      </c>
      <c r="C568" s="5" t="inlineStr">
        <is>
          <t>가정</t>
        </is>
      </c>
      <c r="D568" s="5" t="inlineStr">
        <is>
          <t>기장군</t>
        </is>
      </c>
      <c r="E568" s="5" t="inlineStr">
        <is>
          <t>부산광역시 기장군 기장읍 차성남로 8-18 씨엘늘채움 아파트 101동 101호</t>
        </is>
      </c>
      <c r="F568" s="5" t="inlineStr"/>
      <c r="G568" s="5" t="inlineStr">
        <is>
          <t>051-724-2378</t>
        </is>
      </c>
      <c r="H568" s="12">
        <f>어린이집!T189</f>
        <v/>
      </c>
      <c r="I568" s="5" t="inlineStr">
        <is>
          <t>만0세 2 / 만1세 5 / 영아혼합반 7 / 기타(연령구분 없음) 9</t>
        </is>
      </c>
    </row>
    <row r="569">
      <c r="A569" s="5" t="inlineStr">
        <is>
          <t>더베스트어린이집</t>
        </is>
      </c>
      <c r="B569" s="5" t="inlineStr">
        <is>
          <t>어린이집</t>
        </is>
      </c>
      <c r="C569" s="5" t="inlineStr">
        <is>
          <t>민간</t>
        </is>
      </c>
      <c r="D569" s="5" t="inlineStr">
        <is>
          <t>기장군</t>
        </is>
      </c>
      <c r="E569" s="5" t="inlineStr">
        <is>
          <t>부산광역시 기장군 기장읍 기장대로 82-8 동부산삼정그린코아</t>
        </is>
      </c>
      <c r="F569" s="5" t="inlineStr"/>
      <c r="G569" s="5" t="inlineStr">
        <is>
          <t>051-724-1250</t>
        </is>
      </c>
      <c r="H569" s="12">
        <f>어린이집!T190</f>
        <v/>
      </c>
      <c r="I569" s="5" t="inlineStr">
        <is>
          <t>만0세 4 / 만1세 5 / 만2세 7 / 영아혼합반 7 / 유아혼합반 7 / 기타(연령구분 없음) 5</t>
        </is>
      </c>
    </row>
    <row r="570">
      <c r="A570" s="5" t="inlineStr">
        <is>
          <t>동남권원자력의학원어린이집</t>
        </is>
      </c>
      <c r="B570" s="5" t="inlineStr">
        <is>
          <t>어린이집</t>
        </is>
      </c>
      <c r="C570" s="5" t="inlineStr">
        <is>
          <t>직장</t>
        </is>
      </c>
      <c r="D570" s="5" t="inlineStr">
        <is>
          <t>기장군</t>
        </is>
      </c>
      <c r="E570" s="5" t="inlineStr">
        <is>
          <t>부산광역시 기장군 좌동길 40 동남권원자력의학원</t>
        </is>
      </c>
      <c r="F570" s="5" t="inlineStr"/>
      <c r="G570" s="5" t="inlineStr">
        <is>
          <t>051-727-5897</t>
        </is>
      </c>
      <c r="H570" s="12">
        <f>어린이집!T191</f>
        <v/>
      </c>
      <c r="I570" s="5" t="inlineStr">
        <is>
          <t>영아혼합반 4 / 유아혼합반 20 / 기타(연령구분 없음) 22</t>
        </is>
      </c>
    </row>
    <row r="571">
      <c r="A571" s="5" t="inlineStr">
        <is>
          <t>동원1차 어린이집</t>
        </is>
      </c>
      <c r="B571" s="5" t="inlineStr">
        <is>
          <t>어린이집</t>
        </is>
      </c>
      <c r="C571" s="5" t="inlineStr">
        <is>
          <t>국공립</t>
        </is>
      </c>
      <c r="D571" s="5" t="inlineStr">
        <is>
          <t>기장군</t>
        </is>
      </c>
      <c r="E571" s="5" t="inlineStr">
        <is>
          <t>부산광역시 기장군 정관읍 산단4로 139 관리동</t>
        </is>
      </c>
      <c r="F571" s="11" t="inlineStr">
        <is>
          <t>https://instagram.com/love.kid.dw?igshid=YmMyMTA2M2Y=</t>
        </is>
      </c>
      <c r="G571" s="5" t="inlineStr">
        <is>
          <t>051-728-2343</t>
        </is>
      </c>
      <c r="H571" s="12">
        <f>어린이집!T192</f>
        <v/>
      </c>
      <c r="I571" s="5" t="inlineStr">
        <is>
          <t>만0세 10 / 만1세 13 / 만2세 20 / 기타(연령구분 없음) 11</t>
        </is>
      </c>
    </row>
    <row r="572">
      <c r="A572" s="5" t="inlineStr">
        <is>
          <t>동원2차어린이집</t>
        </is>
      </c>
      <c r="B572" s="5" t="inlineStr">
        <is>
          <t>어린이집</t>
        </is>
      </c>
      <c r="C572" s="5" t="inlineStr">
        <is>
          <t>민간</t>
        </is>
      </c>
      <c r="D572" s="5" t="inlineStr">
        <is>
          <t>기장군</t>
        </is>
      </c>
      <c r="E572" s="5" t="inlineStr">
        <is>
          <t>부산광역시 기장군 정관읍 정관5로 12 동원로얄듀크2차 관리동</t>
        </is>
      </c>
      <c r="F572" s="5" t="inlineStr"/>
      <c r="G572" s="5" t="inlineStr">
        <is>
          <t>051-727-5838</t>
        </is>
      </c>
      <c r="H572" s="12">
        <f>어린이집!T193</f>
        <v/>
      </c>
      <c r="I572" s="5" t="inlineStr">
        <is>
          <t>만0세 4 / 만1세 6 / 만2세 4 / 영아혼합반 7 / 기타(연령구분 없음) 3</t>
        </is>
      </c>
    </row>
    <row r="573">
      <c r="A573" s="5" t="inlineStr">
        <is>
          <t>동원로얄어린이집</t>
        </is>
      </c>
      <c r="B573" s="5" t="inlineStr">
        <is>
          <t>어린이집</t>
        </is>
      </c>
      <c r="C573" s="5" t="inlineStr">
        <is>
          <t>가정</t>
        </is>
      </c>
      <c r="D573" s="5" t="inlineStr">
        <is>
          <t>기장군</t>
        </is>
      </c>
      <c r="E573" s="5" t="inlineStr">
        <is>
          <t>부산광역시 기장군 정관읍 정관5로 12 동원로얄듀크2차 204-101</t>
        </is>
      </c>
      <c r="F573" s="11" t="inlineStr">
        <is>
          <t>http://mylee7698@naver.com</t>
        </is>
      </c>
      <c r="G573" s="5" t="inlineStr">
        <is>
          <t>051-987-3504</t>
        </is>
      </c>
      <c r="H573" s="12">
        <f>어린이집!T194</f>
        <v/>
      </c>
      <c r="I573" s="5" t="inlineStr">
        <is>
          <t>만0세 3 / 만1세 7 / 만2세 10 / 기타(연령구분 없음) 3</t>
        </is>
      </c>
    </row>
    <row r="574">
      <c r="A574" s="5" t="inlineStr">
        <is>
          <t>동원미카엘어린이집</t>
        </is>
      </c>
      <c r="B574" s="5" t="inlineStr">
        <is>
          <t>어린이집</t>
        </is>
      </c>
      <c r="C574" s="5" t="inlineStr">
        <is>
          <t>가정</t>
        </is>
      </c>
      <c r="D574" s="5" t="inlineStr">
        <is>
          <t>기장군</t>
        </is>
      </c>
      <c r="E574" s="5" t="inlineStr">
        <is>
          <t>부산광역시 기장군 정관읍 정관5로 12 동원로얄듀크2차 216동 102호</t>
        </is>
      </c>
      <c r="F574" s="5" t="inlineStr"/>
      <c r="G574" s="5" t="inlineStr">
        <is>
          <t>051-727-3734</t>
        </is>
      </c>
      <c r="H574" s="12">
        <f>어린이집!T195</f>
        <v/>
      </c>
      <c r="I574" s="5" t="inlineStr">
        <is>
          <t>만0세 2 / 영아혼합반 3 / 기타(연령구분 없음) 3</t>
        </is>
      </c>
    </row>
    <row r="575">
      <c r="A575" s="5" t="inlineStr">
        <is>
          <t>동원푸른어린이집</t>
        </is>
      </c>
      <c r="B575" s="5" t="inlineStr">
        <is>
          <t>어린이집</t>
        </is>
      </c>
      <c r="C575" s="5" t="inlineStr">
        <is>
          <t>국공립</t>
        </is>
      </c>
      <c r="D575" s="5" t="inlineStr">
        <is>
          <t>기장군</t>
        </is>
      </c>
      <c r="E575" s="5" t="inlineStr">
        <is>
          <t>부산광역시 기장군 정관읍 정관5로 12 213동 102호</t>
        </is>
      </c>
      <c r="F575" s="5" t="inlineStr"/>
      <c r="G575" s="5" t="inlineStr">
        <is>
          <t>051-727-9756</t>
        </is>
      </c>
      <c r="H575" s="12">
        <f>어린이집!T196</f>
        <v/>
      </c>
      <c r="I575" s="5" t="inlineStr">
        <is>
          <t>만0세 5 / 만1세 8 / 만2세 7 / 기타(연령구분 없음) 15</t>
        </is>
      </c>
    </row>
    <row r="576">
      <c r="A576" s="5" t="inlineStr">
        <is>
          <t>동일3차어린이집</t>
        </is>
      </c>
      <c r="B576" s="5" t="inlineStr">
        <is>
          <t>어린이집</t>
        </is>
      </c>
      <c r="C576" s="5" t="inlineStr">
        <is>
          <t>민간</t>
        </is>
      </c>
      <c r="D576" s="5" t="inlineStr">
        <is>
          <t>기장군</t>
        </is>
      </c>
      <c r="E576" s="5" t="inlineStr">
        <is>
          <t>부산광역시 기장군 정관읍 모전1길 9 동일스위트3차 관리동</t>
        </is>
      </c>
      <c r="F576" s="5" t="inlineStr"/>
      <c r="G576" s="5" t="inlineStr">
        <is>
          <t>051-727-5535</t>
        </is>
      </c>
      <c r="H576" s="12">
        <f>어린이집!T197</f>
        <v/>
      </c>
      <c r="I576" s="5" t="inlineStr">
        <is>
          <t>만0세 7 / 만1세 13 / 만2세 7 / 만3세 8 / 기타(연령구분 없음) 5</t>
        </is>
      </c>
    </row>
    <row r="577">
      <c r="A577" s="5" t="inlineStr">
        <is>
          <t>동일스위트어린이집</t>
        </is>
      </c>
      <c r="B577" s="5" t="inlineStr">
        <is>
          <t>어린이집</t>
        </is>
      </c>
      <c r="C577" s="5" t="inlineStr">
        <is>
          <t>민간</t>
        </is>
      </c>
      <c r="D577" s="5" t="inlineStr">
        <is>
          <t>기장군</t>
        </is>
      </c>
      <c r="E577" s="5" t="inlineStr">
        <is>
          <t>부산광역시 기장군 정관읍 정관4로 24 동일스위트1차 관리동</t>
        </is>
      </c>
      <c r="F577" s="5" t="inlineStr"/>
      <c r="G577" s="5" t="inlineStr">
        <is>
          <t>051-727-5540</t>
        </is>
      </c>
      <c r="H577" s="12">
        <f>어린이집!T198</f>
        <v/>
      </c>
      <c r="I577" s="5" t="inlineStr">
        <is>
          <t>만1세 4 / 만2세 7 / 영아혼합반 2 / 기타(연령구분 없음) 5</t>
        </is>
      </c>
    </row>
    <row r="578">
      <c r="A578" s="5" t="inlineStr">
        <is>
          <t>동일천사어린이집</t>
        </is>
      </c>
      <c r="B578" s="5" t="inlineStr">
        <is>
          <t>어린이집</t>
        </is>
      </c>
      <c r="C578" s="5" t="inlineStr">
        <is>
          <t>민간</t>
        </is>
      </c>
      <c r="D578" s="5" t="inlineStr">
        <is>
          <t>기장군</t>
        </is>
      </c>
      <c r="E578" s="5" t="inlineStr">
        <is>
          <t>부산광역시 기장군 정관읍 정관3로 23 동일스위트2차 관리동</t>
        </is>
      </c>
      <c r="F578" s="5" t="inlineStr"/>
      <c r="G578" s="5" t="inlineStr">
        <is>
          <t>051-531-1004</t>
        </is>
      </c>
      <c r="H578" s="12">
        <f>어린이집!T199</f>
        <v/>
      </c>
      <c r="I578" s="5" t="inlineStr">
        <is>
          <t>만0세 5 / 만1세 5 / 만2세 13 / 영아혼합반 2 / 기타(연령구분 없음) 11</t>
        </is>
      </c>
    </row>
    <row r="579">
      <c r="A579" s="5" t="inlineStr">
        <is>
          <t>롯데캐슬2차어린이집</t>
        </is>
      </c>
      <c r="B579" s="5" t="inlineStr">
        <is>
          <t>어린이집</t>
        </is>
      </c>
      <c r="C579" s="5" t="inlineStr">
        <is>
          <t>가정</t>
        </is>
      </c>
      <c r="D579" s="5" t="inlineStr">
        <is>
          <t>기장군</t>
        </is>
      </c>
      <c r="E579" s="5" t="inlineStr">
        <is>
          <t>부산광역시 기장군 정관읍 정관3로 51 롯데캐슬2차아파트 206동 102호</t>
        </is>
      </c>
      <c r="F579" s="5" t="inlineStr"/>
      <c r="G579" s="5" t="inlineStr">
        <is>
          <t>051-992-4252</t>
        </is>
      </c>
      <c r="H579" s="12">
        <f>어린이집!T200</f>
        <v/>
      </c>
      <c r="I579" s="5" t="inlineStr">
        <is>
          <t>만0세 4 / 만1세 3 / 만2세 5 / 기타(연령구분 없음) 5</t>
        </is>
      </c>
    </row>
    <row r="580">
      <c r="A580" s="5" t="inlineStr">
        <is>
          <t>롯데캐슬어린이집</t>
        </is>
      </c>
      <c r="B580" s="5" t="inlineStr">
        <is>
          <t>어린이집</t>
        </is>
      </c>
      <c r="C580" s="5" t="inlineStr">
        <is>
          <t>민간</t>
        </is>
      </c>
      <c r="D580" s="5" t="inlineStr">
        <is>
          <t>기장군</t>
        </is>
      </c>
      <c r="E580" s="5" t="inlineStr">
        <is>
          <t>부산광역시 기장군 정관읍 정관3로 52 롯데캐슬아파트 관리동</t>
        </is>
      </c>
      <c r="F580" s="5" t="inlineStr"/>
      <c r="G580" s="5" t="inlineStr">
        <is>
          <t>051-727-3012</t>
        </is>
      </c>
      <c r="H580" s="12">
        <f>어린이집!T201</f>
        <v/>
      </c>
      <c r="I580" s="5" t="inlineStr">
        <is>
          <t>만0세 4 / 만1세 13 / 만2세 6 / 만3세 11</t>
        </is>
      </c>
    </row>
    <row r="581">
      <c r="A581" s="5" t="inlineStr">
        <is>
          <t>리틀하버드어린이집</t>
        </is>
      </c>
      <c r="B581" s="5" t="inlineStr">
        <is>
          <t>어린이집</t>
        </is>
      </c>
      <c r="C581" s="5" t="inlineStr">
        <is>
          <t>민간</t>
        </is>
      </c>
      <c r="D581" s="5" t="inlineStr">
        <is>
          <t>기장군</t>
        </is>
      </c>
      <c r="E581" s="5" t="inlineStr">
        <is>
          <t>부산광역시 기장군 정관읍 용수1길 16-14</t>
        </is>
      </c>
      <c r="F581" s="11" t="inlineStr">
        <is>
          <t>https://www.instagram.com/littleharvard.official/</t>
        </is>
      </c>
      <c r="G581" s="5" t="inlineStr">
        <is>
          <t>051-939-0250</t>
        </is>
      </c>
      <c r="H581" s="12">
        <f>어린이집!T202</f>
        <v/>
      </c>
      <c r="I581" s="5" t="inlineStr">
        <is>
          <t>만0세 3 / 만1세 5 / 만2세 14 / 만3세 21 / 만4세 13 / 만5세 16 / 영아혼합반 5 / 기타(연령구분 없음) 20</t>
        </is>
      </c>
    </row>
    <row r="582">
      <c r="A582" s="5" t="inlineStr">
        <is>
          <t>별사탕어린이집</t>
        </is>
      </c>
      <c r="B582" s="5" t="inlineStr">
        <is>
          <t>어린이집</t>
        </is>
      </c>
      <c r="C582" s="5" t="inlineStr">
        <is>
          <t>가정</t>
        </is>
      </c>
      <c r="D582" s="5" t="inlineStr">
        <is>
          <t>기장군</t>
        </is>
      </c>
      <c r="E582" s="5" t="inlineStr">
        <is>
          <t>부산광역시 기장군 기장읍 차성로 461 101동 101호</t>
        </is>
      </c>
      <c r="F582" s="5" t="inlineStr"/>
      <c r="G582" s="5" t="inlineStr">
        <is>
          <t>051-724-1012</t>
        </is>
      </c>
      <c r="H582" s="12">
        <f>어린이집!T203</f>
        <v/>
      </c>
      <c r="I582" s="5" t="inlineStr">
        <is>
          <t>만0세 4 / 만1세 5 / 만2세 7 / 기타(연령구분 없음) 6</t>
        </is>
      </c>
    </row>
    <row r="583">
      <c r="A583" s="5" t="inlineStr">
        <is>
          <t>보금자리어린이집</t>
        </is>
      </c>
      <c r="B583" s="5" t="inlineStr">
        <is>
          <t>어린이집</t>
        </is>
      </c>
      <c r="C583" s="5" t="inlineStr">
        <is>
          <t>민간</t>
        </is>
      </c>
      <c r="D583" s="5" t="inlineStr">
        <is>
          <t>기장군</t>
        </is>
      </c>
      <c r="E583" s="5" t="inlineStr">
        <is>
          <t>부산광역시 기장군 정관읍 방곡로 29 이지더원 5차 관리동</t>
        </is>
      </c>
      <c r="F583" s="5" t="inlineStr"/>
      <c r="G583" s="5" t="inlineStr">
        <is>
          <t>051-727-8117</t>
        </is>
      </c>
      <c r="H583" s="12">
        <f>어린이집!T204</f>
        <v/>
      </c>
      <c r="I583" s="5" t="inlineStr">
        <is>
          <t>만0세 2 / 만2세 5 / 영아혼합반 3 / 기타(연령구분 없음) 5</t>
        </is>
      </c>
    </row>
    <row r="584">
      <c r="A584" s="5" t="inlineStr">
        <is>
          <t>부산정관산업단지 공동직장 어린이집</t>
        </is>
      </c>
      <c r="B584" s="5" t="inlineStr">
        <is>
          <t>어린이집</t>
        </is>
      </c>
      <c r="C584" s="5" t="inlineStr">
        <is>
          <t>직장</t>
        </is>
      </c>
      <c r="D584" s="5" t="inlineStr">
        <is>
          <t>기장군</t>
        </is>
      </c>
      <c r="E584" s="5" t="inlineStr">
        <is>
          <t>부산광역시 기장군 정관읍 산단로 363</t>
        </is>
      </c>
      <c r="F584" s="5" t="inlineStr"/>
      <c r="G584" s="5" t="inlineStr">
        <is>
          <t>051-710-0062</t>
        </is>
      </c>
      <c r="H584" s="12">
        <f>어린이집!T205</f>
        <v/>
      </c>
      <c r="I584" s="5" t="inlineStr">
        <is>
          <t>만0세 1 / 만3세 10 / 만4세 9 / 만5세 11 / 영아혼합반 16 / 기타(연령구분 없음) 23</t>
        </is>
      </c>
    </row>
    <row r="585">
      <c r="A585" s="5" t="inlineStr">
        <is>
          <t>사랑가득어린이집</t>
        </is>
      </c>
      <c r="B585" s="5" t="inlineStr">
        <is>
          <t>어린이집</t>
        </is>
      </c>
      <c r="C585" s="5" t="inlineStr">
        <is>
          <t>민간</t>
        </is>
      </c>
      <c r="D585" s="5" t="inlineStr">
        <is>
          <t>기장군</t>
        </is>
      </c>
      <c r="E585" s="5" t="inlineStr">
        <is>
          <t>부산광역시 기장군 기장읍 차성동로31번길 6</t>
        </is>
      </c>
      <c r="F585" s="11" t="inlineStr">
        <is>
          <t>http://threefairy@naver.com</t>
        </is>
      </c>
      <c r="G585" s="5" t="inlineStr">
        <is>
          <t>051-721-0304</t>
        </is>
      </c>
      <c r="H585" s="12">
        <f>어린이집!T206</f>
        <v/>
      </c>
      <c r="I585" s="5" t="inlineStr">
        <is>
          <t>만0세 6 / 만2세 7 / 영아혼합반 4 / 유아혼합반 8 / 기타(연령구분 없음) 10</t>
        </is>
      </c>
    </row>
    <row r="586">
      <c r="A586" s="5" t="inlineStr">
        <is>
          <t>사랑둥이어린이집</t>
        </is>
      </c>
      <c r="B586" s="5" t="inlineStr">
        <is>
          <t>어린이집</t>
        </is>
      </c>
      <c r="C586" s="5" t="inlineStr">
        <is>
          <t>국공립</t>
        </is>
      </c>
      <c r="D586" s="5" t="inlineStr">
        <is>
          <t>기장군</t>
        </is>
      </c>
      <c r="E586" s="5" t="inlineStr">
        <is>
          <t>부산광역시 기장군 기장읍 차성로 461 103-101(이진캐스빌블루1차)</t>
        </is>
      </c>
      <c r="F586" s="5" t="inlineStr"/>
      <c r="G586" s="5" t="inlineStr">
        <is>
          <t>051-721-9985</t>
        </is>
      </c>
      <c r="H586" s="12">
        <f>어린이집!T207</f>
        <v/>
      </c>
      <c r="I586" s="5" t="inlineStr">
        <is>
          <t>만0세 5 / 만1세 6 / 만2세 6 / 기타(연령구분 없음) 6</t>
        </is>
      </c>
    </row>
    <row r="587">
      <c r="A587" s="5" t="inlineStr">
        <is>
          <t>사랑샘어린이집</t>
        </is>
      </c>
      <c r="B587" s="5" t="inlineStr">
        <is>
          <t>어린이집</t>
        </is>
      </c>
      <c r="C587" s="5" t="inlineStr">
        <is>
          <t>가정</t>
        </is>
      </c>
      <c r="D587" s="5" t="inlineStr">
        <is>
          <t>기장군</t>
        </is>
      </c>
      <c r="E587" s="5" t="inlineStr">
        <is>
          <t>부산광역시 기장군 정관읍 정관로 513 105동 101호</t>
        </is>
      </c>
      <c r="F587" s="5" t="inlineStr"/>
      <c r="G587" s="5" t="inlineStr">
        <is>
          <t>051-728-4515</t>
        </is>
      </c>
      <c r="H587" s="12">
        <f>어린이집!T208</f>
        <v/>
      </c>
      <c r="I587" s="5" t="inlineStr">
        <is>
          <t>만2세 4 / 기타(연령구분 없음) 2</t>
        </is>
      </c>
    </row>
    <row r="588">
      <c r="A588" s="5" t="inlineStr">
        <is>
          <t>산새들어린이집</t>
        </is>
      </c>
      <c r="B588" s="5" t="inlineStr">
        <is>
          <t>어린이집</t>
        </is>
      </c>
      <c r="C588" s="5" t="inlineStr">
        <is>
          <t>민간</t>
        </is>
      </c>
      <c r="D588" s="5" t="inlineStr">
        <is>
          <t>기장군</t>
        </is>
      </c>
      <c r="E588" s="5" t="inlineStr">
        <is>
          <t>부산광역시 기장군 정관읍 방곡3로 11 관리동 (서희스타힐스)</t>
        </is>
      </c>
      <c r="F588" s="5" t="inlineStr"/>
      <c r="G588" s="5" t="inlineStr">
        <is>
          <t>051-728-0809</t>
        </is>
      </c>
      <c r="H588" s="12">
        <f>어린이집!T209</f>
        <v/>
      </c>
      <c r="I588" s="5" t="inlineStr">
        <is>
          <t>만0세 2 / 영아혼합반 5 / 기타(연령구분 없음) 3</t>
        </is>
      </c>
    </row>
    <row r="589">
      <c r="A589" s="5" t="inlineStr">
        <is>
          <t>삼동어린이집</t>
        </is>
      </c>
      <c r="B589" s="5" t="inlineStr">
        <is>
          <t>어린이집</t>
        </is>
      </c>
      <c r="C589" s="5" t="inlineStr">
        <is>
          <t>국공립</t>
        </is>
      </c>
      <c r="D589" s="5" t="inlineStr">
        <is>
          <t>기장군</t>
        </is>
      </c>
      <c r="E589" s="5" t="inlineStr">
        <is>
          <t>부산광역시 기장군 철마면 철마삼동로 80</t>
        </is>
      </c>
      <c r="F589" s="11" t="inlineStr">
        <is>
          <t>https://blog.naver.com/samdong5085233</t>
        </is>
      </c>
      <c r="G589" s="5" t="inlineStr">
        <is>
          <t>051-508-5233</t>
        </is>
      </c>
      <c r="H589" s="12">
        <f>어린이집!T210</f>
        <v/>
      </c>
      <c r="I589" s="5" t="inlineStr">
        <is>
          <t>만0세 5 / 만1세 12 / 만2세 12 / 만3세 5 / 영아혼합반 2 / 기타(연령구분 없음) 9</t>
        </is>
      </c>
    </row>
    <row r="590">
      <c r="A590" s="5" t="inlineStr">
        <is>
          <t>새봄어린이집</t>
        </is>
      </c>
      <c r="B590" s="5" t="inlineStr">
        <is>
          <t>어린이집</t>
        </is>
      </c>
      <c r="C590" s="5" t="inlineStr">
        <is>
          <t>가정</t>
        </is>
      </c>
      <c r="D590" s="5" t="inlineStr">
        <is>
          <t>기장군</t>
        </is>
      </c>
      <c r="E590" s="5" t="inlineStr">
        <is>
          <t>부산광역시 기장군 정관읍 모전1길 9 동일스위트3차 310동 103호</t>
        </is>
      </c>
      <c r="F590" s="5" t="inlineStr"/>
      <c r="G590" s="5" t="inlineStr">
        <is>
          <t>051-991-1007</t>
        </is>
      </c>
      <c r="H590" s="12">
        <f>어린이집!T211</f>
        <v/>
      </c>
      <c r="I590" s="5" t="inlineStr">
        <is>
          <t>만0세 4 / 만1세 5 / 만2세 6 / 기타(연령구분 없음) 13</t>
        </is>
      </c>
    </row>
    <row r="591">
      <c r="A591" s="5" t="inlineStr">
        <is>
          <t>새싹어린이집</t>
        </is>
      </c>
      <c r="B591" s="5" t="inlineStr">
        <is>
          <t>어린이집</t>
        </is>
      </c>
      <c r="C591" s="5" t="inlineStr">
        <is>
          <t>가정</t>
        </is>
      </c>
      <c r="D591" s="5" t="inlineStr">
        <is>
          <t>기장군</t>
        </is>
      </c>
      <c r="E591" s="5" t="inlineStr">
        <is>
          <t>부산광역시 기장군 기장읍 차성서로 51 이진캐스빌 101-102</t>
        </is>
      </c>
      <c r="F591" s="5" t="inlineStr"/>
      <c r="G591" s="5" t="inlineStr">
        <is>
          <t>051-722-3515</t>
        </is>
      </c>
      <c r="H591" s="12">
        <f>어린이집!T212</f>
        <v/>
      </c>
      <c r="I591" s="5" t="inlineStr">
        <is>
          <t>만0세 2 / 만1세 7 / 만2세 4 / 영아혼합반 2 / 기타(연령구분 없음) 8</t>
        </is>
      </c>
    </row>
    <row r="592">
      <c r="A592" s="5" t="inlineStr">
        <is>
          <t>센트럴어린이집</t>
        </is>
      </c>
      <c r="B592" s="5" t="inlineStr">
        <is>
          <t>어린이집</t>
        </is>
      </c>
      <c r="C592" s="5" t="inlineStr">
        <is>
          <t>민간</t>
        </is>
      </c>
      <c r="D592" s="5" t="inlineStr">
        <is>
          <t>기장군</t>
        </is>
      </c>
      <c r="E592" s="5" t="inlineStr">
        <is>
          <t>부산광역시 기장군 정관읍 구연방곡로 10 정관센트럴파크 관리동</t>
        </is>
      </c>
      <c r="F592" s="11" t="inlineStr">
        <is>
          <t>http://chjs0659 @hanmail.net</t>
        </is>
      </c>
      <c r="G592" s="5" t="inlineStr">
        <is>
          <t>051-728-1359</t>
        </is>
      </c>
      <c r="H592" s="12">
        <f>어린이집!T213</f>
        <v/>
      </c>
      <c r="I592" s="5" t="inlineStr">
        <is>
          <t>만0세 3 / 만1세 5 / 만2세 7 / 기타(연령구분 없음) 7</t>
        </is>
      </c>
    </row>
    <row r="593">
      <c r="A593" s="5" t="inlineStr">
        <is>
          <t>소망어린이집</t>
        </is>
      </c>
      <c r="B593" s="5" t="inlineStr">
        <is>
          <t>어린이집</t>
        </is>
      </c>
      <c r="C593" s="5" t="inlineStr">
        <is>
          <t>민간</t>
        </is>
      </c>
      <c r="D593" s="5" t="inlineStr">
        <is>
          <t>기장군</t>
        </is>
      </c>
      <c r="E593" s="5" t="inlineStr">
        <is>
          <t>부산광역시 기장군 기장읍 배산로 60</t>
        </is>
      </c>
      <c r="F593" s="11" t="inlineStr">
        <is>
          <t>https://blog.naver.com/somang724</t>
        </is>
      </c>
      <c r="G593" s="5" t="inlineStr">
        <is>
          <t>051-724-1615</t>
        </is>
      </c>
      <c r="H593" s="12">
        <f>어린이집!T214</f>
        <v/>
      </c>
      <c r="I593" s="5" t="inlineStr">
        <is>
          <t>장애아반(특수) 20</t>
        </is>
      </c>
    </row>
    <row r="594">
      <c r="A594" s="5" t="inlineStr">
        <is>
          <t>숲속나라어린이집</t>
        </is>
      </c>
      <c r="B594" s="5" t="inlineStr">
        <is>
          <t>어린이집</t>
        </is>
      </c>
      <c r="C594" s="5" t="inlineStr">
        <is>
          <t>민간</t>
        </is>
      </c>
      <c r="D594" s="5" t="inlineStr">
        <is>
          <t>기장군</t>
        </is>
      </c>
      <c r="E594" s="5" t="inlineStr">
        <is>
          <t>부산광역시 기장군 정관읍 산막길 46-29</t>
        </is>
      </c>
      <c r="F594" s="11" t="inlineStr">
        <is>
          <t>https://m.blog.naver.com/forestlandkids</t>
        </is>
      </c>
      <c r="G594" s="5" t="inlineStr">
        <is>
          <t>051-728-2822</t>
        </is>
      </c>
      <c r="H594" s="12">
        <f>어린이집!T215</f>
        <v/>
      </c>
      <c r="I594" s="5" t="inlineStr">
        <is>
          <t>만1세 10 / 만2세 24 / 만3세 8 / 영아혼합반 5 / 기타(연령구분 없음) 10</t>
        </is>
      </c>
    </row>
    <row r="595">
      <c r="A595" s="5" t="inlineStr">
        <is>
          <t>신동아어린이집</t>
        </is>
      </c>
      <c r="B595" s="5" t="inlineStr">
        <is>
          <t>어린이집</t>
        </is>
      </c>
      <c r="C595" s="5" t="inlineStr">
        <is>
          <t>민간</t>
        </is>
      </c>
      <c r="D595" s="5" t="inlineStr">
        <is>
          <t>기장군</t>
        </is>
      </c>
      <c r="E595" s="5" t="inlineStr">
        <is>
          <t>부산광역시 기장군 정관읍 정관5로 75 신동아파밀리에아파트 관리동</t>
        </is>
      </c>
      <c r="F595" s="5" t="inlineStr"/>
      <c r="G595" s="5" t="inlineStr">
        <is>
          <t>051-722-4822</t>
        </is>
      </c>
      <c r="H595" s="12">
        <f>어린이집!T216</f>
        <v/>
      </c>
      <c r="I595" s="5" t="inlineStr">
        <is>
          <t>만3세 6 / 영아혼합반 2 / 기타(연령구분 없음) 7</t>
        </is>
      </c>
    </row>
    <row r="596">
      <c r="A596" s="5" t="inlineStr">
        <is>
          <t>아가피아어린이집</t>
        </is>
      </c>
      <c r="B596" s="5" t="inlineStr">
        <is>
          <t>어린이집</t>
        </is>
      </c>
      <c r="C596" s="5" t="inlineStr">
        <is>
          <t>가정</t>
        </is>
      </c>
      <c r="D596" s="5" t="inlineStr">
        <is>
          <t>기장군</t>
        </is>
      </c>
      <c r="E596" s="5" t="inlineStr">
        <is>
          <t>부산광역시 기장군 기장읍 차성로344번길 13 103동 104호</t>
        </is>
      </c>
      <c r="F596" s="5" t="inlineStr"/>
      <c r="G596" s="5" t="inlineStr">
        <is>
          <t>051-723-0826</t>
        </is>
      </c>
      <c r="H596" s="12">
        <f>어린이집!T217</f>
        <v/>
      </c>
      <c r="I596" s="5" t="inlineStr">
        <is>
          <t>만0세 5 / 만1세 5 / 영아혼합반 4 / 기타(연령구분 없음) 3</t>
        </is>
      </c>
    </row>
    <row r="597">
      <c r="A597" s="5" t="inlineStr">
        <is>
          <t>아기산새소리어린이집</t>
        </is>
      </c>
      <c r="B597" s="5" t="inlineStr">
        <is>
          <t>어린이집</t>
        </is>
      </c>
      <c r="C597" s="5" t="inlineStr">
        <is>
          <t>민간</t>
        </is>
      </c>
      <c r="D597" s="5" t="inlineStr">
        <is>
          <t>기장군</t>
        </is>
      </c>
      <c r="E597" s="5" t="inlineStr">
        <is>
          <t>부산광역시 기장군 기장읍 차성남로 1-4</t>
        </is>
      </c>
      <c r="F597" s="5" t="inlineStr"/>
      <c r="G597" s="5" t="inlineStr">
        <is>
          <t>051-721-2682</t>
        </is>
      </c>
      <c r="H597" s="12">
        <f>어린이집!T218</f>
        <v/>
      </c>
      <c r="I597" s="5" t="inlineStr">
        <is>
          <t>만1세 5 / 만2세 8 / 영아혼합반 2 / 기타(연령구분 없음) 3</t>
        </is>
      </c>
    </row>
    <row r="598">
      <c r="A598" s="5" t="inlineStr">
        <is>
          <t>아이그루어린이집</t>
        </is>
      </c>
      <c r="B598" s="5" t="inlineStr">
        <is>
          <t>어린이집</t>
        </is>
      </c>
      <c r="C598" s="5" t="inlineStr">
        <is>
          <t>민간</t>
        </is>
      </c>
      <c r="D598" s="5" t="inlineStr">
        <is>
          <t>기장군</t>
        </is>
      </c>
      <c r="E598" s="5" t="inlineStr">
        <is>
          <t>부산광역시 기장군 철마면 고촌로 11 고촌LH2차아파트 관리동</t>
        </is>
      </c>
      <c r="F598" s="5" t="inlineStr"/>
      <c r="G598" s="5" t="inlineStr">
        <is>
          <t>051-724-1838</t>
        </is>
      </c>
      <c r="H598" s="12">
        <f>어린이집!T219</f>
        <v/>
      </c>
      <c r="I598" s="5" t="inlineStr">
        <is>
          <t>만0세 2 / 영아혼합반 7 / 유아혼합반 7 / 기타(연령구분 없음) 12</t>
        </is>
      </c>
    </row>
    <row r="599">
      <c r="A599" s="5" t="inlineStr">
        <is>
          <t>아이뜰어린이집</t>
        </is>
      </c>
      <c r="B599" s="5" t="inlineStr">
        <is>
          <t>어린이집</t>
        </is>
      </c>
      <c r="C599" s="5" t="inlineStr">
        <is>
          <t>가정</t>
        </is>
      </c>
      <c r="D599" s="5" t="inlineStr">
        <is>
          <t>기장군</t>
        </is>
      </c>
      <c r="E599" s="5" t="inlineStr">
        <is>
          <t>부산광역시 기장군 정관읍 모전1길 9 동일스위트3차 306동 103호</t>
        </is>
      </c>
      <c r="F599" s="5" t="inlineStr"/>
      <c r="G599" s="5" t="inlineStr">
        <is>
          <t>051-900-7333</t>
        </is>
      </c>
      <c r="H599" s="12">
        <f>어린이집!T220</f>
        <v/>
      </c>
      <c r="I599" s="5" t="inlineStr">
        <is>
          <t>만0세 1 / 영아혼합반 3 / 기타(연령구분 없음) 3</t>
        </is>
      </c>
    </row>
    <row r="600">
      <c r="A600" s="5" t="inlineStr">
        <is>
          <t>아이세상어린이집</t>
        </is>
      </c>
      <c r="B600" s="5" t="inlineStr">
        <is>
          <t>어린이집</t>
        </is>
      </c>
      <c r="C600" s="5" t="inlineStr">
        <is>
          <t>민간</t>
        </is>
      </c>
      <c r="D600" s="5" t="inlineStr">
        <is>
          <t>기장군</t>
        </is>
      </c>
      <c r="E600" s="5" t="inlineStr">
        <is>
          <t>부산광역시 기장군 정관읍 정관2로 40 현진에버빌 관리동</t>
        </is>
      </c>
      <c r="F600" s="5" t="inlineStr"/>
      <c r="G600" s="5" t="inlineStr">
        <is>
          <t>051-727-0381</t>
        </is>
      </c>
      <c r="H600" s="12">
        <f>어린이집!T221</f>
        <v/>
      </c>
      <c r="I600" s="5" t="inlineStr">
        <is>
          <t>영아혼합반 1 / 장애아반(특수) 7 / 기타(연령구분 없음) 6</t>
        </is>
      </c>
    </row>
    <row r="601">
      <c r="A601" s="5" t="inlineStr">
        <is>
          <t>아이조아어린이집</t>
        </is>
      </c>
      <c r="B601" s="5" t="inlineStr">
        <is>
          <t>어린이집</t>
        </is>
      </c>
      <c r="C601" s="5" t="inlineStr">
        <is>
          <t>가정</t>
        </is>
      </c>
      <c r="D601" s="5" t="inlineStr">
        <is>
          <t>기장군</t>
        </is>
      </c>
      <c r="E601" s="5" t="inlineStr">
        <is>
          <t>부산광역시 기장군 정관읍 정관3로 23 동일스위트2차 214-104</t>
        </is>
      </c>
      <c r="F601" s="5" t="inlineStr"/>
      <c r="G601" s="5" t="inlineStr">
        <is>
          <t>051-723-9911</t>
        </is>
      </c>
      <c r="H601" s="12">
        <f>어린이집!T222</f>
        <v/>
      </c>
      <c r="I601" s="5" t="inlineStr">
        <is>
          <t>만0세 2 / 영아혼합반 3 / 기타(연령구분 없음) 7</t>
        </is>
      </c>
    </row>
    <row r="602">
      <c r="A602" s="5" t="inlineStr">
        <is>
          <t>아이캐슬어린이집</t>
        </is>
      </c>
      <c r="B602" s="5" t="inlineStr">
        <is>
          <t>어린이집</t>
        </is>
      </c>
      <c r="C602" s="5" t="inlineStr">
        <is>
          <t>가정</t>
        </is>
      </c>
      <c r="D602" s="5" t="inlineStr">
        <is>
          <t>기장군</t>
        </is>
      </c>
      <c r="E602" s="5" t="inlineStr">
        <is>
          <t>부산광역시 기장군 정관읍 정관로 545 이진캐스빌 109동 103호</t>
        </is>
      </c>
      <c r="F602" s="5" t="inlineStr"/>
      <c r="G602" s="5" t="inlineStr">
        <is>
          <t>051-965-7887</t>
        </is>
      </c>
      <c r="H602" s="12">
        <f>어린이집!T223</f>
        <v/>
      </c>
      <c r="I602" s="5" t="inlineStr">
        <is>
          <t>만0세 2 / 만1세 1 / 기타(연령구분 없음) 5</t>
        </is>
      </c>
    </row>
    <row r="603">
      <c r="A603" s="5" t="inlineStr">
        <is>
          <t>양우내안애어린이집</t>
        </is>
      </c>
      <c r="B603" s="5" t="inlineStr">
        <is>
          <t>어린이집</t>
        </is>
      </c>
      <c r="C603" s="5" t="inlineStr">
        <is>
          <t>민간</t>
        </is>
      </c>
      <c r="D603" s="5" t="inlineStr">
        <is>
          <t>기장군</t>
        </is>
      </c>
      <c r="E603" s="5" t="inlineStr">
        <is>
          <t>부산광역시 기장군 정관읍 정관5로 144 풀리페아파트 관리동어린이집</t>
        </is>
      </c>
      <c r="F603" s="5" t="inlineStr"/>
      <c r="G603" s="5" t="inlineStr">
        <is>
          <t>051-727-7881</t>
        </is>
      </c>
      <c r="H603" s="12">
        <f>어린이집!T224</f>
        <v/>
      </c>
      <c r="I603" s="5" t="inlineStr">
        <is>
          <t>만0세 2 / 만2세 4 / 영아혼합반 4 / 기타(연령구분 없음) 7</t>
        </is>
      </c>
    </row>
    <row r="604">
      <c r="A604" s="5" t="inlineStr">
        <is>
          <t>에코맘 어린이집</t>
        </is>
      </c>
      <c r="B604" s="5" t="inlineStr">
        <is>
          <t>어린이집</t>
        </is>
      </c>
      <c r="C604" s="5" t="inlineStr">
        <is>
          <t>국공립</t>
        </is>
      </c>
      <c r="D604" s="5" t="inlineStr">
        <is>
          <t>기장군</t>
        </is>
      </c>
      <c r="E604" s="5" t="inlineStr">
        <is>
          <t>부산광역시 기장군 정관읍 정관3로 52 115동 103호</t>
        </is>
      </c>
      <c r="F604" s="5" t="inlineStr"/>
      <c r="G604" s="5" t="inlineStr">
        <is>
          <t>070-4111-0130</t>
        </is>
      </c>
      <c r="H604" s="12">
        <f>어린이집!T225</f>
        <v/>
      </c>
      <c r="I604" s="5" t="inlineStr">
        <is>
          <t>만0세 3 / 만1세 4 / 만2세 4 / 영아혼합반 6 / 기타(연령구분 없음) 7</t>
        </is>
      </c>
    </row>
    <row r="605">
      <c r="A605" s="5" t="inlineStr">
        <is>
          <t>엔젤어린이집</t>
        </is>
      </c>
      <c r="B605" s="5" t="inlineStr">
        <is>
          <t>어린이집</t>
        </is>
      </c>
      <c r="C605" s="5" t="inlineStr">
        <is>
          <t>민간</t>
        </is>
      </c>
      <c r="D605" s="5" t="inlineStr">
        <is>
          <t>기장군</t>
        </is>
      </c>
      <c r="E605" s="5" t="inlineStr">
        <is>
          <t>부산광역시 기장군 기장읍 차성서로 42</t>
        </is>
      </c>
      <c r="F605" s="5" t="inlineStr"/>
      <c r="G605" s="5" t="inlineStr">
        <is>
          <t>051-724-5134</t>
        </is>
      </c>
      <c r="H605" s="12">
        <f>어린이집!T226</f>
        <v/>
      </c>
      <c r="I605" s="5" t="inlineStr">
        <is>
          <t>만0세 6 / 만1세 8 / 만2세 13 / 만3세 15 / 기타(연령구분 없음) 5</t>
        </is>
      </c>
    </row>
    <row r="606">
      <c r="A606" s="5" t="inlineStr">
        <is>
          <t>연지어린이집</t>
        </is>
      </c>
      <c r="B606" s="5" t="inlineStr">
        <is>
          <t>어린이집</t>
        </is>
      </c>
      <c r="C606" s="5" t="inlineStr">
        <is>
          <t>국공립</t>
        </is>
      </c>
      <c r="D606" s="5" t="inlineStr">
        <is>
          <t>기장군</t>
        </is>
      </c>
      <c r="E606" s="5" t="inlineStr">
        <is>
          <t>부산광역시 기장군 정관읍 정관4로 24 동일스위트1차 103-101</t>
        </is>
      </c>
      <c r="F606" s="5" t="inlineStr"/>
      <c r="G606" s="5" t="inlineStr">
        <is>
          <t>051-782-9124</t>
        </is>
      </c>
      <c r="H606" s="12">
        <f>어린이집!T227</f>
        <v/>
      </c>
      <c r="I606" s="5" t="inlineStr">
        <is>
          <t>만0세 3 / 만1세 7 / 만2세 6 / 기타(연령구분 없음) 15</t>
        </is>
      </c>
    </row>
    <row r="607">
      <c r="A607" s="5" t="inlineStr">
        <is>
          <t>예뜰어린이집</t>
        </is>
      </c>
      <c r="B607" s="5" t="inlineStr">
        <is>
          <t>어린이집</t>
        </is>
      </c>
      <c r="C607" s="5" t="inlineStr">
        <is>
          <t>가정</t>
        </is>
      </c>
      <c r="D607" s="5" t="inlineStr">
        <is>
          <t>기장군</t>
        </is>
      </c>
      <c r="E607" s="5" t="inlineStr">
        <is>
          <t>부산광역시 기장군 정관읍 산단4로 139 동원로얄듀크1차 104동 105호</t>
        </is>
      </c>
      <c r="F607" s="5" t="inlineStr"/>
      <c r="G607" s="5" t="inlineStr">
        <is>
          <t>051-727-3756</t>
        </is>
      </c>
      <c r="H607" s="12">
        <f>어린이집!T228</f>
        <v/>
      </c>
      <c r="I607" s="5" t="inlineStr">
        <is>
          <t>만0세 3 / 만1세 3 / 만2세 4 / 기타(연령구분 없음) 3</t>
        </is>
      </c>
    </row>
    <row r="608">
      <c r="A608" s="5" t="inlineStr">
        <is>
          <t>예쁜별어린이집</t>
        </is>
      </c>
      <c r="B608" s="5" t="inlineStr">
        <is>
          <t>어린이집</t>
        </is>
      </c>
      <c r="C608" s="5" t="inlineStr">
        <is>
          <t>민간</t>
        </is>
      </c>
      <c r="D608" s="5" t="inlineStr">
        <is>
          <t>기장군</t>
        </is>
      </c>
      <c r="E608" s="5" t="inlineStr">
        <is>
          <t>부산광역시 기장군 정관읍 정관로 545 이진캐스빌아파트 관리동</t>
        </is>
      </c>
      <c r="F608" s="5" t="inlineStr"/>
      <c r="G608" s="5" t="inlineStr">
        <is>
          <t>051-728-2835</t>
        </is>
      </c>
      <c r="H608" s="12">
        <f>어린이집!T229</f>
        <v/>
      </c>
      <c r="I608" s="5" t="inlineStr">
        <is>
          <t>만0세 5 / 만1세 9 / 만2세 12 / 기타(연령구분 없음) 12</t>
        </is>
      </c>
    </row>
    <row r="609">
      <c r="A609" s="5" t="inlineStr">
        <is>
          <t>예쁜아이숲어린이집</t>
        </is>
      </c>
      <c r="B609" s="5" t="inlineStr">
        <is>
          <t>어린이집</t>
        </is>
      </c>
      <c r="C609" s="5" t="inlineStr">
        <is>
          <t>가정</t>
        </is>
      </c>
      <c r="D609" s="5" t="inlineStr">
        <is>
          <t>기장군</t>
        </is>
      </c>
      <c r="E609" s="5" t="inlineStr">
        <is>
          <t>부산광역시 기장군 정관읍 정관3로 23 동일스위트2차아파트 216동 104호</t>
        </is>
      </c>
      <c r="F609" s="5" t="inlineStr"/>
      <c r="G609" s="5" t="inlineStr">
        <is>
          <t>051-728-1045</t>
        </is>
      </c>
      <c r="H609" s="12">
        <f>어린이집!T230</f>
        <v/>
      </c>
      <c r="I609" s="5" t="inlineStr">
        <is>
          <t>만0세 4 / 영아혼합반 4 / 기타(연령구분 없음) 3</t>
        </is>
      </c>
    </row>
    <row r="610">
      <c r="A610" s="5" t="inlineStr">
        <is>
          <t>예쁜아이어린이집</t>
        </is>
      </c>
      <c r="B610" s="5" t="inlineStr">
        <is>
          <t>어린이집</t>
        </is>
      </c>
      <c r="C610" s="5" t="inlineStr">
        <is>
          <t>민간</t>
        </is>
      </c>
      <c r="D610" s="5" t="inlineStr">
        <is>
          <t>기장군</t>
        </is>
      </c>
      <c r="E610" s="5" t="inlineStr">
        <is>
          <t>부산광역시 기장군 차성로 461 복리동 1층(이진캐스빌블루 1차아파트)</t>
        </is>
      </c>
      <c r="F610" s="5" t="inlineStr"/>
      <c r="G610" s="5" t="inlineStr">
        <is>
          <t>051-723-6654</t>
        </is>
      </c>
      <c r="H610" s="12">
        <f>어린이집!T231</f>
        <v/>
      </c>
      <c r="I610" s="5" t="inlineStr">
        <is>
          <t>만0세 8 / 만1세 8 / 만2세 7 / 기타(연령구분 없음) 5</t>
        </is>
      </c>
    </row>
    <row r="611">
      <c r="A611" s="5" t="inlineStr">
        <is>
          <t>우신예원아이어린이집</t>
        </is>
      </c>
      <c r="B611" s="5" t="inlineStr">
        <is>
          <t>어린이집</t>
        </is>
      </c>
      <c r="C611" s="5" t="inlineStr">
        <is>
          <t>가정</t>
        </is>
      </c>
      <c r="D611" s="5" t="inlineStr">
        <is>
          <t>기장군</t>
        </is>
      </c>
      <c r="E611" s="5" t="inlineStr">
        <is>
          <t>부산광역시 기장군 기장읍 청강로 76 보육시설동</t>
        </is>
      </c>
      <c r="F611" s="5" t="inlineStr"/>
      <c r="G611" s="5" t="inlineStr">
        <is>
          <t>051-724-3538</t>
        </is>
      </c>
      <c r="H611" s="12">
        <f>어린이집!T232</f>
        <v/>
      </c>
      <c r="I611" s="5" t="inlineStr">
        <is>
          <t>만1세 2 / 영아혼합반 5 / 기타(연령구분 없음) 1</t>
        </is>
      </c>
    </row>
    <row r="612">
      <c r="A612" s="5" t="inlineStr">
        <is>
          <t>이지5차어린이집</t>
        </is>
      </c>
      <c r="B612" s="5" t="inlineStr">
        <is>
          <t>어린이집</t>
        </is>
      </c>
      <c r="C612" s="5" t="inlineStr">
        <is>
          <t>가정</t>
        </is>
      </c>
      <c r="D612" s="5" t="inlineStr">
        <is>
          <t>기장군</t>
        </is>
      </c>
      <c r="E612" s="5" t="inlineStr">
        <is>
          <t>부산광역시 기장군 정관읍 방곡로 29 502동 104호(이지더원5차)</t>
        </is>
      </c>
      <c r="F612" s="5" t="inlineStr"/>
      <c r="G612" s="5" t="inlineStr">
        <is>
          <t>051-727-5566</t>
        </is>
      </c>
      <c r="H612" s="12">
        <f>어린이집!T233</f>
        <v/>
      </c>
      <c r="I612" s="5" t="inlineStr">
        <is>
          <t>만0세 3 / 만1세 2 / 기타(연령구분 없음) 2</t>
        </is>
      </c>
    </row>
    <row r="613">
      <c r="A613" s="5" t="inlineStr">
        <is>
          <t>이지누리어린이집</t>
        </is>
      </c>
      <c r="B613" s="5" t="inlineStr">
        <is>
          <t>어린이집</t>
        </is>
      </c>
      <c r="C613" s="5" t="inlineStr">
        <is>
          <t>민간</t>
        </is>
      </c>
      <c r="D613" s="5" t="inlineStr">
        <is>
          <t>기장군</t>
        </is>
      </c>
      <c r="E613" s="5" t="inlineStr">
        <is>
          <t>부산광역시 기장군 정관읍 정관2로 9 정관이지더원2차  관리동</t>
        </is>
      </c>
      <c r="F613" s="5" t="inlineStr"/>
      <c r="G613" s="5" t="inlineStr">
        <is>
          <t>051-727-4821</t>
        </is>
      </c>
      <c r="H613" s="12">
        <f>어린이집!T234</f>
        <v/>
      </c>
      <c r="I613" s="5" t="inlineStr">
        <is>
          <t>만0세 4 / 만1세 4 / 만2세 6 / 기타(연령구분 없음) 5</t>
        </is>
      </c>
    </row>
    <row r="614">
      <c r="A614" s="5" t="inlineStr">
        <is>
          <t>이케아 다기스(동부산)어린이집</t>
        </is>
      </c>
      <c r="B614" s="5" t="inlineStr">
        <is>
          <t>어린이집</t>
        </is>
      </c>
      <c r="C614" s="5" t="inlineStr">
        <is>
          <t>직장</t>
        </is>
      </c>
      <c r="D614" s="5" t="inlineStr">
        <is>
          <t>기장군</t>
        </is>
      </c>
      <c r="E614" s="5" t="inlineStr">
        <is>
          <t>부산광역시 기장군 기장읍 동부산관광3로 17</t>
        </is>
      </c>
      <c r="F614" s="5" t="inlineStr"/>
      <c r="G614" s="5" t="inlineStr">
        <is>
          <t>051-723-3371</t>
        </is>
      </c>
      <c r="H614" s="12">
        <f>어린이집!T235</f>
        <v/>
      </c>
      <c r="I614" s="5" t="inlineStr">
        <is>
          <t>만0세 2 / 만1세 2 / 만2세 8 / 유아혼합반 6 / 기타(연령구분 없음) 17</t>
        </is>
      </c>
    </row>
    <row r="615">
      <c r="A615" s="5" t="inlineStr">
        <is>
          <t>일광e편한세상어린이집</t>
        </is>
      </c>
      <c r="B615" s="5" t="inlineStr">
        <is>
          <t>어린이집</t>
        </is>
      </c>
      <c r="C615" s="5" t="inlineStr">
        <is>
          <t>국공립</t>
        </is>
      </c>
      <c r="D615" s="5" t="inlineStr">
        <is>
          <t>기장군</t>
        </is>
      </c>
      <c r="E615" s="5" t="inlineStr">
        <is>
          <t>부산광역시 기장군 해빛2로 21 관리동 어린이집</t>
        </is>
      </c>
      <c r="F615" s="11" t="inlineStr">
        <is>
          <t>https://www.instagram.com/p/Cb7EgpqLeG8/?igsh=MTRqbTdqZWFydXk3MQ==</t>
        </is>
      </c>
      <c r="G615" s="5" t="inlineStr">
        <is>
          <t>051-724-2021</t>
        </is>
      </c>
      <c r="H615" s="12">
        <f>어린이집!T236</f>
        <v/>
      </c>
      <c r="I615" s="5" t="inlineStr">
        <is>
          <t>만1세 15 / 만2세 17 / 만3세 13 / 유아혼합반 9 / 장애아반(특수) 3 / 기타(연령구분 없음) 23</t>
        </is>
      </c>
    </row>
    <row r="616">
      <c r="A616" s="5" t="inlineStr">
        <is>
          <t>일광금호센트럴베이행복어린이집</t>
        </is>
      </c>
      <c r="B616" s="5" t="inlineStr">
        <is>
          <t>어린이집</t>
        </is>
      </c>
      <c r="C616" s="5" t="inlineStr">
        <is>
          <t>국공립</t>
        </is>
      </c>
      <c r="D616" s="5" t="inlineStr">
        <is>
          <t>기장군</t>
        </is>
      </c>
      <c r="E616" s="5" t="inlineStr">
        <is>
          <t>부산광역시 기장군 일광읍 해빛1로 61 704동 1층</t>
        </is>
      </c>
      <c r="F616" s="5" t="inlineStr"/>
      <c r="G616" s="5" t="inlineStr">
        <is>
          <t>051-710-1757</t>
        </is>
      </c>
      <c r="H616" s="12">
        <f>어린이집!T237</f>
        <v/>
      </c>
      <c r="I616" s="5" t="inlineStr">
        <is>
          <t>만1세 5 / 만2세 18 / 영아혼합반 21 / 기타(연령구분 없음) 7</t>
        </is>
      </c>
    </row>
    <row r="617">
      <c r="A617" s="5" t="inlineStr">
        <is>
          <t>일광대성베르힐어린이집</t>
        </is>
      </c>
      <c r="B617" s="5" t="inlineStr">
        <is>
          <t>어린이집</t>
        </is>
      </c>
      <c r="C617" s="5" t="inlineStr">
        <is>
          <t>국공립</t>
        </is>
      </c>
      <c r="D617" s="5" t="inlineStr">
        <is>
          <t>기장군</t>
        </is>
      </c>
      <c r="E617" s="5" t="inlineStr">
        <is>
          <t>부산광역시 기장군 해빛5로 14 일광대성베르힐 관리동</t>
        </is>
      </c>
      <c r="F617" s="5" t="inlineStr"/>
      <c r="G617" s="5" t="inlineStr">
        <is>
          <t>051-722-5572</t>
        </is>
      </c>
      <c r="H617" s="12">
        <f>어린이집!T238</f>
        <v/>
      </c>
      <c r="I617" s="5" t="inlineStr">
        <is>
          <t>만0세 5 / 만1세 10 / 만2세 12 / 만3세 9 / 유아혼합반 18 / 기타(연령구분 없음) 32</t>
        </is>
      </c>
    </row>
    <row r="618">
      <c r="A618" s="5" t="inlineStr">
        <is>
          <t>일광동원로얄듀크어린이집</t>
        </is>
      </c>
      <c r="B618" s="5" t="inlineStr">
        <is>
          <t>어린이집</t>
        </is>
      </c>
      <c r="C618" s="5" t="inlineStr">
        <is>
          <t>국공립</t>
        </is>
      </c>
      <c r="D618" s="5" t="inlineStr">
        <is>
          <t>기장군</t>
        </is>
      </c>
      <c r="E618" s="5" t="inlineStr">
        <is>
          <t>부산광역시 기장군 일광읍 해빛4로 20 일광동원로얄듀크 관리동</t>
        </is>
      </c>
      <c r="F618" s="5" t="inlineStr"/>
      <c r="G618" s="5" t="inlineStr">
        <is>
          <t>051-723-0191</t>
        </is>
      </c>
      <c r="H618" s="12">
        <f>어린이집!T239</f>
        <v/>
      </c>
      <c r="I618" s="5" t="inlineStr">
        <is>
          <t>만0세 18 / 만1세 15 / 만2세 5 / 기타(연령구분 없음) 11</t>
        </is>
      </c>
    </row>
    <row r="619">
      <c r="A619" s="5" t="inlineStr">
        <is>
          <t>일광비스타동원1차어린이집</t>
        </is>
      </c>
      <c r="B619" s="5" t="inlineStr">
        <is>
          <t>어린이집</t>
        </is>
      </c>
      <c r="C619" s="5" t="inlineStr">
        <is>
          <t>국공립</t>
        </is>
      </c>
      <c r="D619" s="5" t="inlineStr">
        <is>
          <t>기장군</t>
        </is>
      </c>
      <c r="E619" s="5" t="inlineStr">
        <is>
          <t>부산광역시 기장군 해빛2로 24 관리동 어린이집</t>
        </is>
      </c>
      <c r="F619" s="5" t="inlineStr"/>
      <c r="G619" s="5" t="inlineStr">
        <is>
          <t>051-723-0556</t>
        </is>
      </c>
      <c r="H619" s="12">
        <f>어린이집!T240</f>
        <v/>
      </c>
      <c r="I619" s="5" t="inlineStr">
        <is>
          <t>만0세 6 / 만1세 20 / 만2세 20 / 기타(연령구분 없음) 13</t>
        </is>
      </c>
    </row>
    <row r="620">
      <c r="A620" s="5" t="inlineStr">
        <is>
          <t>일광비스타동원2차어린이집</t>
        </is>
      </c>
      <c r="B620" s="5" t="inlineStr">
        <is>
          <t>어린이집</t>
        </is>
      </c>
      <c r="C620" s="5" t="inlineStr">
        <is>
          <t>국공립</t>
        </is>
      </c>
      <c r="D620" s="5" t="inlineStr">
        <is>
          <t>기장군</t>
        </is>
      </c>
      <c r="E620" s="5" t="inlineStr">
        <is>
          <t>부산광역시 기장군 해송1로 33 관리동 어린이집</t>
        </is>
      </c>
      <c r="F620" s="5" t="inlineStr"/>
      <c r="G620" s="5" t="inlineStr">
        <is>
          <t>051-724-4678</t>
        </is>
      </c>
      <c r="H620" s="12">
        <f>어린이집!T241</f>
        <v/>
      </c>
      <c r="I620" s="5" t="inlineStr">
        <is>
          <t>만0세 10 / 만1세 10 / 만2세 13 / 만3세 8 / 유아혼합반 14 / 기타(연령구분 없음) 26</t>
        </is>
      </c>
    </row>
    <row r="621">
      <c r="A621" s="5" t="inlineStr">
        <is>
          <t>일광어린이집</t>
        </is>
      </c>
      <c r="B621" s="5" t="inlineStr">
        <is>
          <t>어린이집</t>
        </is>
      </c>
      <c r="C621" s="5" t="inlineStr">
        <is>
          <t>국공립</t>
        </is>
      </c>
      <c r="D621" s="5" t="inlineStr">
        <is>
          <t>기장군</t>
        </is>
      </c>
      <c r="E621" s="5" t="inlineStr">
        <is>
          <t>부산광역시 기장군 일광면 이천길 31-12</t>
        </is>
      </c>
      <c r="F621" s="5" t="inlineStr"/>
      <c r="G621" s="5" t="inlineStr">
        <is>
          <t>051-722-4747</t>
        </is>
      </c>
      <c r="H621" s="12">
        <f>어린이집!T242</f>
        <v/>
      </c>
      <c r="I621" s="5" t="inlineStr">
        <is>
          <t>만1세 14 / 만2세 11 / 유아혼합반 18 / 장애아반(특수) 3 / 기타(연령구분 없음) 18</t>
        </is>
      </c>
    </row>
    <row r="622">
      <c r="A622" s="5" t="inlineStr">
        <is>
          <t>일광이지더원1차오션포레어린이집</t>
        </is>
      </c>
      <c r="B622" s="5" t="inlineStr">
        <is>
          <t>어린이집</t>
        </is>
      </c>
      <c r="C622" s="5" t="inlineStr">
        <is>
          <t>국공립</t>
        </is>
      </c>
      <c r="D622" s="5" t="inlineStr">
        <is>
          <t>기장군</t>
        </is>
      </c>
      <c r="E622" s="5" t="inlineStr">
        <is>
          <t>부산광역시 기장군 해빛4로 1 관리동 어린이집</t>
        </is>
      </c>
      <c r="F622" s="5" t="inlineStr"/>
      <c r="G622" s="5" t="inlineStr">
        <is>
          <t>051-721-8300</t>
        </is>
      </c>
      <c r="H622" s="12">
        <f>어린이집!T243</f>
        <v/>
      </c>
      <c r="I622" s="5" t="inlineStr">
        <is>
          <t>만0세 8 / 만1세 15 / 만2세 14 / 영아혼합반 5 / 기타(연령구분 없음) 22</t>
        </is>
      </c>
    </row>
    <row r="623">
      <c r="A623" s="5" t="inlineStr">
        <is>
          <t>일광이지더원2차포레온어린이집</t>
        </is>
      </c>
      <c r="B623" s="5" t="inlineStr">
        <is>
          <t>어린이집</t>
        </is>
      </c>
      <c r="C623" s="5" t="inlineStr">
        <is>
          <t>국공립</t>
        </is>
      </c>
      <c r="D623" s="5" t="inlineStr">
        <is>
          <t>기장군</t>
        </is>
      </c>
      <c r="E623" s="5" t="inlineStr">
        <is>
          <t>부산광역시 기장군 일광읍 해빛5로 26 관리동</t>
        </is>
      </c>
      <c r="F623" s="11" t="inlineStr">
        <is>
          <t>https://www.instagram.com/ilgwang_eg2_foreon?igsh=MWJ2YWN2NmYxZXlpNQ==</t>
        </is>
      </c>
      <c r="G623" s="5" t="inlineStr">
        <is>
          <t>051-723-5003</t>
        </is>
      </c>
      <c r="H623" s="12">
        <f>어린이집!T244</f>
        <v/>
      </c>
      <c r="I623" s="5" t="inlineStr">
        <is>
          <t>만0세 9 / 만1세 20 / 만2세 14 / 기타(연령구분 없음) 5</t>
        </is>
      </c>
    </row>
    <row r="624">
      <c r="A624" s="5" t="inlineStr">
        <is>
          <t>일광이지더원3차메르센포레어린이집</t>
        </is>
      </c>
      <c r="B624" s="5" t="inlineStr">
        <is>
          <t>어린이집</t>
        </is>
      </c>
      <c r="C624" s="5" t="inlineStr">
        <is>
          <t>국공립</t>
        </is>
      </c>
      <c r="D624" s="5" t="inlineStr">
        <is>
          <t>기장군</t>
        </is>
      </c>
      <c r="E624" s="5" t="inlineStr">
        <is>
          <t>부산광역시 기장군 일광읍 해빛3로 43 관리동</t>
        </is>
      </c>
      <c r="F624" s="5" t="inlineStr"/>
      <c r="G624" s="5" t="inlineStr">
        <is>
          <t>051-723-8780</t>
        </is>
      </c>
      <c r="H624" s="12">
        <f>어린이집!T245</f>
        <v/>
      </c>
      <c r="I624" s="5" t="inlineStr">
        <is>
          <t>만0세 7 / 만1세 14 / 만2세 14 / 기타(연령구분 없음) 26</t>
        </is>
      </c>
    </row>
    <row r="625">
      <c r="A625" s="5" t="inlineStr">
        <is>
          <t>일광자이푸르지오1어린이집</t>
        </is>
      </c>
      <c r="B625" s="5" t="inlineStr">
        <is>
          <t>어린이집</t>
        </is>
      </c>
      <c r="C625" s="5" t="inlineStr">
        <is>
          <t>국공립</t>
        </is>
      </c>
      <c r="D625" s="5" t="inlineStr">
        <is>
          <t>기장군</t>
        </is>
      </c>
      <c r="E625" s="5" t="inlineStr">
        <is>
          <t>부산광역시 기장군 해빛로 39-15 관리동 어린이집</t>
        </is>
      </c>
      <c r="F625" s="5" t="inlineStr"/>
      <c r="G625" s="5" t="inlineStr">
        <is>
          <t>051-995-3004</t>
        </is>
      </c>
      <c r="H625" s="12">
        <f>어린이집!T246</f>
        <v/>
      </c>
      <c r="I625" s="5" t="inlineStr">
        <is>
          <t>만0세 6 / 만1세 12 / 만2세 14 / 만3세 8 / 기타(연령구분 없음) 20</t>
        </is>
      </c>
    </row>
    <row r="626">
      <c r="A626" s="5" t="inlineStr">
        <is>
          <t>일광자이푸르지오2어린이집</t>
        </is>
      </c>
      <c r="B626" s="5" t="inlineStr">
        <is>
          <t>어린이집</t>
        </is>
      </c>
      <c r="C626" s="5" t="inlineStr">
        <is>
          <t>국공립</t>
        </is>
      </c>
      <c r="D626" s="5" t="inlineStr">
        <is>
          <t>기장군</t>
        </is>
      </c>
      <c r="E626" s="5" t="inlineStr">
        <is>
          <t>부산광역시 기장군 해빛로 29 관리동 어린이집</t>
        </is>
      </c>
      <c r="F626" s="5" t="inlineStr"/>
      <c r="G626" s="5" t="inlineStr">
        <is>
          <t>051-710-9876</t>
        </is>
      </c>
      <c r="H626" s="12">
        <f>어린이집!T247</f>
        <v/>
      </c>
      <c r="I626" s="5" t="inlineStr">
        <is>
          <t>만1세 10 / 만2세 14 / 만3세 12 / 만4세 14 / 만5세 13 / 장애아반(특수) 4 / 기타(연령구분 없음) 29</t>
        </is>
      </c>
    </row>
    <row r="627">
      <c r="A627" s="5" t="inlineStr">
        <is>
          <t>일광한신더휴센트럴포레1어린이집</t>
        </is>
      </c>
      <c r="B627" s="5" t="inlineStr">
        <is>
          <t>어린이집</t>
        </is>
      </c>
      <c r="C627" s="5" t="inlineStr">
        <is>
          <t>국공립</t>
        </is>
      </c>
      <c r="D627" s="5" t="inlineStr">
        <is>
          <t>기장군</t>
        </is>
      </c>
      <c r="E627" s="5" t="inlineStr">
        <is>
          <t>부산광역시 기장군 해빛1로 62</t>
        </is>
      </c>
      <c r="F627" s="5" t="inlineStr"/>
      <c r="G627" s="5" t="inlineStr">
        <is>
          <t>051-723-1252</t>
        </is>
      </c>
      <c r="H627" s="12">
        <f>어린이집!T248</f>
        <v/>
      </c>
      <c r="I627" s="5" t="inlineStr">
        <is>
          <t>만0세 6 / 만1세 15 / 만2세 13 / 만3세 3 / 기타(연령구분 없음) 16</t>
        </is>
      </c>
    </row>
    <row r="628">
      <c r="A628" s="5" t="inlineStr">
        <is>
          <t>일광한신더휴센트럴포레2어린이집</t>
        </is>
      </c>
      <c r="B628" s="5" t="inlineStr">
        <is>
          <t>어린이집</t>
        </is>
      </c>
      <c r="C628" s="5" t="inlineStr">
        <is>
          <t>국공립</t>
        </is>
      </c>
      <c r="D628" s="5" t="inlineStr">
        <is>
          <t>기장군</t>
        </is>
      </c>
      <c r="E628" s="5" t="inlineStr">
        <is>
          <t>부산광역시 기장군 해빛3로 62</t>
        </is>
      </c>
      <c r="F628" s="5" t="inlineStr"/>
      <c r="G628" s="5" t="inlineStr">
        <is>
          <t>051-723-6242</t>
        </is>
      </c>
      <c r="H628" s="12">
        <f>어린이집!T249</f>
        <v/>
      </c>
      <c r="I628" s="5" t="inlineStr">
        <is>
          <t>만0세 13 / 만1세 15 / 만2세 12 / 영아혼합반 10 / 유아혼합반 6 / 기타(연령구분 없음) 18</t>
        </is>
      </c>
    </row>
    <row r="629">
      <c r="A629" s="5" t="inlineStr">
        <is>
          <t>자연어린이집</t>
        </is>
      </c>
      <c r="B629" s="5" t="inlineStr">
        <is>
          <t>어린이집</t>
        </is>
      </c>
      <c r="C629" s="5" t="inlineStr">
        <is>
          <t>국공립</t>
        </is>
      </c>
      <c r="D629" s="5" t="inlineStr">
        <is>
          <t>기장군</t>
        </is>
      </c>
      <c r="E629" s="5" t="inlineStr">
        <is>
          <t>부산광역시 기장군 정관읍 정관1로 18 101동 102호(이지더원아파트)</t>
        </is>
      </c>
      <c r="F629" s="5" t="inlineStr"/>
      <c r="G629" s="5" t="inlineStr">
        <is>
          <t>051-728-4289</t>
        </is>
      </c>
      <c r="H629" s="12">
        <f>어린이집!T250</f>
        <v/>
      </c>
      <c r="I629" s="5" t="inlineStr">
        <is>
          <t>만0세 2 / 만2세 6 / 영아혼합반 8 / 기타(연령구분 없음) 10</t>
        </is>
      </c>
    </row>
    <row r="630">
      <c r="A630" s="5" t="inlineStr">
        <is>
          <t>장안어린이집</t>
        </is>
      </c>
      <c r="B630" s="5" t="inlineStr">
        <is>
          <t>어린이집</t>
        </is>
      </c>
      <c r="C630" s="5" t="inlineStr">
        <is>
          <t>사회복지법인</t>
        </is>
      </c>
      <c r="D630" s="5" t="inlineStr">
        <is>
          <t>기장군</t>
        </is>
      </c>
      <c r="E630" s="5" t="inlineStr">
        <is>
          <t>부산광역시 기장군 장안읍 해맞이로 167</t>
        </is>
      </c>
      <c r="F630" s="11" t="inlineStr">
        <is>
          <t>http://jang-an@hanmail.net</t>
        </is>
      </c>
      <c r="G630" s="5" t="inlineStr">
        <is>
          <t>051-727-5852</t>
        </is>
      </c>
      <c r="H630" s="12">
        <f>어린이집!T251</f>
        <v/>
      </c>
      <c r="I630" s="5" t="inlineStr">
        <is>
          <t>만0세 3 / 만1세 4 / 영아혼합반 6 / 유아혼합반 23</t>
        </is>
      </c>
    </row>
    <row r="631">
      <c r="A631" s="5" t="inlineStr">
        <is>
          <t>전원어린이집</t>
        </is>
      </c>
      <c r="B631" s="5" t="inlineStr">
        <is>
          <t>어린이집</t>
        </is>
      </c>
      <c r="C631" s="5" t="inlineStr">
        <is>
          <t>사회복지법인</t>
        </is>
      </c>
      <c r="D631" s="5" t="inlineStr">
        <is>
          <t>기장군</t>
        </is>
      </c>
      <c r="E631" s="5" t="inlineStr">
        <is>
          <t>부산광역시 기장군 기장읍 차성로365번길 75</t>
        </is>
      </c>
      <c r="F631" s="5" t="inlineStr"/>
      <c r="G631" s="5" t="inlineStr">
        <is>
          <t>051-721-1775</t>
        </is>
      </c>
      <c r="H631" s="12">
        <f>어린이집!T252</f>
        <v/>
      </c>
      <c r="I631" s="5" t="inlineStr">
        <is>
          <t>만2세 4 / 영아혼합반 5 / 유아혼합반 13</t>
        </is>
      </c>
    </row>
    <row r="632">
      <c r="A632" s="5" t="inlineStr">
        <is>
          <t>정관2어린이집</t>
        </is>
      </c>
      <c r="B632" s="5" t="inlineStr">
        <is>
          <t>어린이집</t>
        </is>
      </c>
      <c r="C632" s="5" t="inlineStr">
        <is>
          <t>국공립</t>
        </is>
      </c>
      <c r="D632" s="5" t="inlineStr">
        <is>
          <t>기장군</t>
        </is>
      </c>
      <c r="E632" s="5" t="inlineStr">
        <is>
          <t>부산광역시 기장군 정관읍 정관2로 24</t>
        </is>
      </c>
      <c r="F632" s="5" t="inlineStr"/>
      <c r="G632" s="5" t="inlineStr">
        <is>
          <t>051-727-6656</t>
        </is>
      </c>
      <c r="H632" s="12">
        <f>어린이집!T253</f>
        <v/>
      </c>
      <c r="I632" s="5" t="inlineStr">
        <is>
          <t>만0세 6 / 만1세 13 / 만2세 9 / 만3세 6 / 만5세 7 / 기타(연령구분 없음) 24</t>
        </is>
      </c>
    </row>
    <row r="633">
      <c r="A633" s="5" t="inlineStr">
        <is>
          <t>정관3어린이집</t>
        </is>
      </c>
      <c r="B633" s="5" t="inlineStr">
        <is>
          <t>어린이집</t>
        </is>
      </c>
      <c r="C633" s="5" t="inlineStr">
        <is>
          <t>국공립</t>
        </is>
      </c>
      <c r="D633" s="5" t="inlineStr">
        <is>
          <t>기장군</t>
        </is>
      </c>
      <c r="E633" s="5" t="inlineStr">
        <is>
          <t>부산광역시 기장군 정관읍 산단4로 160</t>
        </is>
      </c>
      <c r="F633" s="5" t="inlineStr"/>
      <c r="G633" s="5" t="inlineStr">
        <is>
          <t>051-911-0551</t>
        </is>
      </c>
      <c r="H633" s="12">
        <f>어린이집!T254</f>
        <v/>
      </c>
      <c r="I633" s="5" t="inlineStr">
        <is>
          <t>만0세 4 / 만1세 4 / 만2세 13 / 영아혼합반 4 / 유아혼합반 6 / 기타(연령구분 없음) 14</t>
        </is>
      </c>
    </row>
    <row r="634">
      <c r="A634" s="5" t="inlineStr">
        <is>
          <t>정관4어린이집</t>
        </is>
      </c>
      <c r="B634" s="5" t="inlineStr">
        <is>
          <t>어린이집</t>
        </is>
      </c>
      <c r="C634" s="5" t="inlineStr">
        <is>
          <t>국공립</t>
        </is>
      </c>
      <c r="D634" s="5" t="inlineStr">
        <is>
          <t>기장군</t>
        </is>
      </c>
      <c r="E634" s="5" t="inlineStr">
        <is>
          <t>부산광역시 기장군 정관읍 산단2로 60 휴먼시아5단지</t>
        </is>
      </c>
      <c r="F634" s="5" t="inlineStr"/>
      <c r="G634" s="5" t="inlineStr">
        <is>
          <t>051-728-6078</t>
        </is>
      </c>
      <c r="H634" s="12">
        <f>어린이집!T255</f>
        <v/>
      </c>
      <c r="I634" s="5" t="inlineStr">
        <is>
          <t>만1세 5 / 만2세 5 / 영아혼합반 2 / 유아혼합반 11 / 장애아반(특수) 9 / 기타(연령구분 없음) 12</t>
        </is>
      </c>
    </row>
    <row r="635">
      <c r="A635" s="5" t="inlineStr">
        <is>
          <t>정관5어린이집</t>
        </is>
      </c>
      <c r="B635" s="5" t="inlineStr">
        <is>
          <t>어린이집</t>
        </is>
      </c>
      <c r="C635" s="5" t="inlineStr">
        <is>
          <t>국공립</t>
        </is>
      </c>
      <c r="D635" s="5" t="inlineStr">
        <is>
          <t>기장군</t>
        </is>
      </c>
      <c r="E635" s="5" t="inlineStr">
        <is>
          <t>부산광역시 기장군 정관읍 정관중앙로 110</t>
        </is>
      </c>
      <c r="F635" s="5" t="inlineStr"/>
      <c r="G635" s="5" t="inlineStr">
        <is>
          <t>051-937-2200</t>
        </is>
      </c>
      <c r="H635" s="12">
        <f>어린이집!T256</f>
        <v/>
      </c>
      <c r="I635" s="5" t="inlineStr">
        <is>
          <t>만0세 9 / 만1세 10 / 만2세 24 / 만3세 9 / 기타(연령구분 없음) 7</t>
        </is>
      </c>
    </row>
    <row r="636">
      <c r="A636" s="5" t="inlineStr">
        <is>
          <t>정관6어린이집</t>
        </is>
      </c>
      <c r="B636" s="5" t="inlineStr">
        <is>
          <t>어린이집</t>
        </is>
      </c>
      <c r="C636" s="5" t="inlineStr">
        <is>
          <t>국공립</t>
        </is>
      </c>
      <c r="D636" s="5" t="inlineStr">
        <is>
          <t>기장군</t>
        </is>
      </c>
      <c r="E636" s="5" t="inlineStr">
        <is>
          <t>부산광역시 기장군 정관읍 모전로 41</t>
        </is>
      </c>
      <c r="F636" s="5" t="inlineStr"/>
      <c r="G636" s="5" t="inlineStr">
        <is>
          <t>051-727-2772</t>
        </is>
      </c>
      <c r="H636" s="12">
        <f>어린이집!T257</f>
        <v/>
      </c>
      <c r="I636" s="5" t="inlineStr">
        <is>
          <t>만0세 7 / 만1세 15 / 만2세 13 / 유아혼합반 12 / 장애아반(특수) 3 / 기타(연령구분 없음) 24</t>
        </is>
      </c>
    </row>
    <row r="637">
      <c r="A637" s="5" t="inlineStr">
        <is>
          <t>정관7어린이집</t>
        </is>
      </c>
      <c r="B637" s="5" t="inlineStr">
        <is>
          <t>어린이집</t>
        </is>
      </c>
      <c r="C637" s="5" t="inlineStr">
        <is>
          <t>국공립</t>
        </is>
      </c>
      <c r="D637" s="5" t="inlineStr">
        <is>
          <t>기장군</t>
        </is>
      </c>
      <c r="E637" s="5" t="inlineStr">
        <is>
          <t>부산광역시 기장군 정관읍 정관1로 51</t>
        </is>
      </c>
      <c r="F637" s="11" t="inlineStr">
        <is>
          <t>https://www.instagram.com/jeong_gwan_7?igsh=MWVuYTJlbzR1aWdxaQ%3D%3D&amp;utm_source=qr</t>
        </is>
      </c>
      <c r="G637" s="5" t="inlineStr">
        <is>
          <t>051-727-8081</t>
        </is>
      </c>
      <c r="H637" s="12">
        <f>어린이집!T258</f>
        <v/>
      </c>
      <c r="I637" s="5" t="inlineStr">
        <is>
          <t>만1세 5 / 만3세 7 / 영아혼합반 7 / 유아혼합반 8 / 장애아반(특수) 4 / 기타(연령구분 없음) 6</t>
        </is>
      </c>
    </row>
    <row r="638">
      <c r="A638" s="5" t="inlineStr">
        <is>
          <t>정관8어린이집</t>
        </is>
      </c>
      <c r="B638" s="5" t="inlineStr">
        <is>
          <t>어린이집</t>
        </is>
      </c>
      <c r="C638" s="5" t="inlineStr">
        <is>
          <t>국공립</t>
        </is>
      </c>
      <c r="D638" s="5" t="inlineStr">
        <is>
          <t>기장군</t>
        </is>
      </c>
      <c r="E638" s="5" t="inlineStr">
        <is>
          <t>부산광역시 기장군 정관읍 곰내길 654-152</t>
        </is>
      </c>
      <c r="F638" s="5" t="inlineStr"/>
      <c r="G638" s="5" t="inlineStr">
        <is>
          <t>051-728-7547</t>
        </is>
      </c>
      <c r="H638" s="12">
        <f>어린이집!T259</f>
        <v/>
      </c>
      <c r="I638" s="5" t="inlineStr">
        <is>
          <t>영아혼합반 3 / 장애아반(특수) 13 / 기타(연령구분 없음) 9</t>
        </is>
      </c>
    </row>
    <row r="639">
      <c r="A639" s="5" t="inlineStr">
        <is>
          <t>정관어린이집</t>
        </is>
      </c>
      <c r="B639" s="5" t="inlineStr">
        <is>
          <t>어린이집</t>
        </is>
      </c>
      <c r="C639" s="5" t="inlineStr">
        <is>
          <t>국공립</t>
        </is>
      </c>
      <c r="D639" s="5" t="inlineStr">
        <is>
          <t>기장군</t>
        </is>
      </c>
      <c r="E639" s="5" t="inlineStr">
        <is>
          <t>부산광역시 기장군 정관읍 정관4로 23 휴먼시아1단지</t>
        </is>
      </c>
      <c r="F639" s="5" t="inlineStr"/>
      <c r="G639" s="5" t="inlineStr">
        <is>
          <t>051-727-1139</t>
        </is>
      </c>
      <c r="H639" s="12">
        <f>어린이집!T260</f>
        <v/>
      </c>
      <c r="I639" s="5" t="inlineStr">
        <is>
          <t>만0세 2 / 만1세 7 / 만2세 11 / 유아혼합반 9 / 기타(연령구분 없음) 18</t>
        </is>
      </c>
    </row>
    <row r="640">
      <c r="A640" s="5" t="inlineStr">
        <is>
          <t>정관옥스퍼드어린이집</t>
        </is>
      </c>
      <c r="B640" s="5" t="inlineStr">
        <is>
          <t>어린이집</t>
        </is>
      </c>
      <c r="C640" s="5" t="inlineStr">
        <is>
          <t>민간</t>
        </is>
      </c>
      <c r="D640" s="5" t="inlineStr">
        <is>
          <t>기장군</t>
        </is>
      </c>
      <c r="E640" s="5" t="inlineStr">
        <is>
          <t>부산광역시 기장군 정관읍 가동옛길 15</t>
        </is>
      </c>
      <c r="F640" s="5" t="inlineStr"/>
      <c r="G640" s="5" t="inlineStr">
        <is>
          <t>051-727-8181</t>
        </is>
      </c>
      <c r="H640" s="12">
        <f>어린이집!T261</f>
        <v/>
      </c>
      <c r="I640" s="5" t="inlineStr">
        <is>
          <t>만0세 7 / 만1세 16 / 만2세 18 / 만3세 13 / 만4세 14 / 영아혼합반 5 / 유아혼합반 10 / 기타(연령구분 없음) 25</t>
        </is>
      </c>
    </row>
    <row r="641">
      <c r="A641" s="5" t="inlineStr">
        <is>
          <t>제일사랑어린이집</t>
        </is>
      </c>
      <c r="B641" s="5" t="inlineStr">
        <is>
          <t>어린이집</t>
        </is>
      </c>
      <c r="C641" s="5" t="inlineStr">
        <is>
          <t>민간</t>
        </is>
      </c>
      <c r="D641" s="5" t="inlineStr">
        <is>
          <t>기장군</t>
        </is>
      </c>
      <c r="E641" s="5" t="inlineStr">
        <is>
          <t>부산광역시 기장군 정관읍 정관1로 18 EG the 1 1차아파트 관리동</t>
        </is>
      </c>
      <c r="F641" s="11" t="inlineStr">
        <is>
          <t>http://http//good-mom.co.kr/1love</t>
        </is>
      </c>
      <c r="G641" s="5" t="inlineStr">
        <is>
          <t>051-728-9111</t>
        </is>
      </c>
      <c r="H641" s="12">
        <f>어린이집!T262</f>
        <v/>
      </c>
      <c r="I641" s="5" t="inlineStr">
        <is>
          <t>만0세 4 / 만1세 4 / 만2세 11 / 영아혼합반 2 / 유아혼합반 6 / 기타(연령구분 없음) 22</t>
        </is>
      </c>
    </row>
    <row r="642">
      <c r="A642" s="5" t="inlineStr">
        <is>
          <t>짱짱어린이집</t>
        </is>
      </c>
      <c r="B642" s="5" t="inlineStr">
        <is>
          <t>어린이집</t>
        </is>
      </c>
      <c r="C642" s="5" t="inlineStr">
        <is>
          <t>협동</t>
        </is>
      </c>
      <c r="D642" s="5" t="inlineStr">
        <is>
          <t>기장군</t>
        </is>
      </c>
      <c r="E642" s="5" t="inlineStr">
        <is>
          <t>부산광역시 기장군 정관읍 용수1길 16-26</t>
        </is>
      </c>
      <c r="F642" s="11" t="inlineStr">
        <is>
          <t>http://cafe.naver.com/orangeb9b01</t>
        </is>
      </c>
      <c r="G642" s="5" t="inlineStr">
        <is>
          <t>051-728-4786</t>
        </is>
      </c>
      <c r="H642" s="12">
        <f>어린이집!T263</f>
        <v/>
      </c>
      <c r="I642" s="5" t="inlineStr">
        <is>
          <t>영아혼합반 2 / 유아혼합반 5 / 기타(연령구분 없음) 7</t>
        </is>
      </c>
    </row>
    <row r="643">
      <c r="A643" s="5" t="inlineStr">
        <is>
          <t>참조은어린이집</t>
        </is>
      </c>
      <c r="B643" s="5" t="inlineStr">
        <is>
          <t>어린이집</t>
        </is>
      </c>
      <c r="C643" s="5" t="inlineStr">
        <is>
          <t>민간</t>
        </is>
      </c>
      <c r="D643" s="5" t="inlineStr">
        <is>
          <t>기장군</t>
        </is>
      </c>
      <c r="E643" s="5" t="inlineStr">
        <is>
          <t>부산광역시 기장군 기장읍 차성로404번길 52</t>
        </is>
      </c>
      <c r="F643" s="5" t="inlineStr"/>
      <c r="G643" s="5" t="inlineStr">
        <is>
          <t>051-722-5008</t>
        </is>
      </c>
      <c r="H643" s="12">
        <f>어린이집!T264</f>
        <v/>
      </c>
      <c r="I643" s="5" t="inlineStr">
        <is>
          <t>만1세 8 / 만2세 12 / 만3세 8 / 만4세 14 / 만5세 17 / 영아혼합반 4 / 기타(연령구분 없음) 33</t>
        </is>
      </c>
    </row>
    <row r="644">
      <c r="A644" s="5" t="inlineStr">
        <is>
          <t>철마어린이집</t>
        </is>
      </c>
      <c r="B644" s="5" t="inlineStr">
        <is>
          <t>어린이집</t>
        </is>
      </c>
      <c r="C644" s="5" t="inlineStr">
        <is>
          <t>국공립</t>
        </is>
      </c>
      <c r="D644" s="5" t="inlineStr">
        <is>
          <t>기장군</t>
        </is>
      </c>
      <c r="E644" s="5" t="inlineStr">
        <is>
          <t>부산광역시 기장군 철마면 곰내길 13</t>
        </is>
      </c>
      <c r="F644" s="11" t="inlineStr">
        <is>
          <t>https://www.instagram.com/chulma_serassam/</t>
        </is>
      </c>
      <c r="G644" s="5" t="inlineStr">
        <is>
          <t>051-721-5804</t>
        </is>
      </c>
      <c r="H644" s="12">
        <f>어린이집!T265</f>
        <v/>
      </c>
      <c r="I644" s="5" t="inlineStr">
        <is>
          <t>만1세 8 / 영아혼합반 3 / 유아혼합반 7 / 기타(연령구분 없음) 3</t>
        </is>
      </c>
    </row>
    <row r="645">
      <c r="A645" s="5" t="inlineStr">
        <is>
          <t>청담자연어린이집</t>
        </is>
      </c>
      <c r="B645" s="5" t="inlineStr">
        <is>
          <t>어린이집</t>
        </is>
      </c>
      <c r="C645" s="5" t="inlineStr">
        <is>
          <t>민간</t>
        </is>
      </c>
      <c r="D645" s="5" t="inlineStr">
        <is>
          <t>기장군</t>
        </is>
      </c>
      <c r="E645" s="5" t="inlineStr">
        <is>
          <t>부산광역시 기장군 정관읍 산막길 46-23</t>
        </is>
      </c>
      <c r="F645" s="5" t="inlineStr"/>
      <c r="G645" s="5" t="inlineStr">
        <is>
          <t>051-728-7767</t>
        </is>
      </c>
      <c r="H645" s="12">
        <f>어린이집!T266</f>
        <v/>
      </c>
      <c r="I645" s="5" t="inlineStr"/>
    </row>
    <row r="646">
      <c r="A646" s="5" t="inlineStr">
        <is>
          <t>초록어린이집</t>
        </is>
      </c>
      <c r="B646" s="5" t="inlineStr">
        <is>
          <t>어린이집</t>
        </is>
      </c>
      <c r="C646" s="5" t="inlineStr">
        <is>
          <t>민간</t>
        </is>
      </c>
      <c r="D646" s="5" t="inlineStr">
        <is>
          <t>기장군</t>
        </is>
      </c>
      <c r="E646" s="5" t="inlineStr">
        <is>
          <t>부산광역시 기장군 기장읍 차성로404번길 33</t>
        </is>
      </c>
      <c r="F646" s="11" t="inlineStr">
        <is>
          <t>http://chfhr.happyihome.com</t>
        </is>
      </c>
      <c r="G646" s="5" t="inlineStr">
        <is>
          <t>051-721-0324</t>
        </is>
      </c>
      <c r="H646" s="12">
        <f>어린이집!T267</f>
        <v/>
      </c>
      <c r="I646" s="5" t="inlineStr">
        <is>
          <t>만0세 4 / 영아혼합반 6 / 유아혼합반 17 / 기타(연령구분 없음) 12</t>
        </is>
      </c>
    </row>
    <row r="647">
      <c r="A647" s="5" t="inlineStr">
        <is>
          <t>칠암어린이집</t>
        </is>
      </c>
      <c r="B647" s="5" t="inlineStr">
        <is>
          <t>어린이집</t>
        </is>
      </c>
      <c r="C647" s="5" t="inlineStr">
        <is>
          <t>사회복지법인</t>
        </is>
      </c>
      <c r="D647" s="5" t="inlineStr">
        <is>
          <t>기장군</t>
        </is>
      </c>
      <c r="E647" s="5" t="inlineStr">
        <is>
          <t>부산광역시 기장군 일광면 박영준길 18</t>
        </is>
      </c>
      <c r="F647" s="5" t="inlineStr"/>
      <c r="G647" s="5" t="inlineStr">
        <is>
          <t>051-727-5777</t>
        </is>
      </c>
      <c r="H647" s="12">
        <f>어린이집!T268</f>
        <v/>
      </c>
      <c r="I647" s="5" t="inlineStr">
        <is>
          <t>만2세 6 / 영아혼합반 7 / 유아혼합반 29 / 기타(연령구분 없음) 30</t>
        </is>
      </c>
    </row>
    <row r="648">
      <c r="A648" s="5" t="inlineStr">
        <is>
          <t>키즈클럽어린이집</t>
        </is>
      </c>
      <c r="B648" s="5" t="inlineStr">
        <is>
          <t>어린이집</t>
        </is>
      </c>
      <c r="C648" s="5" t="inlineStr">
        <is>
          <t>민간</t>
        </is>
      </c>
      <c r="D648" s="5" t="inlineStr">
        <is>
          <t>기장군</t>
        </is>
      </c>
      <c r="E648" s="5" t="inlineStr">
        <is>
          <t>부산광역시 기장군 정관읍 정관3로 51 롯데캐슬2차 관리동</t>
        </is>
      </c>
      <c r="F648" s="5" t="inlineStr"/>
      <c r="G648" s="5" t="inlineStr">
        <is>
          <t>051-727-6728</t>
        </is>
      </c>
      <c r="H648" s="12">
        <f>어린이집!T269</f>
        <v/>
      </c>
      <c r="I648" s="5" t="inlineStr">
        <is>
          <t>만0세 8 / 만1세 8 / 만2세 4 / 기타(연령구분 없음) 7</t>
        </is>
      </c>
    </row>
    <row r="649">
      <c r="A649" s="5" t="inlineStr">
        <is>
          <t>키즈클럽해맑은어린이집</t>
        </is>
      </c>
      <c r="B649" s="5" t="inlineStr">
        <is>
          <t>어린이집</t>
        </is>
      </c>
      <c r="C649" s="5" t="inlineStr">
        <is>
          <t>민간</t>
        </is>
      </c>
      <c r="D649" s="5" t="inlineStr">
        <is>
          <t>기장군</t>
        </is>
      </c>
      <c r="E649" s="5" t="inlineStr">
        <is>
          <t>부산광역시 기장군 기장읍 청강로73번길 7</t>
        </is>
      </c>
      <c r="F649" s="5" t="inlineStr"/>
      <c r="G649" s="5" t="inlineStr">
        <is>
          <t>051-724-8006</t>
        </is>
      </c>
      <c r="H649" s="12">
        <f>어린이집!T270</f>
        <v/>
      </c>
      <c r="I649" s="5" t="inlineStr"/>
    </row>
    <row r="650">
      <c r="A650" s="5" t="inlineStr">
        <is>
          <t>퍼니존어린이집</t>
        </is>
      </c>
      <c r="B650" s="5" t="inlineStr">
        <is>
          <t>어린이집</t>
        </is>
      </c>
      <c r="C650" s="5" t="inlineStr">
        <is>
          <t>가정</t>
        </is>
      </c>
      <c r="D650" s="5" t="inlineStr">
        <is>
          <t>기장군</t>
        </is>
      </c>
      <c r="E650" s="5" t="inlineStr">
        <is>
          <t>부산광역시 기장군 정관읍 정관5로 12 동원로얄듀크2차 202-101</t>
        </is>
      </c>
      <c r="F650" s="5" t="inlineStr"/>
      <c r="G650" s="5" t="inlineStr">
        <is>
          <t>051-937-1010</t>
        </is>
      </c>
      <c r="H650" s="12">
        <f>어린이집!T271</f>
        <v/>
      </c>
      <c r="I650" s="5" t="inlineStr">
        <is>
          <t>만0세 3 / 만1세 8 / 만2세 6 / 기타(연령구분 없음) 6</t>
        </is>
      </c>
    </row>
    <row r="651">
      <c r="A651" s="5" t="inlineStr">
        <is>
          <t>풀꽃어린이집</t>
        </is>
      </c>
      <c r="B651" s="5" t="inlineStr">
        <is>
          <t>어린이집</t>
        </is>
      </c>
      <c r="C651" s="5" t="inlineStr">
        <is>
          <t>가정</t>
        </is>
      </c>
      <c r="D651" s="5" t="inlineStr">
        <is>
          <t>기장군</t>
        </is>
      </c>
      <c r="E651" s="5" t="inlineStr">
        <is>
          <t>부산광역시 기장군 정관읍 정관4로 24 동일스위트1차 119동 104호</t>
        </is>
      </c>
      <c r="F651" s="5" t="inlineStr"/>
      <c r="G651" s="5" t="inlineStr">
        <is>
          <t>051-727-0129</t>
        </is>
      </c>
      <c r="H651" s="12">
        <f>어린이집!T272</f>
        <v/>
      </c>
      <c r="I651" s="5" t="inlineStr">
        <is>
          <t>만0세 2 / 영아혼합반 8 / 기타(연령구분 없음) 9</t>
        </is>
      </c>
    </row>
    <row r="652">
      <c r="A652" s="5" t="inlineStr">
        <is>
          <t>한성어린이집</t>
        </is>
      </c>
      <c r="B652" s="5" t="inlineStr">
        <is>
          <t>어린이집</t>
        </is>
      </c>
      <c r="C652" s="5" t="inlineStr">
        <is>
          <t>사회복지법인</t>
        </is>
      </c>
      <c r="D652" s="5" t="inlineStr">
        <is>
          <t>기장군</t>
        </is>
      </c>
      <c r="E652" s="5" t="inlineStr">
        <is>
          <t>부산광역시 기장군 정관읍 정관덕산1길 20</t>
        </is>
      </c>
      <c r="F652" s="5" t="inlineStr"/>
      <c r="G652" s="5" t="inlineStr">
        <is>
          <t>051-728-7111</t>
        </is>
      </c>
      <c r="H652" s="12">
        <f>어린이집!T273</f>
        <v/>
      </c>
      <c r="I652" s="5" t="inlineStr">
        <is>
          <t>영아혼합반 8 / 유아혼합반 10 / 기타(연령구분 없음) 14</t>
        </is>
      </c>
    </row>
    <row r="653">
      <c r="A653" s="5" t="inlineStr">
        <is>
          <t>한솔어린이집</t>
        </is>
      </c>
      <c r="B653" s="5" t="inlineStr">
        <is>
          <t>어린이집</t>
        </is>
      </c>
      <c r="C653" s="5" t="inlineStr">
        <is>
          <t>사회복지법인</t>
        </is>
      </c>
      <c r="D653" s="5" t="inlineStr">
        <is>
          <t>기장군</t>
        </is>
      </c>
      <c r="E653" s="5" t="inlineStr">
        <is>
          <t>부산광역시 기장군 기장읍 대청로45번길 6</t>
        </is>
      </c>
      <c r="F653" s="5" t="inlineStr"/>
      <c r="G653" s="5" t="inlineStr">
        <is>
          <t>051-722-7488</t>
        </is>
      </c>
      <c r="H653" s="12">
        <f>어린이집!T274</f>
        <v/>
      </c>
      <c r="I653" s="5" t="inlineStr">
        <is>
          <t>만0세 5 / 만1세 23 / 만2세 28 / 만3세 32 / 기타(연령구분 없음) 5</t>
        </is>
      </c>
    </row>
    <row r="654">
      <c r="A654" s="5" t="inlineStr">
        <is>
          <t>한수원 고원어린이집</t>
        </is>
      </c>
      <c r="B654" s="5" t="inlineStr">
        <is>
          <t>어린이집</t>
        </is>
      </c>
      <c r="C654" s="5" t="inlineStr">
        <is>
          <t>직장</t>
        </is>
      </c>
      <c r="D654" s="5" t="inlineStr">
        <is>
          <t>기장군</t>
        </is>
      </c>
      <c r="E654" s="5" t="inlineStr">
        <is>
          <t>부산광역시 기장군 장안읍 천산로 28 한빛아파트 2단지내</t>
        </is>
      </c>
      <c r="F654" s="11" t="inlineStr">
        <is>
          <t>http://khnpchild.co.kr</t>
        </is>
      </c>
      <c r="G654" s="5" t="inlineStr">
        <is>
          <t>051-727-3994</t>
        </is>
      </c>
      <c r="H654" s="12">
        <f>어린이집!T275</f>
        <v/>
      </c>
      <c r="I654" s="5" t="inlineStr">
        <is>
          <t>만0세 18 / 만1세 29 / 만2세 34 / 만3세 33 / 만4세 31 / 만5세 26 / 기타(연령구분 없음) 19</t>
        </is>
      </c>
    </row>
    <row r="655">
      <c r="A655" s="5" t="inlineStr">
        <is>
          <t>한신어린이집</t>
        </is>
      </c>
      <c r="B655" s="5" t="inlineStr">
        <is>
          <t>어린이집</t>
        </is>
      </c>
      <c r="C655" s="5" t="inlineStr">
        <is>
          <t>가정</t>
        </is>
      </c>
      <c r="D655" s="5" t="inlineStr">
        <is>
          <t>기장군</t>
        </is>
      </c>
      <c r="E655" s="5" t="inlineStr">
        <is>
          <t>부산광역시 기장군 기장읍 차성로344번길 13 한신아파트 106동 104호</t>
        </is>
      </c>
      <c r="F655" s="5" t="inlineStr"/>
      <c r="G655" s="5" t="inlineStr">
        <is>
          <t>051-723-0828</t>
        </is>
      </c>
      <c r="H655" s="12">
        <f>어린이집!T276</f>
        <v/>
      </c>
      <c r="I655" s="5" t="inlineStr">
        <is>
          <t>만2세 5 / 영아혼합반 5 / 기타(연령구분 없음) 4</t>
        </is>
      </c>
    </row>
    <row r="656">
      <c r="A656" s="5" t="inlineStr">
        <is>
          <t>해모로어린이집</t>
        </is>
      </c>
      <c r="B656" s="5" t="inlineStr">
        <is>
          <t>어린이집</t>
        </is>
      </c>
      <c r="C656" s="5" t="inlineStr">
        <is>
          <t>민간</t>
        </is>
      </c>
      <c r="D656" s="5" t="inlineStr">
        <is>
          <t>기장군</t>
        </is>
      </c>
      <c r="E656" s="5" t="inlineStr">
        <is>
          <t>부산광역시 기장군 정관읍 정관로 548 정관신도시한진해모로 관리동(정관면)</t>
        </is>
      </c>
      <c r="F656" s="5" t="inlineStr"/>
      <c r="G656" s="5" t="inlineStr">
        <is>
          <t>051-727-7267</t>
        </is>
      </c>
      <c r="H656" s="12">
        <f>어린이집!T277</f>
        <v/>
      </c>
      <c r="I656" s="5" t="inlineStr">
        <is>
          <t>만0세 3 / 만1세 1</t>
        </is>
      </c>
    </row>
    <row r="657">
      <c r="A657" s="5" t="inlineStr">
        <is>
          <t>햇님어린이집</t>
        </is>
      </c>
      <c r="B657" s="5" t="inlineStr">
        <is>
          <t>어린이집</t>
        </is>
      </c>
      <c r="C657" s="5" t="inlineStr">
        <is>
          <t>가정</t>
        </is>
      </c>
      <c r="D657" s="5" t="inlineStr">
        <is>
          <t>기장군</t>
        </is>
      </c>
      <c r="E657" s="5" t="inlineStr">
        <is>
          <t>부산광역시 기장군 기장읍 차성동로172번길 15 103-105 (부전타워)</t>
        </is>
      </c>
      <c r="F657" s="5" t="inlineStr"/>
      <c r="G657" s="5" t="inlineStr">
        <is>
          <t>051-722-9969</t>
        </is>
      </c>
      <c r="H657" s="12">
        <f>어린이집!T278</f>
        <v/>
      </c>
      <c r="I657" s="5" t="inlineStr">
        <is>
          <t>만0세 2 / 만1세 4 / 만2세 7 / 기타(연령구분 없음) 6</t>
        </is>
      </c>
    </row>
    <row r="658">
      <c r="A658" s="5" t="inlineStr">
        <is>
          <t>현대어린이집</t>
        </is>
      </c>
      <c r="B658" s="5" t="inlineStr">
        <is>
          <t>어린이집</t>
        </is>
      </c>
      <c r="C658" s="5" t="inlineStr">
        <is>
          <t>가정</t>
        </is>
      </c>
      <c r="D658" s="5" t="inlineStr">
        <is>
          <t>기장군</t>
        </is>
      </c>
      <c r="E658" s="5" t="inlineStr">
        <is>
          <t>부산광역시 기장군 기장읍 기장대로 563 106-107</t>
        </is>
      </c>
      <c r="F658" s="11" t="inlineStr">
        <is>
          <t>http://cafe.daum.net//hyundae5659</t>
        </is>
      </c>
      <c r="G658" s="5" t="inlineStr">
        <is>
          <t>051-724-5659</t>
        </is>
      </c>
      <c r="H658" s="12">
        <f>어린이집!T279</f>
        <v/>
      </c>
      <c r="I658" s="5" t="inlineStr">
        <is>
          <t>만0세 4 / 만1세 7 / 만2세 8 / 기타(연령구분 없음) 10</t>
        </is>
      </c>
    </row>
    <row r="659">
      <c r="A659" s="5" t="inlineStr">
        <is>
          <t>휴먼시아어린이집</t>
        </is>
      </c>
      <c r="B659" s="5" t="inlineStr">
        <is>
          <t>어린이집</t>
        </is>
      </c>
      <c r="C659" s="5" t="inlineStr">
        <is>
          <t>가정</t>
        </is>
      </c>
      <c r="D659" s="5" t="inlineStr">
        <is>
          <t>기장군</t>
        </is>
      </c>
      <c r="E659" s="5" t="inlineStr">
        <is>
          <t>부산광역시 기장군 정관읍 구연방곡로 10 센트럴파크 107-104</t>
        </is>
      </c>
      <c r="F659" s="11" t="inlineStr">
        <is>
          <t>http://cafe.daum.net/guyeonchildren?</t>
        </is>
      </c>
      <c r="G659" s="5" t="inlineStr">
        <is>
          <t>051-728-2002</t>
        </is>
      </c>
      <c r="H659" s="12">
        <f>어린이집!T280</f>
        <v/>
      </c>
      <c r="I659" s="5" t="inlineStr">
        <is>
          <t>만0세 3 / 만1세 5 / 영아혼합반 8 / 기타(연령구분 없음) 8</t>
        </is>
      </c>
    </row>
    <row r="660">
      <c r="A660" s="5" t="inlineStr">
        <is>
          <t>(공립)꿈나무하나어린이집</t>
        </is>
      </c>
      <c r="B660" s="5" t="inlineStr">
        <is>
          <t>어린이집</t>
        </is>
      </c>
      <c r="C660" s="5" t="inlineStr">
        <is>
          <t>국공립</t>
        </is>
      </c>
      <c r="D660" s="5" t="inlineStr">
        <is>
          <t>남구</t>
        </is>
      </c>
      <c r="E660" s="5" t="inlineStr">
        <is>
          <t>부산광역시 남구 수영로267번길 35 꿈나무지원복합센터 1층</t>
        </is>
      </c>
      <c r="F660" s="5" t="inlineStr"/>
      <c r="G660" s="5" t="inlineStr">
        <is>
          <t>010-8313-2400</t>
        </is>
      </c>
      <c r="H660" s="12">
        <f>어린이집!T281</f>
        <v/>
      </c>
      <c r="I660" s="5" t="inlineStr"/>
    </row>
    <row r="661">
      <c r="A661" s="5" t="inlineStr">
        <is>
          <t>(공립)대연자이어린이집</t>
        </is>
      </c>
      <c r="B661" s="5" t="inlineStr">
        <is>
          <t>어린이집</t>
        </is>
      </c>
      <c r="C661" s="5" t="inlineStr">
        <is>
          <t>국공립</t>
        </is>
      </c>
      <c r="D661" s="5" t="inlineStr">
        <is>
          <t>남구</t>
        </is>
      </c>
      <c r="E661" s="5" t="inlineStr">
        <is>
          <t>부산광역시 남구 유엔로 246 대연자이아파트 108동 1층</t>
        </is>
      </c>
      <c r="F661" s="5" t="inlineStr"/>
      <c r="G661" s="5" t="inlineStr">
        <is>
          <t>051-626-2050</t>
        </is>
      </c>
      <c r="H661" s="12">
        <f>어린이집!T282</f>
        <v/>
      </c>
      <c r="I661" s="5" t="inlineStr">
        <is>
          <t>만0세 6 / 만1세 10 / 만2세 12 / 기타(연령구분 없음) 12</t>
        </is>
      </c>
    </row>
    <row r="662">
      <c r="A662" s="5" t="inlineStr">
        <is>
          <t>(공립)대연푸르지오클라센트어린이집</t>
        </is>
      </c>
      <c r="B662" s="5" t="inlineStr">
        <is>
          <t>어린이집</t>
        </is>
      </c>
      <c r="C662" s="5" t="inlineStr">
        <is>
          <t>국공립</t>
        </is>
      </c>
      <c r="D662" s="5" t="inlineStr">
        <is>
          <t>남구</t>
        </is>
      </c>
      <c r="E662" s="5" t="inlineStr">
        <is>
          <t>부산광역시 남구 유엔로 81 (공립)대연푸르지오클라센트어린이집</t>
        </is>
      </c>
      <c r="F662" s="5" t="inlineStr"/>
      <c r="G662" s="5" t="inlineStr">
        <is>
          <t>051-628-0628</t>
        </is>
      </c>
      <c r="H662" s="12">
        <f>어린이집!T283</f>
        <v/>
      </c>
      <c r="I662" s="5" t="inlineStr">
        <is>
          <t>만0세 9 / 만1세 19 / 만2세 14 / 기타(연령구분 없음) 5</t>
        </is>
      </c>
    </row>
    <row r="663">
      <c r="A663" s="5" t="inlineStr">
        <is>
          <t>(공립)더비치푸르지오써밋어린이집</t>
        </is>
      </c>
      <c r="B663" s="5" t="inlineStr">
        <is>
          <t>어린이집</t>
        </is>
      </c>
      <c r="C663" s="5" t="inlineStr">
        <is>
          <t>국공립</t>
        </is>
      </c>
      <c r="D663" s="5" t="inlineStr">
        <is>
          <t>남구</t>
        </is>
      </c>
      <c r="E663" s="5" t="inlineStr">
        <is>
          <t>부산광역시 남구 황령대로 504 (공립)더비치푸르지오써밋어린이집</t>
        </is>
      </c>
      <c r="F663" s="5" t="inlineStr"/>
      <c r="G663" s="5" t="inlineStr">
        <is>
          <t>051-624-5400</t>
        </is>
      </c>
      <c r="H663" s="12">
        <f>어린이집!T284</f>
        <v/>
      </c>
      <c r="I663" s="5" t="inlineStr">
        <is>
          <t>만0세 5 / 만1세 25 / 만2세 25 / 기타(연령구분 없음) 10</t>
        </is>
      </c>
    </row>
    <row r="664">
      <c r="A664" s="5" t="inlineStr">
        <is>
          <t>(공립)데시앙해링턴어린이집</t>
        </is>
      </c>
      <c r="B664" s="5" t="inlineStr">
        <is>
          <t>어린이집</t>
        </is>
      </c>
      <c r="C664" s="5" t="inlineStr">
        <is>
          <t>국공립</t>
        </is>
      </c>
      <c r="D664" s="5" t="inlineStr">
        <is>
          <t>남구</t>
        </is>
      </c>
      <c r="E664" s="5" t="inlineStr">
        <is>
          <t>부산광역시 남구 용주로 36</t>
        </is>
      </c>
      <c r="F664" s="5" t="inlineStr"/>
      <c r="G664" s="5" t="inlineStr">
        <is>
          <t>051-622-4123</t>
        </is>
      </c>
      <c r="H664" s="12">
        <f>어린이집!T285</f>
        <v/>
      </c>
      <c r="I664" s="5" t="inlineStr">
        <is>
          <t>만0세 8 / 만1세 20 / 만2세 28 / 기타(연령구분 없음) 5</t>
        </is>
      </c>
    </row>
    <row r="665">
      <c r="A665" s="5" t="inlineStr">
        <is>
          <t>(공립)롯데캐슬인피니엘어린이집</t>
        </is>
      </c>
      <c r="B665" s="5" t="inlineStr">
        <is>
          <t>어린이집</t>
        </is>
      </c>
      <c r="C665" s="5" t="inlineStr">
        <is>
          <t>국공립</t>
        </is>
      </c>
      <c r="D665" s="5" t="inlineStr">
        <is>
          <t>남구</t>
        </is>
      </c>
      <c r="E665" s="5" t="inlineStr">
        <is>
          <t>부산광역시 남구 지게골로 102</t>
        </is>
      </c>
      <c r="F665" s="5" t="inlineStr"/>
      <c r="G665" s="5" t="inlineStr">
        <is>
          <t>010-7755-0692</t>
        </is>
      </c>
      <c r="H665" s="12">
        <f>어린이집!T286</f>
        <v/>
      </c>
      <c r="I665" s="5" t="inlineStr"/>
    </row>
    <row r="666">
      <c r="A666" s="5" t="inlineStr">
        <is>
          <t>(공립)오션파라곤어린이집</t>
        </is>
      </c>
      <c r="B666" s="5" t="inlineStr">
        <is>
          <t>어린이집</t>
        </is>
      </c>
      <c r="C666" s="5" t="inlineStr">
        <is>
          <t>국공립</t>
        </is>
      </c>
      <c r="D666" s="5" t="inlineStr">
        <is>
          <t>남구</t>
        </is>
      </c>
      <c r="E666" s="5" t="inlineStr">
        <is>
          <t>부산광역시 남구 우암로 300 (공립)오션파라곤어린이집</t>
        </is>
      </c>
      <c r="F666" s="5" t="inlineStr"/>
      <c r="G666" s="5" t="inlineStr">
        <is>
          <t>051-639-8381</t>
        </is>
      </c>
      <c r="H666" s="12">
        <f>어린이집!T287</f>
        <v/>
      </c>
      <c r="I666" s="5" t="inlineStr">
        <is>
          <t>만0세 4 / 만1세 10 / 만2세 10 / 기타(연령구분 없음) 4</t>
        </is>
      </c>
    </row>
    <row r="667">
      <c r="A667" s="5" t="inlineStr">
        <is>
          <t>(공립)천사어린이집</t>
        </is>
      </c>
      <c r="B667" s="5" t="inlineStr">
        <is>
          <t>어린이집</t>
        </is>
      </c>
      <c r="C667" s="5" t="inlineStr">
        <is>
          <t>국공립</t>
        </is>
      </c>
      <c r="D667" s="5" t="inlineStr">
        <is>
          <t>남구</t>
        </is>
      </c>
      <c r="E667" s="5" t="inlineStr">
        <is>
          <t>부산광역시 남구 황령대로319번가길 190-6 대우그린1차아파트 입구</t>
        </is>
      </c>
      <c r="F667" s="5" t="inlineStr"/>
      <c r="G667" s="5" t="inlineStr">
        <is>
          <t>051-628-1004</t>
        </is>
      </c>
      <c r="H667" s="12">
        <f>어린이집!T288</f>
        <v/>
      </c>
      <c r="I667" s="5" t="inlineStr">
        <is>
          <t>만0세 3 / 만1세 25 / 만2세 14 / 기타(연령구분 없음) 5</t>
        </is>
      </c>
    </row>
    <row r="668">
      <c r="A668" s="5" t="inlineStr">
        <is>
          <t>(국공립)두산위브더제니스 어린이집</t>
        </is>
      </c>
      <c r="B668" s="5" t="inlineStr">
        <is>
          <t>어린이집</t>
        </is>
      </c>
      <c r="C668" s="5" t="inlineStr">
        <is>
          <t>국공립</t>
        </is>
      </c>
      <c r="D668" s="5" t="inlineStr">
        <is>
          <t>남구</t>
        </is>
      </c>
      <c r="E668" s="5" t="inlineStr">
        <is>
          <t>부산광역시 남구 유엔로 35 (국공립)두산위브더제니스 어린이집</t>
        </is>
      </c>
      <c r="F668" s="5" t="inlineStr"/>
      <c r="G668" s="5" t="inlineStr">
        <is>
          <t>051-918-0035</t>
        </is>
      </c>
      <c r="H668" s="12">
        <f>어린이집!T289</f>
        <v/>
      </c>
      <c r="I668" s="5" t="inlineStr">
        <is>
          <t>만0세 15 / 만1세 24 / 만2세 33 / 영아혼합반 6 / 기타(연령구분 없음) 10</t>
        </is>
      </c>
    </row>
    <row r="669">
      <c r="A669" s="5" t="inlineStr">
        <is>
          <t>21세기영아전담어린이집</t>
        </is>
      </c>
      <c r="B669" s="5" t="inlineStr">
        <is>
          <t>어린이집</t>
        </is>
      </c>
      <c r="C669" s="5" t="inlineStr">
        <is>
          <t>민간</t>
        </is>
      </c>
      <c r="D669" s="5" t="inlineStr">
        <is>
          <t>남구</t>
        </is>
      </c>
      <c r="E669" s="5" t="inlineStr">
        <is>
          <t>부산광역시 남구 석포로 7 자유4차아파트 단지내 (감만동)</t>
        </is>
      </c>
      <c r="F669" s="5" t="inlineStr"/>
      <c r="G669" s="5" t="inlineStr">
        <is>
          <t>051-636-3242</t>
        </is>
      </c>
      <c r="H669" s="12">
        <f>어린이집!T290</f>
        <v/>
      </c>
      <c r="I669" s="5" t="inlineStr">
        <is>
          <t>만0세 3 / 만1세 5 / 만2세 4 / 기타(연령구분 없음) 5</t>
        </is>
      </c>
    </row>
    <row r="670">
      <c r="A670" s="5" t="inlineStr">
        <is>
          <t>BIFC-2나무어린이집</t>
        </is>
      </c>
      <c r="B670" s="5" t="inlineStr">
        <is>
          <t>어린이집</t>
        </is>
      </c>
      <c r="C670" s="5" t="inlineStr">
        <is>
          <t>직장</t>
        </is>
      </c>
      <c r="D670" s="5" t="inlineStr">
        <is>
          <t>남구</t>
        </is>
      </c>
      <c r="E670" s="5" t="inlineStr">
        <is>
          <t>부산광역시 남구 남동천로 128</t>
        </is>
      </c>
      <c r="F670" s="11" t="inlineStr">
        <is>
          <t>https://www.puruni.com/bifc2</t>
        </is>
      </c>
      <c r="G670" s="5" t="inlineStr">
        <is>
          <t>051-632-6998</t>
        </is>
      </c>
      <c r="H670" s="12">
        <f>어린이집!T291</f>
        <v/>
      </c>
      <c r="I670" s="5" t="inlineStr">
        <is>
          <t>만0세 10 / 만1세 11 / 만2세 4 / 만3세 2 / 유아혼합반 3</t>
        </is>
      </c>
    </row>
    <row r="671">
      <c r="A671" s="5" t="inlineStr">
        <is>
          <t>BIFC어린이집</t>
        </is>
      </c>
      <c r="B671" s="5" t="inlineStr">
        <is>
          <t>어린이집</t>
        </is>
      </c>
      <c r="C671" s="5" t="inlineStr">
        <is>
          <t>직장</t>
        </is>
      </c>
      <c r="D671" s="5" t="inlineStr">
        <is>
          <t>남구</t>
        </is>
      </c>
      <c r="E671" s="5" t="inlineStr">
        <is>
          <t>부산광역시 남구 문현금융로 40 문현국제금융센터, 101호(문현동)</t>
        </is>
      </c>
      <c r="F671" s="5" t="inlineStr"/>
      <c r="G671" s="5" t="inlineStr">
        <is>
          <t>051-647-9031</t>
        </is>
      </c>
      <c r="H671" s="12">
        <f>어린이집!T292</f>
        <v/>
      </c>
      <c r="I671" s="5" t="inlineStr">
        <is>
          <t>만1세 18 / 만2세 20 / 만3세 15 / 만4세 17 / 만5세 15 / 기타(연령구분 없음) 20</t>
        </is>
      </c>
    </row>
    <row r="672">
      <c r="A672" s="5" t="inlineStr">
        <is>
          <t>BIFC푸른바다어린이집</t>
        </is>
      </c>
      <c r="B672" s="5" t="inlineStr">
        <is>
          <t>어린이집</t>
        </is>
      </c>
      <c r="C672" s="5" t="inlineStr">
        <is>
          <t>직장</t>
        </is>
      </c>
      <c r="D672" s="5" t="inlineStr">
        <is>
          <t>남구</t>
        </is>
      </c>
      <c r="E672" s="5" t="inlineStr">
        <is>
          <t>부산광역시 남구 문현금융로 40 부산국제금융센터 203호 (문현동)</t>
        </is>
      </c>
      <c r="F672" s="5" t="inlineStr"/>
      <c r="G672" s="5" t="inlineStr">
        <is>
          <t>051-647-9041</t>
        </is>
      </c>
      <c r="H672" s="12">
        <f>어린이집!T293</f>
        <v/>
      </c>
      <c r="I672" s="5" t="inlineStr">
        <is>
          <t>만1세 9 / 만2세 9 / 만3세 9 / 유아혼합반 10 / 기타(연령구분 없음) 33</t>
        </is>
      </c>
    </row>
    <row r="673">
      <c r="A673" s="5" t="inlineStr">
        <is>
          <t>GS하이츠자이어린이집</t>
        </is>
      </c>
      <c r="B673" s="5" t="inlineStr">
        <is>
          <t>어린이집</t>
        </is>
      </c>
      <c r="C673" s="5" t="inlineStr">
        <is>
          <t>민간</t>
        </is>
      </c>
      <c r="D673" s="5" t="inlineStr">
        <is>
          <t>남구</t>
        </is>
      </c>
      <c r="E673" s="5" t="inlineStr">
        <is>
          <t>부산광역시 남구 신선로 566 GS하이츠자이 관리동 401동 (용호동)</t>
        </is>
      </c>
      <c r="F673" s="5" t="inlineStr"/>
      <c r="G673" s="5" t="inlineStr">
        <is>
          <t>051-628-0017</t>
        </is>
      </c>
      <c r="H673" s="12">
        <f>어린이집!T294</f>
        <v/>
      </c>
      <c r="I673" s="5" t="inlineStr">
        <is>
          <t>만0세 2 / 만1세 5 / 만2세 9 / 영아혼합반 5</t>
        </is>
      </c>
    </row>
    <row r="674">
      <c r="A674" s="5" t="inlineStr">
        <is>
          <t>HF보금자리어린이집</t>
        </is>
      </c>
      <c r="B674" s="5" t="inlineStr">
        <is>
          <t>어린이집</t>
        </is>
      </c>
      <c r="C674" s="5" t="inlineStr">
        <is>
          <t>직장</t>
        </is>
      </c>
      <c r="D674" s="5" t="inlineStr">
        <is>
          <t>남구</t>
        </is>
      </c>
      <c r="E674" s="5" t="inlineStr">
        <is>
          <t>부산광역시 남구 문현금융로 40 문현국제금융센터, 201호(문현동)</t>
        </is>
      </c>
      <c r="F674" s="11" t="inlineStr">
        <is>
          <t>http://www.puruni.com/hf</t>
        </is>
      </c>
      <c r="G674" s="5" t="inlineStr">
        <is>
          <t>051-637-0408</t>
        </is>
      </c>
      <c r="H674" s="12">
        <f>어린이집!T295</f>
        <v/>
      </c>
      <c r="I674" s="5" t="inlineStr">
        <is>
          <t>만0세 8 / 만1세 14 / 만2세 14 / 만3세 11 / 유아혼합반 22 / 기타(연령구분 없음) 48</t>
        </is>
      </c>
    </row>
    <row r="675">
      <c r="A675" s="5" t="inlineStr">
        <is>
          <t>LG메트로시티어린이집</t>
        </is>
      </c>
      <c r="B675" s="5" t="inlineStr">
        <is>
          <t>어린이집</t>
        </is>
      </c>
      <c r="C675" s="5" t="inlineStr">
        <is>
          <t>민간</t>
        </is>
      </c>
      <c r="D675" s="5" t="inlineStr">
        <is>
          <t>남구</t>
        </is>
      </c>
      <c r="E675" s="5" t="inlineStr">
        <is>
          <t>부산광역시 남구 분포로 111 (용호동, 엘지메트로시티아파트)</t>
        </is>
      </c>
      <c r="F675" s="5" t="inlineStr"/>
      <c r="G675" s="5" t="inlineStr">
        <is>
          <t>051-612-4577</t>
        </is>
      </c>
      <c r="H675" s="12">
        <f>어린이집!T296</f>
        <v/>
      </c>
      <c r="I675" s="5" t="inlineStr">
        <is>
          <t>만0세 9 / 만1세 30 / 만2세 23 / 기타(연령구분 없음) 5</t>
        </is>
      </c>
    </row>
    <row r="676">
      <c r="A676" s="5" t="inlineStr">
        <is>
          <t>LG한누리어린이집</t>
        </is>
      </c>
      <c r="B676" s="5" t="inlineStr">
        <is>
          <t>어린이집</t>
        </is>
      </c>
      <c r="C676" s="5" t="inlineStr">
        <is>
          <t>가정</t>
        </is>
      </c>
      <c r="D676" s="5" t="inlineStr">
        <is>
          <t>남구</t>
        </is>
      </c>
      <c r="E676" s="5" t="inlineStr">
        <is>
          <t>부산광역시 남구 분포로 111 225동 104호(용호동, 엘지메트로시티아파트)</t>
        </is>
      </c>
      <c r="F676" s="5" t="inlineStr"/>
      <c r="G676" s="5" t="inlineStr">
        <is>
          <t>070-7717-4545</t>
        </is>
      </c>
      <c r="H676" s="12">
        <f>어린이집!T297</f>
        <v/>
      </c>
      <c r="I676" s="5" t="inlineStr">
        <is>
          <t>만0세 3 / 만1세 5 / 만2세 7 / 영아혼합반 2</t>
        </is>
      </c>
    </row>
    <row r="677">
      <c r="A677" s="5" t="inlineStr">
        <is>
          <t>PARK푸르지오어린이집</t>
        </is>
      </c>
      <c r="B677" s="5" t="inlineStr">
        <is>
          <t>어린이집</t>
        </is>
      </c>
      <c r="C677" s="5" t="inlineStr">
        <is>
          <t>가정</t>
        </is>
      </c>
      <c r="D677" s="5" t="inlineStr">
        <is>
          <t>남구</t>
        </is>
      </c>
      <c r="E677" s="5" t="inlineStr">
        <is>
          <t>부산광역시 남구 홍곡로 360 101동 103호(대연동, 대연파크푸르지오)</t>
        </is>
      </c>
      <c r="F677" s="5" t="inlineStr"/>
      <c r="G677" s="5" t="inlineStr">
        <is>
          <t>051-988-0972</t>
        </is>
      </c>
      <c r="H677" s="12">
        <f>어린이집!T298</f>
        <v/>
      </c>
      <c r="I677" s="5" t="inlineStr">
        <is>
          <t>만0세 3 / 만2세 5 / 영아혼합반 5 / 기타(연령구분 없음) 3</t>
        </is>
      </c>
    </row>
    <row r="678">
      <c r="A678" s="5" t="inlineStr">
        <is>
          <t>W아이어린이집</t>
        </is>
      </c>
      <c r="B678" s="5" t="inlineStr">
        <is>
          <t>어린이집</t>
        </is>
      </c>
      <c r="C678" s="5" t="inlineStr">
        <is>
          <t>민간</t>
        </is>
      </c>
      <c r="D678" s="5" t="inlineStr">
        <is>
          <t>남구</t>
        </is>
      </c>
      <c r="E678" s="5" t="inlineStr">
        <is>
          <t>부산광역시 남구 분포로 145 A동 1층</t>
        </is>
      </c>
      <c r="F678" s="5" t="inlineStr"/>
      <c r="G678" s="5" t="inlineStr">
        <is>
          <t>051-623-8006</t>
        </is>
      </c>
      <c r="H678" s="12">
        <f>어린이집!T299</f>
        <v/>
      </c>
      <c r="I678" s="5" t="inlineStr">
        <is>
          <t>만0세 10 / 만1세 25 / 만2세 22 / 기타(연령구분 없음) 9</t>
        </is>
      </c>
    </row>
    <row r="679">
      <c r="A679" s="5" t="inlineStr">
        <is>
          <t>가교영재어린이집</t>
        </is>
      </c>
      <c r="B679" s="5" t="inlineStr">
        <is>
          <t>어린이집</t>
        </is>
      </c>
      <c r="C679" s="5" t="inlineStr">
        <is>
          <t>민간</t>
        </is>
      </c>
      <c r="D679" s="5" t="inlineStr">
        <is>
          <t>남구</t>
        </is>
      </c>
      <c r="E679" s="5" t="inlineStr">
        <is>
          <t>부산광역시 남구 수영로 261 SK뷰힐스관리동</t>
        </is>
      </c>
      <c r="F679" s="5" t="inlineStr"/>
      <c r="G679" s="5" t="inlineStr">
        <is>
          <t>070-4090-1106</t>
        </is>
      </c>
      <c r="H679" s="12">
        <f>어린이집!T300</f>
        <v/>
      </c>
      <c r="I679" s="5" t="inlineStr">
        <is>
          <t>만0세 18 / 만1세 10 / 만2세 19</t>
        </is>
      </c>
    </row>
    <row r="680">
      <c r="A680" s="5" t="inlineStr">
        <is>
          <t>감만어린이집</t>
        </is>
      </c>
      <c r="B680" s="5" t="inlineStr">
        <is>
          <t>어린이집</t>
        </is>
      </c>
      <c r="C680" s="5" t="inlineStr">
        <is>
          <t>국공립</t>
        </is>
      </c>
      <c r="D680" s="5" t="inlineStr">
        <is>
          <t>남구</t>
        </is>
      </c>
      <c r="E680" s="5" t="inlineStr">
        <is>
          <t>부산광역시 남구 양지골로 181</t>
        </is>
      </c>
      <c r="F680" s="11" t="inlineStr">
        <is>
          <t>http://cafe.naver.com/gammankid</t>
        </is>
      </c>
      <c r="G680" s="5" t="inlineStr">
        <is>
          <t>051-632-4219</t>
        </is>
      </c>
      <c r="H680" s="12">
        <f>어린이집!T301</f>
        <v/>
      </c>
      <c r="I680" s="5" t="inlineStr">
        <is>
          <t>만0세 2 / 만1세 7 / 만2세 7 / 만3세 6 / 유아혼합반 13 / 장애아반(특수) 3 / 기타(연령구분 없음) 3</t>
        </is>
      </c>
    </row>
    <row r="681">
      <c r="A681" s="5" t="inlineStr">
        <is>
          <t>경동리인어린이집</t>
        </is>
      </c>
      <c r="B681" s="5" t="inlineStr">
        <is>
          <t>어린이집</t>
        </is>
      </c>
      <c r="C681" s="5" t="inlineStr">
        <is>
          <t>국공립</t>
        </is>
      </c>
      <c r="D681" s="5" t="inlineStr">
        <is>
          <t>남구</t>
        </is>
      </c>
      <c r="E681" s="5" t="inlineStr">
        <is>
          <t>부산광역시 남구 문현로 36-1 (문현동, 문현경동리인아파트)</t>
        </is>
      </c>
      <c r="F681" s="5" t="inlineStr"/>
      <c r="G681" s="5" t="inlineStr">
        <is>
          <t>051-635-1020</t>
        </is>
      </c>
      <c r="H681" s="12">
        <f>어린이집!T302</f>
        <v/>
      </c>
      <c r="I681" s="5" t="inlineStr">
        <is>
          <t>만0세 9 / 만1세 5 / 만2세 6 / 영아혼합반 4 / 기타(연령구분 없음) 3</t>
        </is>
      </c>
    </row>
    <row r="682">
      <c r="A682" s="5" t="inlineStr">
        <is>
          <t>경성어린이집</t>
        </is>
      </c>
      <c r="B682" s="5" t="inlineStr">
        <is>
          <t>어린이집</t>
        </is>
      </c>
      <c r="C682" s="5" t="inlineStr">
        <is>
          <t>국공립</t>
        </is>
      </c>
      <c r="D682" s="5" t="inlineStr">
        <is>
          <t>남구</t>
        </is>
      </c>
      <c r="E682" s="5" t="inlineStr">
        <is>
          <t>부산광역시 남구 동제당로 258 남구복지관</t>
        </is>
      </c>
      <c r="F682" s="11" t="inlineStr">
        <is>
          <t>http://kskids@naver.com</t>
        </is>
      </c>
      <c r="G682" s="5" t="inlineStr">
        <is>
          <t>051-647-3654</t>
        </is>
      </c>
      <c r="H682" s="12">
        <f>어린이집!T303</f>
        <v/>
      </c>
      <c r="I682" s="5" t="inlineStr">
        <is>
          <t>만0세 2 / 만1세 20 / 만2세 18 / 영아혼합반 4 / 유아혼합반 15 / 기타(연령구분 없음) 15</t>
        </is>
      </c>
    </row>
    <row r="683">
      <c r="A683" s="5" t="inlineStr">
        <is>
          <t>계명어린이집</t>
        </is>
      </c>
      <c r="B683" s="5" t="inlineStr">
        <is>
          <t>어린이집</t>
        </is>
      </c>
      <c r="C683" s="5" t="inlineStr">
        <is>
          <t>사회복지법인</t>
        </is>
      </c>
      <c r="D683" s="5" t="inlineStr">
        <is>
          <t>남구</t>
        </is>
      </c>
      <c r="E683" s="5" t="inlineStr">
        <is>
          <t>부산광역시 남구 동명로145번나길 19 (용호동)</t>
        </is>
      </c>
      <c r="F683" s="5" t="inlineStr"/>
      <c r="G683" s="5" t="inlineStr">
        <is>
          <t>051-626-6437</t>
        </is>
      </c>
      <c r="H683" s="12">
        <f>어린이집!T304</f>
        <v/>
      </c>
      <c r="I683" s="5" t="inlineStr">
        <is>
          <t>영아혼합반 1</t>
        </is>
      </c>
    </row>
    <row r="684">
      <c r="A684" s="5" t="inlineStr">
        <is>
          <t>국립부경대학교어린이집</t>
        </is>
      </c>
      <c r="B684" s="5" t="inlineStr">
        <is>
          <t>어린이집</t>
        </is>
      </c>
      <c r="C684" s="5" t="inlineStr">
        <is>
          <t>직장</t>
        </is>
      </c>
      <c r="D684" s="5" t="inlineStr">
        <is>
          <t>남구</t>
        </is>
      </c>
      <c r="E684" s="5" t="inlineStr">
        <is>
          <t>부산광역시 남구 용소로 45 C14 부경대학교어린이집(대연동, 부경대학교)</t>
        </is>
      </c>
      <c r="F684" s="5" t="inlineStr"/>
      <c r="G684" s="5" t="inlineStr">
        <is>
          <t>051-629-7493</t>
        </is>
      </c>
      <c r="H684" s="12">
        <f>어린이집!T305</f>
        <v/>
      </c>
      <c r="I684" s="5" t="inlineStr">
        <is>
          <t>만1세 10 / 만2세 12 / 만3세 14 / 만4세 17 / 만5세 15 / 영아혼합반 10 / 기타(연령구분 없음) 62</t>
        </is>
      </c>
    </row>
    <row r="685">
      <c r="A685" s="5" t="inlineStr">
        <is>
          <t>글로벌어린이집</t>
        </is>
      </c>
      <c r="B685" s="5" t="inlineStr">
        <is>
          <t>어린이집</t>
        </is>
      </c>
      <c r="C685" s="5" t="inlineStr">
        <is>
          <t>민간</t>
        </is>
      </c>
      <c r="D685" s="5" t="inlineStr">
        <is>
          <t>남구</t>
        </is>
      </c>
      <c r="E685" s="5" t="inlineStr">
        <is>
          <t>부산광역시 남구 용호로 34 글로벌어린이집 (용호동)</t>
        </is>
      </c>
      <c r="F685" s="5" t="inlineStr"/>
      <c r="G685" s="5" t="inlineStr">
        <is>
          <t>051-628-3900</t>
        </is>
      </c>
      <c r="H685" s="12">
        <f>어린이집!T306</f>
        <v/>
      </c>
      <c r="I685" s="5" t="inlineStr">
        <is>
          <t>만0세 5 / 만1세 15 / 만2세 5 / 영아혼합반 2 / 유아혼합반 12 / 장애아반(특수) 6 / 기타(연령구분 없음) 5</t>
        </is>
      </c>
    </row>
    <row r="686">
      <c r="A686" s="5" t="inlineStr">
        <is>
          <t>글로벌창의어린이집</t>
        </is>
      </c>
      <c r="B686" s="5" t="inlineStr">
        <is>
          <t>어린이집</t>
        </is>
      </c>
      <c r="C686" s="5" t="inlineStr">
        <is>
          <t>민간</t>
        </is>
      </c>
      <c r="D686" s="5" t="inlineStr">
        <is>
          <t>남구</t>
        </is>
      </c>
      <c r="E686" s="5" t="inlineStr">
        <is>
          <t>부산광역시 남구 오륙도로 85 관리동 내</t>
        </is>
      </c>
      <c r="F686" s="5" t="inlineStr"/>
      <c r="G686" s="5" t="inlineStr">
        <is>
          <t>051-611-7560</t>
        </is>
      </c>
      <c r="H686" s="12">
        <f>어린이집!T307</f>
        <v/>
      </c>
      <c r="I686" s="5" t="inlineStr">
        <is>
          <t>만1세 10 / 만2세 7 / 기타(연령구분 없음) 5</t>
        </is>
      </c>
    </row>
    <row r="687">
      <c r="A687" s="5" t="inlineStr">
        <is>
          <t>꼬모어린이집</t>
        </is>
      </c>
      <c r="B687" s="5" t="inlineStr">
        <is>
          <t>어린이집</t>
        </is>
      </c>
      <c r="C687" s="5" t="inlineStr">
        <is>
          <t>가정</t>
        </is>
      </c>
      <c r="D687" s="5" t="inlineStr">
        <is>
          <t>남구</t>
        </is>
      </c>
      <c r="E687" s="5" t="inlineStr">
        <is>
          <t>부산광역시 남구 수영로196번길 45-1</t>
        </is>
      </c>
      <c r="F687" s="5" t="inlineStr"/>
      <c r="G687" s="5" t="inlineStr">
        <is>
          <t>051-643-8036</t>
        </is>
      </c>
      <c r="H687" s="12">
        <f>어린이집!T308</f>
        <v/>
      </c>
      <c r="I687" s="5" t="inlineStr"/>
    </row>
    <row r="688">
      <c r="A688" s="5" t="inlineStr">
        <is>
          <t>꿈샘어린이집</t>
        </is>
      </c>
      <c r="B688" s="5" t="inlineStr">
        <is>
          <t>어린이집</t>
        </is>
      </c>
      <c r="C688" s="5" t="inlineStr">
        <is>
          <t>협동</t>
        </is>
      </c>
      <c r="D688" s="5" t="inlineStr">
        <is>
          <t>남구</t>
        </is>
      </c>
      <c r="E688" s="5" t="inlineStr">
        <is>
          <t>부산광역시 남구 동명로163번길 33 (용호동)</t>
        </is>
      </c>
      <c r="F688" s="11" t="inlineStr">
        <is>
          <t>http://cafe.naver.com/dreamspring2014</t>
        </is>
      </c>
      <c r="G688" s="5" t="inlineStr">
        <is>
          <t>070-4257-1402</t>
        </is>
      </c>
      <c r="H688" s="12">
        <f>어린이집!T309</f>
        <v/>
      </c>
      <c r="I688" s="5" t="inlineStr">
        <is>
          <t>만2세 4 / 영아혼합반 3 / 유아혼합반 8 / 기타(연령구분 없음) 4</t>
        </is>
      </c>
    </row>
    <row r="689">
      <c r="A689" s="5" t="inlineStr">
        <is>
          <t>늘 푸른어린이집</t>
        </is>
      </c>
      <c r="B689" s="5" t="inlineStr">
        <is>
          <t>어린이집</t>
        </is>
      </c>
      <c r="C689" s="5" t="inlineStr">
        <is>
          <t>가정</t>
        </is>
      </c>
      <c r="D689" s="5" t="inlineStr">
        <is>
          <t>남구</t>
        </is>
      </c>
      <c r="E689" s="5" t="inlineStr">
        <is>
          <t>부산광역시 남구 분포로 111 101동 103호(용호동, 엘지메트로시티)</t>
        </is>
      </c>
      <c r="F689" s="5" t="inlineStr"/>
      <c r="G689" s="5" t="inlineStr">
        <is>
          <t>051-627-2230</t>
        </is>
      </c>
      <c r="H689" s="12">
        <f>어린이집!T310</f>
        <v/>
      </c>
      <c r="I689" s="5" t="inlineStr">
        <is>
          <t>만0세 4 / 만1세 7 / 만2세 7 / 기타(연령구분 없음) 6</t>
        </is>
      </c>
    </row>
    <row r="690">
      <c r="A690" s="5" t="inlineStr">
        <is>
          <t>다온어린이집</t>
        </is>
      </c>
      <c r="B690" s="5" t="inlineStr">
        <is>
          <t>어린이집</t>
        </is>
      </c>
      <c r="C690" s="5" t="inlineStr">
        <is>
          <t>가정</t>
        </is>
      </c>
      <c r="D690" s="5" t="inlineStr">
        <is>
          <t>남구</t>
        </is>
      </c>
      <c r="E690" s="5" t="inlineStr">
        <is>
          <t>부산광역시 남구 석포로127번길 1-5</t>
        </is>
      </c>
      <c r="F690" s="5" t="inlineStr"/>
      <c r="G690" s="5" t="inlineStr">
        <is>
          <t>051-627-2004</t>
        </is>
      </c>
      <c r="H690" s="12">
        <f>어린이집!T311</f>
        <v/>
      </c>
      <c r="I690" s="5" t="inlineStr">
        <is>
          <t>영아혼합반 2 / 기타(연령구분 없음) 2</t>
        </is>
      </c>
    </row>
    <row r="691">
      <c r="A691" s="5" t="inlineStr">
        <is>
          <t>다원어린이집</t>
        </is>
      </c>
      <c r="B691" s="5" t="inlineStr">
        <is>
          <t>어린이집</t>
        </is>
      </c>
      <c r="C691" s="5" t="inlineStr">
        <is>
          <t>가정</t>
        </is>
      </c>
      <c r="D691" s="5" t="inlineStr">
        <is>
          <t>남구</t>
        </is>
      </c>
      <c r="E691" s="5" t="inlineStr">
        <is>
          <t>부산광역시 남구 황령대로319번가길 142 104동 102호(대연동,삼익그린타운)</t>
        </is>
      </c>
      <c r="F691" s="5" t="inlineStr"/>
      <c r="G691" s="5" t="inlineStr">
        <is>
          <t>051-635-4101</t>
        </is>
      </c>
      <c r="H691" s="12">
        <f>어린이집!T312</f>
        <v/>
      </c>
      <c r="I691" s="5" t="inlineStr">
        <is>
          <t>만0세 2 / 만1세 3 / 영아혼합반 2 / 기타(연령구분 없음) 3</t>
        </is>
      </c>
    </row>
    <row r="692">
      <c r="A692" s="5" t="inlineStr">
        <is>
          <t>대남어린이집</t>
        </is>
      </c>
      <c r="B692" s="5" t="inlineStr">
        <is>
          <t>어린이집</t>
        </is>
      </c>
      <c r="C692" s="5" t="inlineStr">
        <is>
          <t>민간</t>
        </is>
      </c>
      <c r="D692" s="5" t="inlineStr">
        <is>
          <t>남구</t>
        </is>
      </c>
      <c r="E692" s="5" t="inlineStr">
        <is>
          <t>부산광역시 남구 유엔로183번길 30</t>
        </is>
      </c>
      <c r="F692" s="5" t="inlineStr"/>
      <c r="G692" s="5" t="inlineStr">
        <is>
          <t>051-628-1123</t>
        </is>
      </c>
      <c r="H692" s="12">
        <f>어린이집!T313</f>
        <v/>
      </c>
      <c r="I692" s="5" t="inlineStr">
        <is>
          <t>만0세 8 / 만1세 20 / 만2세 21 / 기타(연령구분 없음) 10</t>
        </is>
      </c>
    </row>
    <row r="693">
      <c r="A693" s="5" t="inlineStr">
        <is>
          <t>대연양우내안애어린이집</t>
        </is>
      </c>
      <c r="B693" s="5" t="inlineStr">
        <is>
          <t>어린이집</t>
        </is>
      </c>
      <c r="C693" s="5" t="inlineStr">
        <is>
          <t>국공립</t>
        </is>
      </c>
      <c r="D693" s="5" t="inlineStr">
        <is>
          <t>남구</t>
        </is>
      </c>
      <c r="E693" s="5" t="inlineStr">
        <is>
          <t>부산광역시 남구 수영로 117 대연양우내안애퍼스트</t>
        </is>
      </c>
      <c r="F693" s="5" t="inlineStr"/>
      <c r="G693" s="5" t="inlineStr">
        <is>
          <t>051-646-7979</t>
        </is>
      </c>
      <c r="H693" s="12">
        <f>어린이집!T314</f>
        <v/>
      </c>
      <c r="I693" s="5" t="inlineStr">
        <is>
          <t>만0세 5 / 만1세 8 / 만2세 11 / 기타(연령구분 없음) 5</t>
        </is>
      </c>
    </row>
    <row r="694">
      <c r="A694" s="5" t="inlineStr">
        <is>
          <t>대연어린이집</t>
        </is>
      </c>
      <c r="B694" s="5" t="inlineStr">
        <is>
          <t>어린이집</t>
        </is>
      </c>
      <c r="C694" s="5" t="inlineStr">
        <is>
          <t>국공립</t>
        </is>
      </c>
      <c r="D694" s="5" t="inlineStr">
        <is>
          <t>남구</t>
        </is>
      </c>
      <c r="E694" s="5" t="inlineStr">
        <is>
          <t>부산광역시 남구 홍곡로 309</t>
        </is>
      </c>
      <c r="F694" s="5" t="inlineStr"/>
      <c r="G694" s="5" t="inlineStr">
        <is>
          <t>051-624-5076</t>
        </is>
      </c>
      <c r="H694" s="12">
        <f>어린이집!T315</f>
        <v/>
      </c>
      <c r="I694" s="5" t="inlineStr">
        <is>
          <t>만1세 20 / 만2세 21 / 만3세 16 / 만4세 21 / 만5세 17 / 기타(연령구분 없음) 28</t>
        </is>
      </c>
    </row>
    <row r="695">
      <c r="A695" s="5" t="inlineStr">
        <is>
          <t>대연파크어린이집</t>
        </is>
      </c>
      <c r="B695" s="5" t="inlineStr">
        <is>
          <t>어린이집</t>
        </is>
      </c>
      <c r="C695" s="5" t="inlineStr">
        <is>
          <t>가정</t>
        </is>
      </c>
      <c r="D695" s="5" t="inlineStr">
        <is>
          <t>남구</t>
        </is>
      </c>
      <c r="E695" s="5" t="inlineStr">
        <is>
          <t>부산광역시 남구 홍곡로 360 106동 104호(대연동, 대연파크푸르지오)</t>
        </is>
      </c>
      <c r="F695" s="5" t="inlineStr"/>
      <c r="G695" s="5" t="inlineStr">
        <is>
          <t>051-622-4072</t>
        </is>
      </c>
      <c r="H695" s="12">
        <f>어린이집!T316</f>
        <v/>
      </c>
      <c r="I695" s="5" t="inlineStr">
        <is>
          <t>만0세 3 / 만1세 5 / 영아혼합반 4 / 기타(연령구분 없음) 3</t>
        </is>
      </c>
    </row>
    <row r="696">
      <c r="A696" s="5" t="inlineStr">
        <is>
          <t>대연혁신도담어린이집</t>
        </is>
      </c>
      <c r="B696" s="5" t="inlineStr">
        <is>
          <t>어린이집</t>
        </is>
      </c>
      <c r="C696" s="5" t="inlineStr">
        <is>
          <t>가정</t>
        </is>
      </c>
      <c r="D696" s="5" t="inlineStr">
        <is>
          <t>남구</t>
        </is>
      </c>
      <c r="E696" s="5" t="inlineStr">
        <is>
          <t>부산광역시 남구 수영로 345 대연힐스테이트푸르지오112동104호</t>
        </is>
      </c>
      <c r="F696" s="5" t="inlineStr"/>
      <c r="G696" s="5" t="inlineStr">
        <is>
          <t>051-622-1616</t>
        </is>
      </c>
      <c r="H696" s="12">
        <f>어린이집!T317</f>
        <v/>
      </c>
      <c r="I696" s="5" t="inlineStr">
        <is>
          <t>만0세 4 / 만1세 9 / 만2세 7 / 기타(연령구분 없음) 8</t>
        </is>
      </c>
    </row>
    <row r="697">
      <c r="A697" s="5" t="inlineStr">
        <is>
          <t>대연혁신리더어린이집</t>
        </is>
      </c>
      <c r="B697" s="5" t="inlineStr">
        <is>
          <t>어린이집</t>
        </is>
      </c>
      <c r="C697" s="5" t="inlineStr">
        <is>
          <t>민간</t>
        </is>
      </c>
      <c r="D697" s="5" t="inlineStr">
        <is>
          <t>남구</t>
        </is>
      </c>
      <c r="E697" s="5" t="inlineStr">
        <is>
          <t>부산광역시 남구 수영로 345 대연혁신힐스테이트 푸르지오 아파트 관리동</t>
        </is>
      </c>
      <c r="F697" s="5" t="inlineStr"/>
      <c r="G697" s="5" t="inlineStr">
        <is>
          <t>051-951-1004</t>
        </is>
      </c>
      <c r="H697" s="12">
        <f>어린이집!T318</f>
        <v/>
      </c>
      <c r="I697" s="5" t="inlineStr">
        <is>
          <t>만0세 6 / 만1세 20 / 만2세 28 / 기타(연령구분 없음) 5</t>
        </is>
      </c>
    </row>
    <row r="698">
      <c r="A698" s="5" t="inlineStr">
        <is>
          <t>동국씨엠부산어린이집</t>
        </is>
      </c>
      <c r="B698" s="5" t="inlineStr">
        <is>
          <t>어린이집</t>
        </is>
      </c>
      <c r="C698" s="5" t="inlineStr">
        <is>
          <t>직장</t>
        </is>
      </c>
      <c r="D698" s="5" t="inlineStr">
        <is>
          <t>남구</t>
        </is>
      </c>
      <c r="E698" s="5" t="inlineStr">
        <is>
          <t>부산광역시 남구 분포로 113 231동 101호</t>
        </is>
      </c>
      <c r="F698" s="5" t="inlineStr"/>
      <c r="G698" s="5" t="inlineStr">
        <is>
          <t>051-622-2017</t>
        </is>
      </c>
      <c r="H698" s="12">
        <f>어린이집!T319</f>
        <v/>
      </c>
      <c r="I698" s="5" t="inlineStr">
        <is>
          <t>만0세 3 / 만3세 1 / 영아혼합반 5 / 기타(연령구분 없음) 5</t>
        </is>
      </c>
    </row>
    <row r="699">
      <c r="A699" s="5" t="inlineStr">
        <is>
          <t>동원어린이집</t>
        </is>
      </c>
      <c r="B699" s="5" t="inlineStr">
        <is>
          <t>어린이집</t>
        </is>
      </c>
      <c r="C699" s="5" t="inlineStr">
        <is>
          <t>가정</t>
        </is>
      </c>
      <c r="D699" s="5" t="inlineStr">
        <is>
          <t>남구</t>
        </is>
      </c>
      <c r="E699" s="5" t="inlineStr">
        <is>
          <t>부산광역시 남구 못골로41번길 13 201동 101호(대연동, 동원로얄듀크)</t>
        </is>
      </c>
      <c r="F699" s="11" t="inlineStr">
        <is>
          <t>http://icecoffee10@naver.com</t>
        </is>
      </c>
      <c r="G699" s="5" t="inlineStr">
        <is>
          <t>051-643-2267</t>
        </is>
      </c>
      <c r="H699" s="12">
        <f>어린이집!T320</f>
        <v/>
      </c>
      <c r="I699" s="5" t="inlineStr">
        <is>
          <t>만0세 6 / 만1세 5 / 만2세 4 / 기타(연령구분 없음) 3</t>
        </is>
      </c>
    </row>
    <row r="700">
      <c r="A700" s="5" t="inlineStr">
        <is>
          <t>동화나라어린이집</t>
        </is>
      </c>
      <c r="B700" s="5" t="inlineStr">
        <is>
          <t>어린이집</t>
        </is>
      </c>
      <c r="C700" s="5" t="inlineStr">
        <is>
          <t>가정</t>
        </is>
      </c>
      <c r="D700" s="5" t="inlineStr">
        <is>
          <t>남구</t>
        </is>
      </c>
      <c r="E700" s="5" t="inlineStr">
        <is>
          <t>부산광역시 남구 동명로164번길 106-6 8통2반 (용호동)</t>
        </is>
      </c>
      <c r="F700" s="5" t="inlineStr"/>
      <c r="G700" s="5" t="inlineStr">
        <is>
          <t>051-622-7320</t>
        </is>
      </c>
      <c r="H700" s="12">
        <f>어린이집!T321</f>
        <v/>
      </c>
      <c r="I700" s="5" t="inlineStr">
        <is>
          <t>기타(연령구분 없음) 4</t>
        </is>
      </c>
    </row>
    <row r="701">
      <c r="A701" s="5" t="inlineStr">
        <is>
          <t>레전드캐슬어린이집</t>
        </is>
      </c>
      <c r="B701" s="5" t="inlineStr">
        <is>
          <t>어린이집</t>
        </is>
      </c>
      <c r="C701" s="5" t="inlineStr">
        <is>
          <t>민간</t>
        </is>
      </c>
      <c r="D701" s="5" t="inlineStr">
        <is>
          <t>남구</t>
        </is>
      </c>
      <c r="E701" s="5" t="inlineStr">
        <is>
          <t>부산광역시 남구 수영로 135 (대연동)</t>
        </is>
      </c>
      <c r="F701" s="11" t="inlineStr">
        <is>
          <t>http://mp.blueweb.co.kr/sunju6166/</t>
        </is>
      </c>
      <c r="G701" s="5" t="inlineStr">
        <is>
          <t>051-632-3353</t>
        </is>
      </c>
      <c r="H701" s="12">
        <f>어린이집!T322</f>
        <v/>
      </c>
      <c r="I701" s="5" t="inlineStr">
        <is>
          <t>만0세 5 / 만1세 10 / 만2세 11 / 기타(연령구분 없음) 8</t>
        </is>
      </c>
    </row>
    <row r="702">
      <c r="A702" s="5" t="inlineStr">
        <is>
          <t>레전드포레어린이집</t>
        </is>
      </c>
      <c r="B702" s="5" t="inlineStr">
        <is>
          <t>어린이집</t>
        </is>
      </c>
      <c r="C702" s="5" t="inlineStr">
        <is>
          <t>민간</t>
        </is>
      </c>
      <c r="D702" s="5" t="inlineStr">
        <is>
          <t>남구</t>
        </is>
      </c>
      <c r="E702" s="5" t="inlineStr">
        <is>
          <t>부산광역시 남구 수영로 135 대연롯데캐슬레전드 아파트관리동</t>
        </is>
      </c>
      <c r="F702" s="5" t="inlineStr"/>
      <c r="G702" s="5" t="inlineStr">
        <is>
          <t>051-715-4700</t>
        </is>
      </c>
      <c r="H702" s="12">
        <f>어린이집!T323</f>
        <v/>
      </c>
      <c r="I702" s="5" t="inlineStr">
        <is>
          <t>만0세 6 / 만1세 30 / 만2세 29 / 기타(연령구분 없음) 10</t>
        </is>
      </c>
    </row>
    <row r="703">
      <c r="A703" s="5" t="inlineStr">
        <is>
          <t>롯데아이숲어린이집</t>
        </is>
      </c>
      <c r="B703" s="5" t="inlineStr">
        <is>
          <t>어린이집</t>
        </is>
      </c>
      <c r="C703" s="5" t="inlineStr">
        <is>
          <t>민간</t>
        </is>
      </c>
      <c r="D703" s="5" t="inlineStr">
        <is>
          <t>남구</t>
        </is>
      </c>
      <c r="E703" s="5" t="inlineStr">
        <is>
          <t>부산광역시 남구 수영로325번길 61 (대연동, 대연롯데캐슬)</t>
        </is>
      </c>
      <c r="F703" s="5" t="inlineStr"/>
      <c r="G703" s="5" t="inlineStr">
        <is>
          <t>051-937-2004</t>
        </is>
      </c>
      <c r="H703" s="12">
        <f>어린이집!T324</f>
        <v/>
      </c>
      <c r="I703" s="5" t="inlineStr">
        <is>
          <t>만0세 7 / 만1세 10 / 만2세 7 / 영아혼합반 5 / 기타(연령구분 없음) 5</t>
        </is>
      </c>
    </row>
    <row r="704">
      <c r="A704" s="5" t="inlineStr">
        <is>
          <t>리틀조이어린이집</t>
        </is>
      </c>
      <c r="B704" s="5" t="inlineStr">
        <is>
          <t>어린이집</t>
        </is>
      </c>
      <c r="C704" s="5" t="inlineStr">
        <is>
          <t>가정</t>
        </is>
      </c>
      <c r="D704" s="5" t="inlineStr">
        <is>
          <t>남구</t>
        </is>
      </c>
      <c r="E704" s="5" t="inlineStr">
        <is>
          <t>부산광역시 남구 분포로 111 132동 104호(용호동, 엘지메트로시티)</t>
        </is>
      </c>
      <c r="F704" s="5" t="inlineStr"/>
      <c r="G704" s="5" t="inlineStr">
        <is>
          <t>051-611-5598</t>
        </is>
      </c>
      <c r="H704" s="12">
        <f>어린이집!T325</f>
        <v/>
      </c>
      <c r="I704" s="5" t="inlineStr">
        <is>
          <t>만0세 3 / 만1세 8 / 만2세 7 / 기타(연령구분 없음) 4</t>
        </is>
      </c>
    </row>
    <row r="705">
      <c r="A705" s="5" t="inlineStr">
        <is>
          <t>메트로미래어린이집</t>
        </is>
      </c>
      <c r="B705" s="5" t="inlineStr">
        <is>
          <t>어린이집</t>
        </is>
      </c>
      <c r="C705" s="5" t="inlineStr">
        <is>
          <t>민간</t>
        </is>
      </c>
      <c r="D705" s="5" t="inlineStr">
        <is>
          <t>남구</t>
        </is>
      </c>
      <c r="E705" s="5" t="inlineStr">
        <is>
          <t>부산광역시 남구 분포로 113 LG메트로시티 2차 관리동 2층 (용호동)</t>
        </is>
      </c>
      <c r="F705" s="5" t="inlineStr"/>
      <c r="G705" s="5" t="inlineStr">
        <is>
          <t>051-625-1713</t>
        </is>
      </c>
      <c r="H705" s="12">
        <f>어린이집!T326</f>
        <v/>
      </c>
      <c r="I705" s="5" t="inlineStr">
        <is>
          <t>만0세 13 / 만1세 14 / 만2세 14 / 기타(연령구분 없음) 5</t>
        </is>
      </c>
    </row>
    <row r="706">
      <c r="A706" s="5" t="inlineStr">
        <is>
          <t>문일어린이집</t>
        </is>
      </c>
      <c r="B706" s="5" t="inlineStr">
        <is>
          <t>어린이집</t>
        </is>
      </c>
      <c r="C706" s="5" t="inlineStr">
        <is>
          <t>민간</t>
        </is>
      </c>
      <c r="D706" s="5" t="inlineStr">
        <is>
          <t>남구</t>
        </is>
      </c>
      <c r="E706" s="5" t="inlineStr">
        <is>
          <t>부산광역시 남구 수영로39번길 63 (문현동)</t>
        </is>
      </c>
      <c r="F706" s="5" t="inlineStr"/>
      <c r="G706" s="5" t="inlineStr">
        <is>
          <t>051-646-1118</t>
        </is>
      </c>
      <c r="H706" s="12">
        <f>어린이집!T327</f>
        <v/>
      </c>
      <c r="I706" s="5" t="inlineStr">
        <is>
          <t>만0세 9 / 만1세 5 / 만2세 7 / 영아혼합반 8 / 기타(연령구분 없음) 5</t>
        </is>
      </c>
    </row>
    <row r="707">
      <c r="A707" s="5" t="inlineStr">
        <is>
          <t>문현베스티움어린이집</t>
        </is>
      </c>
      <c r="B707" s="5" t="inlineStr">
        <is>
          <t>어린이집</t>
        </is>
      </c>
      <c r="C707" s="5" t="inlineStr">
        <is>
          <t>국공립</t>
        </is>
      </c>
      <c r="D707" s="5" t="inlineStr">
        <is>
          <t>남구</t>
        </is>
      </c>
      <c r="E707" s="5" t="inlineStr">
        <is>
          <t>부산광역시 남구 고동골로 29 105동(문현동, 문현베스티움아파트)</t>
        </is>
      </c>
      <c r="F707" s="5" t="inlineStr"/>
      <c r="G707" s="5" t="inlineStr">
        <is>
          <t>051-710-3020</t>
        </is>
      </c>
      <c r="H707" s="12">
        <f>어린이집!T328</f>
        <v/>
      </c>
      <c r="I707" s="5" t="inlineStr">
        <is>
          <t>만0세 6 / 만1세 10 / 만2세 14 / 기타(연령구분 없음) 5</t>
        </is>
      </c>
    </row>
    <row r="708">
      <c r="A708" s="5" t="inlineStr">
        <is>
          <t>민들레어린이집</t>
        </is>
      </c>
      <c r="B708" s="5" t="inlineStr">
        <is>
          <t>어린이집</t>
        </is>
      </c>
      <c r="C708" s="5" t="inlineStr">
        <is>
          <t>가정</t>
        </is>
      </c>
      <c r="D708" s="5" t="inlineStr">
        <is>
          <t>남구</t>
        </is>
      </c>
      <c r="E708" s="5" t="inlineStr">
        <is>
          <t>부산광역시 남구 유엔평화로13번길 61 101호 (대연동, 장산파크빌)</t>
        </is>
      </c>
      <c r="F708" s="11" t="inlineStr">
        <is>
          <t>http://chy41183@naver.com</t>
        </is>
      </c>
      <c r="G708" s="5" t="inlineStr">
        <is>
          <t>051-625-3332</t>
        </is>
      </c>
      <c r="H708" s="12">
        <f>어린이집!T329</f>
        <v/>
      </c>
      <c r="I708" s="5" t="inlineStr">
        <is>
          <t>만1세 3 / 만2세 5 / 영아혼합반 7 / 기타(연령구분 없음) 5</t>
        </is>
      </c>
    </row>
    <row r="709">
      <c r="A709" s="5" t="inlineStr">
        <is>
          <t>바다숲어린이집</t>
        </is>
      </c>
      <c r="B709" s="5" t="inlineStr">
        <is>
          <t>어린이집</t>
        </is>
      </c>
      <c r="C709" s="5" t="inlineStr">
        <is>
          <t>가정</t>
        </is>
      </c>
      <c r="D709" s="5" t="inlineStr">
        <is>
          <t>남구</t>
        </is>
      </c>
      <c r="E709" s="5" t="inlineStr">
        <is>
          <t>부산광역시 남구 황령대로319번가길 189 201동109호(대연동,대우그린2차아파트)</t>
        </is>
      </c>
      <c r="F709" s="5" t="inlineStr"/>
      <c r="G709" s="5" t="inlineStr">
        <is>
          <t>051-951-5232</t>
        </is>
      </c>
      <c r="H709" s="12">
        <f>어린이집!T330</f>
        <v/>
      </c>
      <c r="I709" s="5" t="inlineStr">
        <is>
          <t>영아혼합반 1</t>
        </is>
      </c>
    </row>
    <row r="710">
      <c r="A710" s="5" t="inlineStr">
        <is>
          <t>별마루어린이집</t>
        </is>
      </c>
      <c r="B710" s="5" t="inlineStr">
        <is>
          <t>어린이집</t>
        </is>
      </c>
      <c r="C710" s="5" t="inlineStr">
        <is>
          <t>가정</t>
        </is>
      </c>
      <c r="D710" s="5" t="inlineStr">
        <is>
          <t>남구</t>
        </is>
      </c>
      <c r="E710" s="5" t="inlineStr">
        <is>
          <t>부산광역시 남구 천제등로 39-1 102호(대연동, 강촌하이츠빌라)</t>
        </is>
      </c>
      <c r="F710" s="5" t="inlineStr"/>
      <c r="G710" s="5" t="inlineStr">
        <is>
          <t>051-911-1079</t>
        </is>
      </c>
      <c r="H710" s="12">
        <f>어린이집!T331</f>
        <v/>
      </c>
      <c r="I710" s="5" t="inlineStr">
        <is>
          <t>영아혼합반 7 / 기타(연령구분 없음) 3</t>
        </is>
      </c>
    </row>
    <row r="711">
      <c r="A711" s="5" t="inlineStr">
        <is>
          <t>부산성모병원어린이집</t>
        </is>
      </c>
      <c r="B711" s="5" t="inlineStr">
        <is>
          <t>어린이집</t>
        </is>
      </c>
      <c r="C711" s="5" t="inlineStr">
        <is>
          <t>직장</t>
        </is>
      </c>
      <c r="D711" s="5" t="inlineStr">
        <is>
          <t>남구</t>
        </is>
      </c>
      <c r="E711" s="5" t="inlineStr">
        <is>
          <t>부산광역시 남구 용호로232번길 25-14 (용호동)</t>
        </is>
      </c>
      <c r="F711" s="5" t="inlineStr"/>
      <c r="G711" s="5" t="inlineStr">
        <is>
          <t>051-627-7787</t>
        </is>
      </c>
      <c r="H711" s="12">
        <f>어린이집!T332</f>
        <v/>
      </c>
      <c r="I711" s="5" t="inlineStr">
        <is>
          <t>만0세 2 / 만1세 5 / 영아혼합반 4 / 기타(연령구분 없음) 11</t>
        </is>
      </c>
    </row>
    <row r="712">
      <c r="A712" s="5" t="inlineStr">
        <is>
          <t>부산자유발도르프어린이집</t>
        </is>
      </c>
      <c r="B712" s="5" t="inlineStr">
        <is>
          <t>어린이집</t>
        </is>
      </c>
      <c r="C712" s="5" t="inlineStr">
        <is>
          <t>협동</t>
        </is>
      </c>
      <c r="D712" s="5" t="inlineStr">
        <is>
          <t>남구</t>
        </is>
      </c>
      <c r="E712" s="5" t="inlineStr">
        <is>
          <t>부산광역시 남구 유엔평화로70번길 28</t>
        </is>
      </c>
      <c r="F712" s="5" t="inlineStr"/>
      <c r="G712" s="5" t="inlineStr">
        <is>
          <t>051-627-0424</t>
        </is>
      </c>
      <c r="H712" s="12">
        <f>어린이집!T333</f>
        <v/>
      </c>
      <c r="I712" s="5" t="inlineStr">
        <is>
          <t>만1세 2 / 만2세 6 / 유아혼합반 8</t>
        </is>
      </c>
    </row>
    <row r="713">
      <c r="A713" s="5" t="inlineStr">
        <is>
          <t>산새소리어린이집</t>
        </is>
      </c>
      <c r="B713" s="5" t="inlineStr">
        <is>
          <t>어린이집</t>
        </is>
      </c>
      <c r="C713" s="5" t="inlineStr">
        <is>
          <t>가정</t>
        </is>
      </c>
      <c r="D713" s="5" t="inlineStr">
        <is>
          <t>남구</t>
        </is>
      </c>
      <c r="E713" s="5" t="inlineStr">
        <is>
          <t>부산광역시 남구 수영로 345 111동 101호(대연동, 대연힐스테이트푸르지오)</t>
        </is>
      </c>
      <c r="F713" s="5" t="inlineStr"/>
      <c r="G713" s="5" t="inlineStr">
        <is>
          <t>051-988-3352</t>
        </is>
      </c>
      <c r="H713" s="12">
        <f>어린이집!T334</f>
        <v/>
      </c>
      <c r="I713" s="5" t="inlineStr">
        <is>
          <t>만0세 3 / 만1세 5 / 만2세 7 / 영아혼합반 5 / 기타(연령구분 없음) 7</t>
        </is>
      </c>
    </row>
    <row r="714">
      <c r="A714" s="5" t="inlineStr">
        <is>
          <t>송림어린이집</t>
        </is>
      </c>
      <c r="B714" s="5" t="inlineStr">
        <is>
          <t>어린이집</t>
        </is>
      </c>
      <c r="C714" s="5" t="inlineStr">
        <is>
          <t>가정</t>
        </is>
      </c>
      <c r="D714" s="5" t="inlineStr">
        <is>
          <t>남구</t>
        </is>
      </c>
      <c r="E714" s="5" t="inlineStr">
        <is>
          <t>부산광역시 남구 동명로170번길 41-1 (용호동)</t>
        </is>
      </c>
      <c r="F714" s="11" t="inlineStr">
        <is>
          <t>http://songlim0363.net</t>
        </is>
      </c>
      <c r="G714" s="5" t="inlineStr">
        <is>
          <t>051-624-7315</t>
        </is>
      </c>
      <c r="H714" s="12">
        <f>어린이집!T335</f>
        <v/>
      </c>
      <c r="I714" s="5" t="inlineStr">
        <is>
          <t>영아혼합반 5 / 기타(연령구분 없음) 3</t>
        </is>
      </c>
    </row>
    <row r="715">
      <c r="A715" s="5" t="inlineStr">
        <is>
          <t>아기별어린이집</t>
        </is>
      </c>
      <c r="B715" s="5" t="inlineStr">
        <is>
          <t>어린이집</t>
        </is>
      </c>
      <c r="C715" s="5" t="inlineStr">
        <is>
          <t>가정</t>
        </is>
      </c>
      <c r="D715" s="5" t="inlineStr">
        <is>
          <t>남구</t>
        </is>
      </c>
      <c r="E715" s="5" t="inlineStr">
        <is>
          <t>부산광역시 남구 유엔로 66 101동 101호 (우암동, 대승하이아트)</t>
        </is>
      </c>
      <c r="F715" s="5" t="inlineStr"/>
      <c r="G715" s="5" t="inlineStr">
        <is>
          <t>051-626-9004</t>
        </is>
      </c>
      <c r="H715" s="12">
        <f>어린이집!T336</f>
        <v/>
      </c>
      <c r="I715" s="5" t="inlineStr">
        <is>
          <t>만0세 2 / 영아혼합반 8 / 기타(연령구분 없음) 15</t>
        </is>
      </c>
    </row>
    <row r="716">
      <c r="A716" s="5" t="inlineStr">
        <is>
          <t>아띠어린이집</t>
        </is>
      </c>
      <c r="B716" s="5" t="inlineStr">
        <is>
          <t>어린이집</t>
        </is>
      </c>
      <c r="C716" s="5" t="inlineStr">
        <is>
          <t>민간</t>
        </is>
      </c>
      <c r="D716" s="5" t="inlineStr">
        <is>
          <t>남구</t>
        </is>
      </c>
      <c r="E716" s="5" t="inlineStr">
        <is>
          <t>부산광역시 남구 석포로127번길 97 (대연동)</t>
        </is>
      </c>
      <c r="F716" s="11" t="inlineStr">
        <is>
          <t>http://www.addy.kr</t>
        </is>
      </c>
      <c r="G716" s="5" t="inlineStr">
        <is>
          <t>051-625-9309</t>
        </is>
      </c>
      <c r="H716" s="12">
        <f>어린이집!T337</f>
        <v/>
      </c>
      <c r="I716" s="5" t="inlineStr">
        <is>
          <t>장애아반(특수) 25</t>
        </is>
      </c>
    </row>
    <row r="717">
      <c r="A717" s="5" t="inlineStr">
        <is>
          <t>아이뜰어린이집</t>
        </is>
      </c>
      <c r="B717" s="5" t="inlineStr">
        <is>
          <t>어린이집</t>
        </is>
      </c>
      <c r="C717" s="5" t="inlineStr">
        <is>
          <t>사회복지법인</t>
        </is>
      </c>
      <c r="D717" s="5" t="inlineStr">
        <is>
          <t>남구</t>
        </is>
      </c>
      <c r="E717" s="5" t="inlineStr">
        <is>
          <t>부산광역시 남구 용호로160번길 29-4</t>
        </is>
      </c>
      <c r="F717" s="5" t="inlineStr"/>
      <c r="G717" s="5" t="inlineStr">
        <is>
          <t>051-624-0685</t>
        </is>
      </c>
      <c r="H717" s="12">
        <f>어린이집!T338</f>
        <v/>
      </c>
      <c r="I717" s="5" t="inlineStr">
        <is>
          <t>만1세 23 / 만2세 19 / 만3세 9 / 영아혼합반 2 / 기타(연령구분 없음) 10</t>
        </is>
      </c>
    </row>
    <row r="718">
      <c r="A718" s="5" t="inlineStr">
        <is>
          <t>아이봄어린이집</t>
        </is>
      </c>
      <c r="B718" s="5" t="inlineStr">
        <is>
          <t>어린이집</t>
        </is>
      </c>
      <c r="C718" s="5" t="inlineStr">
        <is>
          <t>가정</t>
        </is>
      </c>
      <c r="D718" s="5" t="inlineStr">
        <is>
          <t>남구</t>
        </is>
      </c>
      <c r="E718" s="5" t="inlineStr">
        <is>
          <t>부산광역시 남구 수영로 345 101동 106호(대연동, 대연힐스테이트푸르지오)</t>
        </is>
      </c>
      <c r="F718" s="5" t="inlineStr"/>
      <c r="G718" s="5" t="inlineStr">
        <is>
          <t>051-947-1236</t>
        </is>
      </c>
      <c r="H718" s="12">
        <f>어린이집!T339</f>
        <v/>
      </c>
      <c r="I718" s="5" t="inlineStr">
        <is>
          <t>만0세 5 / 만1세 4 / 영아혼합반 4 / 기타(연령구분 없음) 2</t>
        </is>
      </c>
    </row>
    <row r="719">
      <c r="A719" s="5" t="inlineStr">
        <is>
          <t>아이사랑어린이집</t>
        </is>
      </c>
      <c r="B719" s="5" t="inlineStr">
        <is>
          <t>어린이집</t>
        </is>
      </c>
      <c r="C719" s="5" t="inlineStr">
        <is>
          <t>가정</t>
        </is>
      </c>
      <c r="D719" s="5" t="inlineStr">
        <is>
          <t>남구</t>
        </is>
      </c>
      <c r="E719" s="5" t="inlineStr">
        <is>
          <t>부산광역시 남구 전포대로92번나길 40 (문현동)</t>
        </is>
      </c>
      <c r="F719" s="5" t="inlineStr"/>
      <c r="G719" s="5" t="inlineStr">
        <is>
          <t>051-633-9912</t>
        </is>
      </c>
      <c r="H719" s="12">
        <f>어린이집!T340</f>
        <v/>
      </c>
      <c r="I719" s="5" t="inlineStr">
        <is>
          <t>영아혼합반 7 / 영유아혼합반 7 / 기타(연령구분 없음) 7</t>
        </is>
      </c>
    </row>
    <row r="720">
      <c r="A720" s="5" t="inlineStr">
        <is>
          <t>아이세상어린이집</t>
        </is>
      </c>
      <c r="B720" s="5" t="inlineStr">
        <is>
          <t>어린이집</t>
        </is>
      </c>
      <c r="C720" s="5" t="inlineStr">
        <is>
          <t>민간</t>
        </is>
      </c>
      <c r="D720" s="5" t="inlineStr">
        <is>
          <t>남구</t>
        </is>
      </c>
      <c r="E720" s="5" t="inlineStr">
        <is>
          <t>부산광역시 남구 고동골로60번길 29 (문현동)</t>
        </is>
      </c>
      <c r="F720" s="5" t="inlineStr"/>
      <c r="G720" s="5" t="inlineStr">
        <is>
          <t>051-647-2845</t>
        </is>
      </c>
      <c r="H720" s="12">
        <f>어린이집!T341</f>
        <v/>
      </c>
      <c r="I720" s="5" t="inlineStr">
        <is>
          <t>만0세 12 / 만1세 30 / 만2세 35 / 유아혼합반 14 / 기타(연령구분 없음) 8</t>
        </is>
      </c>
    </row>
    <row r="721">
      <c r="A721" s="5" t="inlineStr">
        <is>
          <t>아이숲어린이집</t>
        </is>
      </c>
      <c r="B721" s="5" t="inlineStr">
        <is>
          <t>어린이집</t>
        </is>
      </c>
      <c r="C721" s="5" t="inlineStr">
        <is>
          <t>민간</t>
        </is>
      </c>
      <c r="D721" s="5" t="inlineStr">
        <is>
          <t>남구</t>
        </is>
      </c>
      <c r="E721" s="5" t="inlineStr">
        <is>
          <t>부산광역시 남구 우암로154번길 46-12 (우암동)</t>
        </is>
      </c>
      <c r="F721" s="5" t="inlineStr"/>
      <c r="G721" s="5" t="inlineStr">
        <is>
          <t>051-637-1777</t>
        </is>
      </c>
      <c r="H721" s="12">
        <f>어린이집!T342</f>
        <v/>
      </c>
      <c r="I721" s="5" t="inlineStr">
        <is>
          <t>만0세 6 / 만1세 10 / 만2세 15</t>
        </is>
      </c>
    </row>
    <row r="722">
      <c r="A722" s="5" t="inlineStr">
        <is>
          <t>아이원어린이집</t>
        </is>
      </c>
      <c r="B722" s="5" t="inlineStr">
        <is>
          <t>어린이집</t>
        </is>
      </c>
      <c r="C722" s="5" t="inlineStr">
        <is>
          <t>가정</t>
        </is>
      </c>
      <c r="D722" s="5" t="inlineStr">
        <is>
          <t>남구</t>
        </is>
      </c>
      <c r="E722" s="5" t="inlineStr">
        <is>
          <t>부산광역시 남구 수영로 135 116동 102호(대연동, 대연롯데캐슬레전드)</t>
        </is>
      </c>
      <c r="F722" s="5" t="inlineStr"/>
      <c r="G722" s="5" t="inlineStr">
        <is>
          <t>051-997-1236</t>
        </is>
      </c>
      <c r="H722" s="12">
        <f>어린이집!T343</f>
        <v/>
      </c>
      <c r="I722" s="5" t="inlineStr">
        <is>
          <t>만0세 3 / 만1세 5 / 만2세 7 / 영아혼합반 5 / 기타(연령구분 없음) 4</t>
        </is>
      </c>
    </row>
    <row r="723">
      <c r="A723" s="5" t="inlineStr">
        <is>
          <t>엘리트어린이집</t>
        </is>
      </c>
      <c r="B723" s="5" t="inlineStr">
        <is>
          <t>어린이집</t>
        </is>
      </c>
      <c r="C723" s="5" t="inlineStr">
        <is>
          <t>민간</t>
        </is>
      </c>
      <c r="D723" s="5" t="inlineStr">
        <is>
          <t>남구</t>
        </is>
      </c>
      <c r="E723" s="5" t="inlineStr">
        <is>
          <t>부산광역시 남구 못골번영로 40 (대연동)</t>
        </is>
      </c>
      <c r="F723" s="5" t="inlineStr"/>
      <c r="G723" s="5" t="inlineStr">
        <is>
          <t>051-627-8109</t>
        </is>
      </c>
      <c r="H723" s="12">
        <f>어린이집!T344</f>
        <v/>
      </c>
      <c r="I723" s="5" t="inlineStr">
        <is>
          <t>만0세 5 / 만1세 10 / 만2세 7 / 기타(연령구분 없음) 8</t>
        </is>
      </c>
    </row>
    <row r="724">
      <c r="A724" s="5" t="inlineStr">
        <is>
          <t>예가키움어린이집</t>
        </is>
      </c>
      <c r="B724" s="5" t="inlineStr">
        <is>
          <t>어린이집</t>
        </is>
      </c>
      <c r="C724" s="5" t="inlineStr">
        <is>
          <t>가정</t>
        </is>
      </c>
      <c r="D724" s="5" t="inlineStr">
        <is>
          <t>남구</t>
        </is>
      </c>
      <c r="E724" s="5" t="inlineStr">
        <is>
          <t>부산광역시 남구 용호로216번가길 10 (용호동, 쌍용예가아파트)</t>
        </is>
      </c>
      <c r="F724" s="5" t="inlineStr"/>
      <c r="G724" s="5" t="inlineStr">
        <is>
          <t>051-627-1001</t>
        </is>
      </c>
      <c r="H724" s="12">
        <f>어린이집!T345</f>
        <v/>
      </c>
      <c r="I724" s="5" t="inlineStr">
        <is>
          <t>영아혼합반 7 / 기타(연령구분 없음) 4</t>
        </is>
      </c>
    </row>
    <row r="725">
      <c r="A725" s="5" t="inlineStr">
        <is>
          <t>오륙도sk어린이집</t>
        </is>
      </c>
      <c r="B725" s="5" t="inlineStr">
        <is>
          <t>어린이집</t>
        </is>
      </c>
      <c r="C725" s="5" t="inlineStr">
        <is>
          <t>가정</t>
        </is>
      </c>
      <c r="D725" s="5" t="inlineStr">
        <is>
          <t>남구</t>
        </is>
      </c>
      <c r="E725" s="5" t="inlineStr">
        <is>
          <t>부산광역시 남구 오륙도로 85 103동 101호(용호동, 오륙도SKVIEW아파트)</t>
        </is>
      </c>
      <c r="F725" s="5" t="inlineStr"/>
      <c r="G725" s="5" t="inlineStr">
        <is>
          <t>051-612-2800</t>
        </is>
      </c>
      <c r="H725" s="12">
        <f>어린이집!T346</f>
        <v/>
      </c>
      <c r="I725" s="5" t="inlineStr">
        <is>
          <t>만0세 5 / 만1세 8 / 만2세 6 / 기타(연령구분 없음) 8</t>
        </is>
      </c>
    </row>
    <row r="726">
      <c r="A726" s="5" t="inlineStr">
        <is>
          <t>오륙도어린이집</t>
        </is>
      </c>
      <c r="B726" s="5" t="inlineStr">
        <is>
          <t>어린이집</t>
        </is>
      </c>
      <c r="C726" s="5" t="inlineStr">
        <is>
          <t>국공립</t>
        </is>
      </c>
      <c r="D726" s="5" t="inlineStr">
        <is>
          <t>남구</t>
        </is>
      </c>
      <c r="E726" s="5" t="inlineStr">
        <is>
          <t>부산광역시 남구 용호로216번길 32-16</t>
        </is>
      </c>
      <c r="F726" s="5" t="inlineStr"/>
      <c r="G726" s="5" t="inlineStr">
        <is>
          <t>051-612-0574</t>
        </is>
      </c>
      <c r="H726" s="12">
        <f>어린이집!T347</f>
        <v/>
      </c>
      <c r="I726" s="5" t="inlineStr">
        <is>
          <t>만0세 6 / 만1세 10 / 만2세 10</t>
        </is>
      </c>
    </row>
    <row r="727">
      <c r="A727" s="5" t="inlineStr">
        <is>
          <t>왕자와공주어린이집</t>
        </is>
      </c>
      <c r="B727" s="5" t="inlineStr">
        <is>
          <t>어린이집</t>
        </is>
      </c>
      <c r="C727" s="5" t="inlineStr">
        <is>
          <t>민간</t>
        </is>
      </c>
      <c r="D727" s="5" t="inlineStr">
        <is>
          <t>남구</t>
        </is>
      </c>
      <c r="E727" s="5" t="inlineStr">
        <is>
          <t>부산광역시 남구 동명로117번길 52 동림아트빌 101 (용호동)</t>
        </is>
      </c>
      <c r="F727" s="5" t="inlineStr"/>
      <c r="G727" s="5" t="inlineStr">
        <is>
          <t>051-625-9027</t>
        </is>
      </c>
      <c r="H727" s="12">
        <f>어린이집!T348</f>
        <v/>
      </c>
      <c r="I727" s="5" t="inlineStr">
        <is>
          <t>만0세 4 / 만1세 3 / 만2세 11 / 영아혼합반 2 / 기타(연령구분 없음) 12</t>
        </is>
      </c>
    </row>
    <row r="728">
      <c r="A728" s="5" t="inlineStr">
        <is>
          <t>용당어린이집</t>
        </is>
      </c>
      <c r="B728" s="5" t="inlineStr">
        <is>
          <t>어린이집</t>
        </is>
      </c>
      <c r="C728" s="5" t="inlineStr">
        <is>
          <t>국공립</t>
        </is>
      </c>
      <c r="D728" s="5" t="inlineStr">
        <is>
          <t>남구</t>
        </is>
      </c>
      <c r="E728" s="5" t="inlineStr">
        <is>
          <t>부산광역시 남구 신선로329번길 74 (용당동)</t>
        </is>
      </c>
      <c r="F728" s="5" t="inlineStr"/>
      <c r="G728" s="5" t="inlineStr">
        <is>
          <t>051-624-5132</t>
        </is>
      </c>
      <c r="H728" s="12">
        <f>어린이집!T349</f>
        <v/>
      </c>
      <c r="I728" s="5" t="inlineStr">
        <is>
          <t>만0세 4 / 만2세 14 / 만3세 15 / 영아혼합반 14 / 유아혼합반 25 / 장애아반(특수) 2</t>
        </is>
      </c>
    </row>
    <row r="729">
      <c r="A729" s="5" t="inlineStr">
        <is>
          <t>용산초등어린이집</t>
        </is>
      </c>
      <c r="B729" s="5" t="inlineStr">
        <is>
          <t>어린이집</t>
        </is>
      </c>
      <c r="C729" s="5" t="inlineStr">
        <is>
          <t>국공립</t>
        </is>
      </c>
      <c r="D729" s="5" t="inlineStr">
        <is>
          <t>남구</t>
        </is>
      </c>
      <c r="E729" s="5" t="inlineStr">
        <is>
          <t>부산광역시 남구 동명로176번길 55 용산초등학교어린이집 (용호동)</t>
        </is>
      </c>
      <c r="F729" s="5" t="inlineStr"/>
      <c r="G729" s="5" t="inlineStr">
        <is>
          <t>051-626-3008</t>
        </is>
      </c>
      <c r="H729" s="12">
        <f>어린이집!T350</f>
        <v/>
      </c>
      <c r="I729" s="5" t="inlineStr">
        <is>
          <t>만0세 3 / 만1세 4 / 만2세 6 / 유아혼합반 10 / 기타(연령구분 없음) 3</t>
        </is>
      </c>
    </row>
    <row r="730">
      <c r="A730" s="5" t="inlineStr">
        <is>
          <t>용호어린이집</t>
        </is>
      </c>
      <c r="B730" s="5" t="inlineStr">
        <is>
          <t>어린이집</t>
        </is>
      </c>
      <c r="C730" s="5" t="inlineStr">
        <is>
          <t>국공립</t>
        </is>
      </c>
      <c r="D730" s="5" t="inlineStr">
        <is>
          <t>남구</t>
        </is>
      </c>
      <c r="E730" s="5" t="inlineStr">
        <is>
          <t>부산광역시 남구 이기대공원로 7 (용호동)</t>
        </is>
      </c>
      <c r="F730" s="11" t="inlineStr">
        <is>
          <t>http://kids.yongho.or.kr</t>
        </is>
      </c>
      <c r="G730" s="5" t="inlineStr">
        <is>
          <t>051-628-6596</t>
        </is>
      </c>
      <c r="H730" s="12">
        <f>어린이집!T351</f>
        <v/>
      </c>
      <c r="I730" s="5" t="inlineStr">
        <is>
          <t>만1세 10 / 만2세 14 / 만3세 10 / 만4세 10 / 만5세 12 / 장애아반(특수) 6 / 기타(연령구분 없음) 20</t>
        </is>
      </c>
    </row>
    <row r="731">
      <c r="A731" s="5" t="inlineStr">
        <is>
          <t>용호한빛어린이집</t>
        </is>
      </c>
      <c r="B731" s="5" t="inlineStr">
        <is>
          <t>어린이집</t>
        </is>
      </c>
      <c r="C731" s="5" t="inlineStr">
        <is>
          <t>민간</t>
        </is>
      </c>
      <c r="D731" s="5" t="inlineStr">
        <is>
          <t>남구</t>
        </is>
      </c>
      <c r="E731" s="5" t="inlineStr">
        <is>
          <t>부산광역시 남구 용호로197번길 15 (용호동)</t>
        </is>
      </c>
      <c r="F731" s="11" t="inlineStr">
        <is>
          <t>https://cafe.daum.net/yhhanvit</t>
        </is>
      </c>
      <c r="G731" s="5" t="inlineStr">
        <is>
          <t>051-626-1998</t>
        </is>
      </c>
      <c r="H731" s="12">
        <f>어린이집!T352</f>
        <v/>
      </c>
      <c r="I731" s="5" t="inlineStr"/>
    </row>
    <row r="732">
      <c r="A732" s="5" t="inlineStr">
        <is>
          <t>우암자연어린이집</t>
        </is>
      </c>
      <c r="B732" s="5" t="inlineStr">
        <is>
          <t>어린이집</t>
        </is>
      </c>
      <c r="C732" s="5" t="inlineStr">
        <is>
          <t>가정</t>
        </is>
      </c>
      <c r="D732" s="5" t="inlineStr">
        <is>
          <t>남구</t>
        </is>
      </c>
      <c r="E732" s="5" t="inlineStr">
        <is>
          <t>부산광역시 남구 유엔로 22 105동 104호(우암동, 우암자유2차아파트)</t>
        </is>
      </c>
      <c r="F732" s="5" t="inlineStr"/>
      <c r="G732" s="5" t="inlineStr">
        <is>
          <t>051-635-6522</t>
        </is>
      </c>
      <c r="H732" s="12">
        <f>어린이집!T353</f>
        <v/>
      </c>
      <c r="I732" s="5" t="inlineStr">
        <is>
          <t>만1세 4 / 영아혼합반 9 / 기타(연령구분 없음) 4</t>
        </is>
      </c>
    </row>
    <row r="733">
      <c r="A733" s="5" t="inlineStr">
        <is>
          <t>유니어린이집</t>
        </is>
      </c>
      <c r="B733" s="5" t="inlineStr">
        <is>
          <t>어린이집</t>
        </is>
      </c>
      <c r="C733" s="5" t="inlineStr">
        <is>
          <t>사회복지법인</t>
        </is>
      </c>
      <c r="D733" s="5" t="inlineStr">
        <is>
          <t>남구</t>
        </is>
      </c>
      <c r="E733" s="5" t="inlineStr">
        <is>
          <t>부산광역시 남구 동명로118번길 84 (용호동)</t>
        </is>
      </c>
      <c r="F733" s="5" t="inlineStr"/>
      <c r="G733" s="5" t="inlineStr">
        <is>
          <t>051-611-2428</t>
        </is>
      </c>
      <c r="H733" s="12">
        <f>어린이집!T354</f>
        <v/>
      </c>
      <c r="I733" s="5" t="inlineStr">
        <is>
          <t>장애아반(특수) 26 / 기타(연령구분 없음) 3</t>
        </is>
      </c>
    </row>
    <row r="734">
      <c r="A734" s="5" t="inlineStr">
        <is>
          <t>은파어린이집</t>
        </is>
      </c>
      <c r="B734" s="5" t="inlineStr">
        <is>
          <t>어린이집</t>
        </is>
      </c>
      <c r="C734" s="5" t="inlineStr">
        <is>
          <t>가정</t>
        </is>
      </c>
      <c r="D734" s="5" t="inlineStr">
        <is>
          <t>남구</t>
        </is>
      </c>
      <c r="E734" s="5" t="inlineStr">
        <is>
          <t>부산광역시 남구 홍곡로 343 101동 105호(대연동, 대연대우아파트)</t>
        </is>
      </c>
      <c r="F734" s="11" t="inlineStr">
        <is>
          <t>http://sim12080@naver.com</t>
        </is>
      </c>
      <c r="G734" s="5" t="inlineStr">
        <is>
          <t>051-612-8845</t>
        </is>
      </c>
      <c r="H734" s="12">
        <f>어린이집!T355</f>
        <v/>
      </c>
      <c r="I734" s="5" t="inlineStr">
        <is>
          <t>만0세 3 / 만1세 4 / 영아혼합반 5 / 기타(연령구분 없음) 3</t>
        </is>
      </c>
    </row>
    <row r="735">
      <c r="A735" s="5" t="inlineStr">
        <is>
          <t>일신꿈나래어린이집</t>
        </is>
      </c>
      <c r="B735" s="5" t="inlineStr">
        <is>
          <t>어린이집</t>
        </is>
      </c>
      <c r="C735" s="5" t="inlineStr">
        <is>
          <t>가정</t>
        </is>
      </c>
      <c r="D735" s="5" t="inlineStr">
        <is>
          <t>남구</t>
        </is>
      </c>
      <c r="E735" s="5" t="inlineStr">
        <is>
          <t>부산광역시 남구 용호로 38-17 관리동 일신꿈나래어린이집</t>
        </is>
      </c>
      <c r="F735" s="5" t="inlineStr"/>
      <c r="G735" s="5" t="inlineStr">
        <is>
          <t>051-612-1575</t>
        </is>
      </c>
      <c r="H735" s="12">
        <f>어린이집!T356</f>
        <v/>
      </c>
      <c r="I735" s="5" t="inlineStr">
        <is>
          <t>만0세 2 / 만2세 5 / 기타(연령구분 없음) 5</t>
        </is>
      </c>
    </row>
    <row r="736">
      <c r="A736" s="5" t="inlineStr">
        <is>
          <t>초록별어린이집</t>
        </is>
      </c>
      <c r="B736" s="5" t="inlineStr">
        <is>
          <t>어린이집</t>
        </is>
      </c>
      <c r="C736" s="5" t="inlineStr">
        <is>
          <t>가정</t>
        </is>
      </c>
      <c r="D736" s="5" t="inlineStr">
        <is>
          <t>남구</t>
        </is>
      </c>
      <c r="E736" s="5" t="inlineStr">
        <is>
          <t>부산광역시 남구 유엔평화로17번길 15 흑석아파트 101호 (대연동)</t>
        </is>
      </c>
      <c r="F736" s="5" t="inlineStr"/>
      <c r="G736" s="5" t="inlineStr">
        <is>
          <t>051-624-8837</t>
        </is>
      </c>
      <c r="H736" s="12">
        <f>어린이집!T357</f>
        <v/>
      </c>
      <c r="I736" s="5" t="inlineStr">
        <is>
          <t>만0세 3 / 만1세 3 / 만2세 7 / 영아혼합반 3 / 기타(연령구분 없음) 3</t>
        </is>
      </c>
    </row>
    <row r="737">
      <c r="A737" s="5" t="inlineStr">
        <is>
          <t>큰빛어린이집</t>
        </is>
      </c>
      <c r="B737" s="5" t="inlineStr">
        <is>
          <t>어린이집</t>
        </is>
      </c>
      <c r="C737" s="5" t="inlineStr">
        <is>
          <t>사회복지법인</t>
        </is>
      </c>
      <c r="D737" s="5" t="inlineStr">
        <is>
          <t>남구</t>
        </is>
      </c>
      <c r="E737" s="5" t="inlineStr">
        <is>
          <t>부산광역시 남구 장고개로85번길 7 (문현동)</t>
        </is>
      </c>
      <c r="F737" s="5" t="inlineStr"/>
      <c r="G737" s="5" t="inlineStr">
        <is>
          <t>051-636-3367</t>
        </is>
      </c>
      <c r="H737" s="12">
        <f>어린이집!T358</f>
        <v/>
      </c>
      <c r="I737" s="5" t="inlineStr">
        <is>
          <t>만0세 5 / 만1세 13 / 만2세 17 / 만3세 11 / 기타(연령구분 없음) 2</t>
        </is>
      </c>
    </row>
    <row r="738">
      <c r="A738" s="5" t="inlineStr">
        <is>
          <t>토토로어린이집</t>
        </is>
      </c>
      <c r="B738" s="5" t="inlineStr">
        <is>
          <t>어린이집</t>
        </is>
      </c>
      <c r="C738" s="5" t="inlineStr">
        <is>
          <t>민간</t>
        </is>
      </c>
      <c r="D738" s="5" t="inlineStr">
        <is>
          <t>남구</t>
        </is>
      </c>
      <c r="E738" s="5" t="inlineStr">
        <is>
          <t>부산광역시 남구 수영로325번길 159-30 관리동</t>
        </is>
      </c>
      <c r="F738" s="5" t="inlineStr"/>
      <c r="G738" s="5" t="inlineStr">
        <is>
          <t>070-7543-7742</t>
        </is>
      </c>
      <c r="H738" s="12">
        <f>어린이집!T359</f>
        <v/>
      </c>
      <c r="I738" s="5" t="inlineStr">
        <is>
          <t>만0세 2 / 영아혼합반 6 / 기타(연령구분 없음) 3</t>
        </is>
      </c>
    </row>
    <row r="739">
      <c r="A739" s="5" t="inlineStr">
        <is>
          <t>파랑새어린이집</t>
        </is>
      </c>
      <c r="B739" s="5" t="inlineStr">
        <is>
          <t>어린이집</t>
        </is>
      </c>
      <c r="C739" s="5" t="inlineStr">
        <is>
          <t>가정</t>
        </is>
      </c>
      <c r="D739" s="5" t="inlineStr">
        <is>
          <t>남구</t>
        </is>
      </c>
      <c r="E739" s="5" t="inlineStr">
        <is>
          <t>부산광역시 남구 황령대로319번가길 190-6 101동 102호(대연동, 대우그린아파트)</t>
        </is>
      </c>
      <c r="F739" s="11" t="inlineStr">
        <is>
          <t>http://sokook1@naver.com</t>
        </is>
      </c>
      <c r="G739" s="5" t="inlineStr">
        <is>
          <t>051-628-9036</t>
        </is>
      </c>
      <c r="H739" s="12">
        <f>어린이집!T360</f>
        <v/>
      </c>
      <c r="I739" s="5" t="inlineStr">
        <is>
          <t>영아혼합반 6 / 기타(연령구분 없음) 13</t>
        </is>
      </c>
    </row>
    <row r="740">
      <c r="A740" s="5" t="inlineStr">
        <is>
          <t>푸르지오놀이어린이집</t>
        </is>
      </c>
      <c r="B740" s="5" t="inlineStr">
        <is>
          <t>어린이집</t>
        </is>
      </c>
      <c r="C740" s="5" t="inlineStr">
        <is>
          <t>가정</t>
        </is>
      </c>
      <c r="D740" s="5" t="inlineStr">
        <is>
          <t>남구</t>
        </is>
      </c>
      <c r="E740" s="5" t="inlineStr">
        <is>
          <t>부산광역시 남구 홍곡로 360 112동 102호(대연동,대연파크푸르지오)</t>
        </is>
      </c>
      <c r="F740" s="5" t="inlineStr"/>
      <c r="G740" s="5" t="inlineStr">
        <is>
          <t>051-627-7470</t>
        </is>
      </c>
      <c r="H740" s="12">
        <f>어린이집!T361</f>
        <v/>
      </c>
      <c r="I740" s="5" t="inlineStr">
        <is>
          <t>영아혼합반 3 / 기타(연령구분 없음) 1</t>
        </is>
      </c>
    </row>
    <row r="741">
      <c r="A741" s="5" t="inlineStr">
        <is>
          <t>푸르지오아이어린이집</t>
        </is>
      </c>
      <c r="B741" s="5" t="inlineStr">
        <is>
          <t>어린이집</t>
        </is>
      </c>
      <c r="C741" s="5" t="inlineStr">
        <is>
          <t>민간</t>
        </is>
      </c>
      <c r="D741" s="5" t="inlineStr">
        <is>
          <t>남구</t>
        </is>
      </c>
      <c r="E741" s="5" t="inlineStr">
        <is>
          <t>부산광역시 남구 홍곡로 360 대연파크푸르지오아파트 107동 앞</t>
        </is>
      </c>
      <c r="F741" s="5" t="inlineStr"/>
      <c r="G741" s="5" t="inlineStr">
        <is>
          <t>051-624-1005</t>
        </is>
      </c>
      <c r="H741" s="12">
        <f>어린이집!T362</f>
        <v/>
      </c>
      <c r="I741" s="5" t="inlineStr">
        <is>
          <t>만0세 16 / 만1세 25 / 만2세 23 / 기타(연령구분 없음) 12</t>
        </is>
      </c>
    </row>
    <row r="742">
      <c r="A742" s="5" t="inlineStr">
        <is>
          <t>푸르지오어린이집</t>
        </is>
      </c>
      <c r="B742" s="5" t="inlineStr">
        <is>
          <t>어린이집</t>
        </is>
      </c>
      <c r="C742" s="5" t="inlineStr">
        <is>
          <t>민간</t>
        </is>
      </c>
      <c r="D742" s="5" t="inlineStr">
        <is>
          <t>남구</t>
        </is>
      </c>
      <c r="E742" s="5" t="inlineStr">
        <is>
          <t>부산광역시 남구 수영로325번길 12 대우푸르지오 관리동 (대연동)</t>
        </is>
      </c>
      <c r="F742" s="5" t="inlineStr"/>
      <c r="G742" s="5" t="inlineStr">
        <is>
          <t>051-621-3368</t>
        </is>
      </c>
      <c r="H742" s="12">
        <f>어린이집!T363</f>
        <v/>
      </c>
      <c r="I742" s="5" t="inlineStr">
        <is>
          <t>만1세 9 / 영아혼합반 5 / 기타(연령구분 없음) 3</t>
        </is>
      </c>
    </row>
    <row r="743">
      <c r="A743" s="5" t="inlineStr">
        <is>
          <t>푸른숲어린이집</t>
        </is>
      </c>
      <c r="B743" s="5" t="inlineStr">
        <is>
          <t>어린이집</t>
        </is>
      </c>
      <c r="C743" s="5" t="inlineStr">
        <is>
          <t>가정</t>
        </is>
      </c>
      <c r="D743" s="5" t="inlineStr">
        <is>
          <t>남구</t>
        </is>
      </c>
      <c r="E743" s="5" t="inlineStr">
        <is>
          <t>부산광역시 남구 용호로231번길 62 102동 104호(용호동,롯데캐슬아인스)</t>
        </is>
      </c>
      <c r="F743" s="5" t="inlineStr"/>
      <c r="G743" s="5" t="inlineStr">
        <is>
          <t>051-621-4413</t>
        </is>
      </c>
      <c r="H743" s="12">
        <f>어린이집!T364</f>
        <v/>
      </c>
      <c r="I743" s="5" t="inlineStr">
        <is>
          <t>만1세 4 / 만2세 5 / 영아혼합반 4 / 유아혼합반 3 / 기타(연령구분 없음) 2</t>
        </is>
      </c>
    </row>
    <row r="744">
      <c r="A744" s="5" t="inlineStr">
        <is>
          <t>피노키오어린이집</t>
        </is>
      </c>
      <c r="B744" s="5" t="inlineStr">
        <is>
          <t>어린이집</t>
        </is>
      </c>
      <c r="C744" s="5" t="inlineStr">
        <is>
          <t>국공립</t>
        </is>
      </c>
      <c r="D744" s="5" t="inlineStr">
        <is>
          <t>남구</t>
        </is>
      </c>
      <c r="E744" s="5" t="inlineStr">
        <is>
          <t>부산광역시 남구 진남로30번가길 45 (대연동)</t>
        </is>
      </c>
      <c r="F744" s="5" t="inlineStr"/>
      <c r="G744" s="5" t="inlineStr">
        <is>
          <t>051-628-3019</t>
        </is>
      </c>
      <c r="H744" s="12">
        <f>어린이집!T365</f>
        <v/>
      </c>
      <c r="I744" s="5" t="inlineStr">
        <is>
          <t>만1세 10 / 만2세 13 / 영아혼합반 6</t>
        </is>
      </c>
    </row>
    <row r="745">
      <c r="A745" s="5" t="inlineStr">
        <is>
          <t>하늘채어린이집</t>
        </is>
      </c>
      <c r="B745" s="5" t="inlineStr">
        <is>
          <t>어린이집</t>
        </is>
      </c>
      <c r="C745" s="5" t="inlineStr">
        <is>
          <t>민간</t>
        </is>
      </c>
      <c r="D745" s="5" t="inlineStr">
        <is>
          <t>남구</t>
        </is>
      </c>
      <c r="E745" s="5" t="inlineStr">
        <is>
          <t>부산광역시 남구 홍곡로320번길 132 신대연코오롱하늘채아파트관리동</t>
        </is>
      </c>
      <c r="F745" s="5" t="inlineStr"/>
      <c r="G745" s="5" t="inlineStr">
        <is>
          <t>051-611-0201</t>
        </is>
      </c>
      <c r="H745" s="12">
        <f>어린이집!T366</f>
        <v/>
      </c>
      <c r="I745" s="5" t="inlineStr">
        <is>
          <t>만1세 5 / 만2세 6 / 영아혼합반 2 / 기타(연령구분 없음) 3</t>
        </is>
      </c>
    </row>
    <row r="746">
      <c r="A746" s="5" t="inlineStr">
        <is>
          <t>하은어린이집</t>
        </is>
      </c>
      <c r="B746" s="5" t="inlineStr">
        <is>
          <t>어린이집</t>
        </is>
      </c>
      <c r="C746" s="5" t="inlineStr">
        <is>
          <t>가정</t>
        </is>
      </c>
      <c r="D746" s="5" t="inlineStr">
        <is>
          <t>남구</t>
        </is>
      </c>
      <c r="E746" s="5" t="inlineStr">
        <is>
          <t>부산광역시 남구 유엔로 10 뉴서울아파트 (우암동) 102동 101호</t>
        </is>
      </c>
      <c r="F746" s="5" t="inlineStr"/>
      <c r="G746" s="5" t="inlineStr">
        <is>
          <t>051-639-9004</t>
        </is>
      </c>
      <c r="H746" s="12">
        <f>어린이집!T367</f>
        <v/>
      </c>
      <c r="I746" s="5" t="inlineStr">
        <is>
          <t>만0세 3 / 만1세 9 / 만2세 5 / 기타(연령구분 없음) 4</t>
        </is>
      </c>
    </row>
    <row r="747">
      <c r="A747" s="5" t="inlineStr">
        <is>
          <t>한누리어린이집</t>
        </is>
      </c>
      <c r="B747" s="5" t="inlineStr">
        <is>
          <t>어린이집</t>
        </is>
      </c>
      <c r="C747" s="5" t="inlineStr">
        <is>
          <t>국공립</t>
        </is>
      </c>
      <c r="D747" s="5" t="inlineStr">
        <is>
          <t>남구</t>
        </is>
      </c>
      <c r="E747" s="5" t="inlineStr">
        <is>
          <t>부산광역시 남구 진남로127번길 94 (대연동)</t>
        </is>
      </c>
      <c r="F747" s="5" t="inlineStr"/>
      <c r="G747" s="5" t="inlineStr">
        <is>
          <t>051-635-3064</t>
        </is>
      </c>
      <c r="H747" s="12">
        <f>어린이집!T368</f>
        <v/>
      </c>
      <c r="I747" s="5" t="inlineStr">
        <is>
          <t>만0세 17 / 만1세 22 / 만2세 26 / 만3세 8 / 만4세 12 / 만5세 14 / 기타(연령구분 없음) 19</t>
        </is>
      </c>
    </row>
    <row r="748">
      <c r="A748" s="5" t="inlineStr">
        <is>
          <t>한빛어린이집</t>
        </is>
      </c>
      <c r="B748" s="5" t="inlineStr">
        <is>
          <t>어린이집</t>
        </is>
      </c>
      <c r="C748" s="5" t="inlineStr">
        <is>
          <t>국공립</t>
        </is>
      </c>
      <c r="D748" s="5" t="inlineStr">
        <is>
          <t>남구</t>
        </is>
      </c>
      <c r="E748" s="5" t="inlineStr">
        <is>
          <t>부산광역시 남구 장고개로85번가길 16 (문현동)</t>
        </is>
      </c>
      <c r="F748" s="5" t="inlineStr"/>
      <c r="G748" s="5" t="inlineStr">
        <is>
          <t>051-643-0592</t>
        </is>
      </c>
      <c r="H748" s="12">
        <f>어린이집!T369</f>
        <v/>
      </c>
      <c r="I748" s="5" t="inlineStr">
        <is>
          <t>만0세 15 / 만1세 30 / 만2세 20 / 만3세 13 / 만4세 9 / 기타(연령구분 없음) 21</t>
        </is>
      </c>
    </row>
    <row r="749">
      <c r="A749" s="5" t="inlineStr">
        <is>
          <t>한사랑어린이집</t>
        </is>
      </c>
      <c r="B749" s="5" t="inlineStr">
        <is>
          <t>어린이집</t>
        </is>
      </c>
      <c r="C749" s="5" t="inlineStr">
        <is>
          <t>가정</t>
        </is>
      </c>
      <c r="D749" s="5" t="inlineStr">
        <is>
          <t>남구</t>
        </is>
      </c>
      <c r="E749" s="5" t="inlineStr">
        <is>
          <t>부산광역시 남구 분포로 113 134동 102호(용호동, 엘지메트로시티아파트)</t>
        </is>
      </c>
      <c r="F749" s="5" t="inlineStr"/>
      <c r="G749" s="5" t="inlineStr">
        <is>
          <t>051-625-0708</t>
        </is>
      </c>
      <c r="H749" s="12">
        <f>어린이집!T370</f>
        <v/>
      </c>
      <c r="I749" s="5" t="inlineStr">
        <is>
          <t>만0세 3 / 만1세 5 / 영아혼합반 3 / 기타(연령구분 없음) 3</t>
        </is>
      </c>
    </row>
    <row r="750">
      <c r="A750" s="5" t="inlineStr">
        <is>
          <t>한아름어린이집</t>
        </is>
      </c>
      <c r="B750" s="5" t="inlineStr">
        <is>
          <t>어린이집</t>
        </is>
      </c>
      <c r="C750" s="5" t="inlineStr">
        <is>
          <t>사회복지법인</t>
        </is>
      </c>
      <c r="D750" s="5" t="inlineStr">
        <is>
          <t>남구</t>
        </is>
      </c>
      <c r="E750" s="5" t="inlineStr">
        <is>
          <t>부산광역시 남구 진남로232번길 7 (문현동)</t>
        </is>
      </c>
      <c r="F750" s="5" t="inlineStr"/>
      <c r="G750" s="5" t="inlineStr">
        <is>
          <t>051-642-1604</t>
        </is>
      </c>
      <c r="H750" s="12">
        <f>어린이집!T371</f>
        <v/>
      </c>
      <c r="I750" s="5" t="inlineStr">
        <is>
          <t>만0세 7 / 만1세 14 / 만2세 13 / 만3세 12 / 영아혼합반 5 / 유아혼합반 10 / 기타(연령구분 없음) 19</t>
        </is>
      </c>
    </row>
    <row r="751">
      <c r="A751" s="5" t="inlineStr">
        <is>
          <t>해군작전사 바다별어린이집</t>
        </is>
      </c>
      <c r="B751" s="5" t="inlineStr">
        <is>
          <t>어린이집</t>
        </is>
      </c>
      <c r="C751" s="5" t="inlineStr">
        <is>
          <t>직장</t>
        </is>
      </c>
      <c r="D751" s="5" t="inlineStr">
        <is>
          <t>남구</t>
        </is>
      </c>
      <c r="E751" s="5" t="inlineStr">
        <is>
          <t>부산광역시 남구 신선로 393-15 용당해군숙소</t>
        </is>
      </c>
      <c r="F751" s="5" t="inlineStr"/>
      <c r="G751" s="5" t="inlineStr">
        <is>
          <t>051-627-2014</t>
        </is>
      </c>
      <c r="H751" s="12">
        <f>어린이집!T372</f>
        <v/>
      </c>
      <c r="I751" s="5" t="inlineStr">
        <is>
          <t>만1세 5 / 만2세 10 / 만3세 3 / 유아혼합반 7</t>
        </is>
      </c>
    </row>
    <row r="752">
      <c r="A752" s="5" t="inlineStr">
        <is>
          <t>해뜨는어린이집</t>
        </is>
      </c>
      <c r="B752" s="5" t="inlineStr">
        <is>
          <t>어린이집</t>
        </is>
      </c>
      <c r="C752" s="5" t="inlineStr">
        <is>
          <t>민간</t>
        </is>
      </c>
      <c r="D752" s="5" t="inlineStr">
        <is>
          <t>남구</t>
        </is>
      </c>
      <c r="E752" s="5" t="inlineStr">
        <is>
          <t>부산광역시 남구 용호로269번길 10 (용호동)</t>
        </is>
      </c>
      <c r="F752" s="5" t="inlineStr"/>
      <c r="G752" s="5" t="inlineStr">
        <is>
          <t>051-622-1770</t>
        </is>
      </c>
      <c r="H752" s="12">
        <f>어린이집!T373</f>
        <v/>
      </c>
      <c r="I752" s="5" t="inlineStr">
        <is>
          <t>만0세 12 / 만1세 19 / 만2세 13 / 만3세 9 / 유아혼합반 12 / 기타(연령구분 없음) 24</t>
        </is>
      </c>
    </row>
    <row r="753">
      <c r="A753" s="5" t="inlineStr">
        <is>
          <t>해솔어린이집</t>
        </is>
      </c>
      <c r="B753" s="5" t="inlineStr">
        <is>
          <t>어린이집</t>
        </is>
      </c>
      <c r="C753" s="5" t="inlineStr">
        <is>
          <t>협동</t>
        </is>
      </c>
      <c r="D753" s="5" t="inlineStr">
        <is>
          <t>남구</t>
        </is>
      </c>
      <c r="E753" s="5" t="inlineStr">
        <is>
          <t>부산광역시 남구 동명로170번길 47</t>
        </is>
      </c>
      <c r="F753" s="5" t="inlineStr"/>
      <c r="G753" s="5" t="inlineStr">
        <is>
          <t>051-631-4248</t>
        </is>
      </c>
      <c r="H753" s="12">
        <f>어린이집!T374</f>
        <v/>
      </c>
      <c r="I753" s="5" t="inlineStr">
        <is>
          <t>영아혼합반 8 / 유아혼합반 12 / 기타(연령구분 없음) 3</t>
        </is>
      </c>
    </row>
    <row r="754">
      <c r="A754" s="5" t="inlineStr">
        <is>
          <t>행복한어린이집</t>
        </is>
      </c>
      <c r="B754" s="5" t="inlineStr">
        <is>
          <t>어린이집</t>
        </is>
      </c>
      <c r="C754" s="5" t="inlineStr">
        <is>
          <t>민간</t>
        </is>
      </c>
      <c r="D754" s="5" t="inlineStr">
        <is>
          <t>남구</t>
        </is>
      </c>
      <c r="E754" s="5" t="inlineStr">
        <is>
          <t>부산광역시 남구 못골로 91-12</t>
        </is>
      </c>
      <c r="F754" s="5" t="inlineStr"/>
      <c r="G754" s="5" t="inlineStr">
        <is>
          <t>051-623-7637</t>
        </is>
      </c>
      <c r="H754" s="12">
        <f>어린이집!T375</f>
        <v/>
      </c>
      <c r="I754" s="5" t="inlineStr">
        <is>
          <t>만0세 9 / 만1세 10 / 만2세 19 / 만3세 14 / 만4세 11 / 만5세 12 / 영아혼합반 5 / 기타(연령구분 없음) 29</t>
        </is>
      </c>
    </row>
    <row r="755">
      <c r="A755" s="5" t="inlineStr">
        <is>
          <t>현대아이엔젤어린이집</t>
        </is>
      </c>
      <c r="B755" s="5" t="inlineStr">
        <is>
          <t>어린이집</t>
        </is>
      </c>
      <c r="C755" s="5" t="inlineStr">
        <is>
          <t>가정</t>
        </is>
      </c>
      <c r="D755" s="5" t="inlineStr">
        <is>
          <t>남구</t>
        </is>
      </c>
      <c r="E755" s="5" t="inlineStr">
        <is>
          <t>부산광역시 남구 동명로 26 104동 103호(용당동, 현대아이아파트)</t>
        </is>
      </c>
      <c r="F755" s="5" t="inlineStr"/>
      <c r="G755" s="5" t="inlineStr">
        <is>
          <t>051-622-7475</t>
        </is>
      </c>
      <c r="H755" s="12">
        <f>어린이집!T376</f>
        <v/>
      </c>
      <c r="I755" s="5" t="inlineStr">
        <is>
          <t>영아혼합반 7 / 기타(연령구분 없음) 4</t>
        </is>
      </c>
    </row>
    <row r="756">
      <c r="A756" s="5" t="inlineStr">
        <is>
          <t>현대어린이집</t>
        </is>
      </c>
      <c r="B756" s="5" t="inlineStr">
        <is>
          <t>어린이집</t>
        </is>
      </c>
      <c r="C756" s="5" t="inlineStr">
        <is>
          <t>민간</t>
        </is>
      </c>
      <c r="D756" s="5" t="inlineStr">
        <is>
          <t>남구</t>
        </is>
      </c>
      <c r="E756" s="5" t="inlineStr">
        <is>
          <t>부산광역시 남구 용호로42번길 14 현대비치 아파트 내 현대어린이집 (용호동)</t>
        </is>
      </c>
      <c r="F756" s="5" t="inlineStr"/>
      <c r="G756" s="5" t="inlineStr">
        <is>
          <t>051-611-2414</t>
        </is>
      </c>
      <c r="H756" s="12">
        <f>어린이집!T377</f>
        <v/>
      </c>
      <c r="I756" s="5" t="inlineStr">
        <is>
          <t>만1세 3 / 영아혼합반 5 / 유아혼합반 5 / 장애아반(특수) 3</t>
        </is>
      </c>
    </row>
    <row r="757">
      <c r="A757" s="5" t="inlineStr">
        <is>
          <t>힐스센트럴어린이집</t>
        </is>
      </c>
      <c r="B757" s="5" t="inlineStr">
        <is>
          <t>어린이집</t>
        </is>
      </c>
      <c r="C757" s="5" t="inlineStr">
        <is>
          <t>민간</t>
        </is>
      </c>
      <c r="D757" s="5" t="inlineStr">
        <is>
          <t>남구</t>
        </is>
      </c>
      <c r="E757" s="5" t="inlineStr">
        <is>
          <t>부산광역시 남구 진남로 95 힐스테이트대연센트럴아파트 관리동(대연동)</t>
        </is>
      </c>
      <c r="F757" s="5" t="inlineStr"/>
      <c r="G757" s="5" t="inlineStr">
        <is>
          <t>051-633-8009</t>
        </is>
      </c>
      <c r="H757" s="12">
        <f>어린이집!T378</f>
        <v/>
      </c>
      <c r="I757" s="5" t="inlineStr">
        <is>
          <t>만0세 4 / 만1세 9 / 만2세 7 / 기타(연령구분 없음) 8</t>
        </is>
      </c>
    </row>
    <row r="758">
      <c r="A758" s="5" t="inlineStr">
        <is>
          <t>GKL행복어린이집</t>
        </is>
      </c>
      <c r="B758" s="5" t="inlineStr">
        <is>
          <t>어린이집</t>
        </is>
      </c>
      <c r="C758" s="5" t="inlineStr">
        <is>
          <t>직장</t>
        </is>
      </c>
      <c r="D758" s="5" t="inlineStr">
        <is>
          <t>동구</t>
        </is>
      </c>
      <c r="E758" s="5" t="inlineStr">
        <is>
          <t>부산광역시 동구 자성로 134 (범일동, 눌원빌딩)</t>
        </is>
      </c>
      <c r="F758" s="11" t="inlineStr">
        <is>
          <t>http://www.puruni.com/gklb</t>
        </is>
      </c>
      <c r="G758" s="5" t="inlineStr">
        <is>
          <t>051-647-9551</t>
        </is>
      </c>
      <c r="H758" s="12">
        <f>어린이집!T379</f>
        <v/>
      </c>
      <c r="I758" s="5" t="inlineStr">
        <is>
          <t>만2세 3 / 영아혼합반 4 / 유아혼합반 4</t>
        </is>
      </c>
    </row>
    <row r="759">
      <c r="A759" s="5" t="inlineStr">
        <is>
          <t>IBK 참 좋은 어린이집</t>
        </is>
      </c>
      <c r="B759" s="5" t="inlineStr">
        <is>
          <t>어린이집</t>
        </is>
      </c>
      <c r="C759" s="5" t="inlineStr">
        <is>
          <t>직장</t>
        </is>
      </c>
      <c r="D759" s="5" t="inlineStr">
        <is>
          <t>동구</t>
        </is>
      </c>
      <c r="E759" s="5" t="inlineStr">
        <is>
          <t>부산광역시 동구 중앙대로 489 (범일동)</t>
        </is>
      </c>
      <c r="F759" s="11" t="inlineStr">
        <is>
          <t>https://www.ibkkids.net/</t>
        </is>
      </c>
      <c r="G759" s="5" t="inlineStr">
        <is>
          <t>051-633-3800</t>
        </is>
      </c>
      <c r="H759" s="12">
        <f>어린이집!T380</f>
        <v/>
      </c>
      <c r="I759" s="5" t="inlineStr">
        <is>
          <t>영아혼합반 6</t>
        </is>
      </c>
    </row>
    <row r="760">
      <c r="A760" s="5" t="inlineStr">
        <is>
          <t>금잔디어린이집</t>
        </is>
      </c>
      <c r="B760" s="5" t="inlineStr">
        <is>
          <t>어린이집</t>
        </is>
      </c>
      <c r="C760" s="5" t="inlineStr">
        <is>
          <t>민간</t>
        </is>
      </c>
      <c r="D760" s="5" t="inlineStr">
        <is>
          <t>동구</t>
        </is>
      </c>
      <c r="E760" s="5" t="inlineStr">
        <is>
          <t>부산광역시 동구 수정중로17번길 4-2 (수정동)</t>
        </is>
      </c>
      <c r="F760" s="11" t="inlineStr">
        <is>
          <t>http://blog.naver.com/leaderqueen11</t>
        </is>
      </c>
      <c r="G760" s="5" t="inlineStr">
        <is>
          <t>051-464-2105</t>
        </is>
      </c>
      <c r="H760" s="12">
        <f>어린이집!T381</f>
        <v/>
      </c>
      <c r="I760" s="5" t="inlineStr">
        <is>
          <t>만0세 9 / 만1세 18 / 만2세 16 / 유아혼합반 20 / 기타(연령구분 없음) 14</t>
        </is>
      </c>
    </row>
    <row r="761">
      <c r="A761" s="5" t="inlineStr">
        <is>
          <t>도담도담어린이집</t>
        </is>
      </c>
      <c r="B761" s="5" t="inlineStr">
        <is>
          <t>어린이집</t>
        </is>
      </c>
      <c r="C761" s="5" t="inlineStr">
        <is>
          <t>법인·단체등</t>
        </is>
      </c>
      <c r="D761" s="5" t="inlineStr">
        <is>
          <t>동구</t>
        </is>
      </c>
      <c r="E761" s="5" t="inlineStr">
        <is>
          <t>부산광역시 동구 초량상로 151-10 (수정동)</t>
        </is>
      </c>
      <c r="F761" s="11" t="inlineStr">
        <is>
          <t>https://www.instagram.com/dg_dodamdodam?igshid=MmIzYWVlNDQ5Yg==</t>
        </is>
      </c>
      <c r="G761" s="5" t="inlineStr">
        <is>
          <t>051-442-0682</t>
        </is>
      </c>
      <c r="H761" s="12">
        <f>어린이집!T382</f>
        <v/>
      </c>
      <c r="I761" s="5" t="inlineStr">
        <is>
          <t>만0세 3 / 만1세 9 / 만2세 7 / 영아혼합반 8 / 기타(연령구분 없음) 5</t>
        </is>
      </c>
    </row>
    <row r="762">
      <c r="A762" s="5" t="inlineStr">
        <is>
          <t>동일어린이집</t>
        </is>
      </c>
      <c r="B762" s="5" t="inlineStr">
        <is>
          <t>어린이집</t>
        </is>
      </c>
      <c r="C762" s="5" t="inlineStr">
        <is>
          <t>가정</t>
        </is>
      </c>
      <c r="D762" s="5" t="inlineStr">
        <is>
          <t>동구</t>
        </is>
      </c>
      <c r="E762" s="5" t="inlineStr">
        <is>
          <t>부산광역시 동구 영초윗길 28 (초량동)</t>
        </is>
      </c>
      <c r="F762" s="5" t="inlineStr"/>
      <c r="G762" s="5" t="inlineStr">
        <is>
          <t>051-465-9983</t>
        </is>
      </c>
      <c r="H762" s="12">
        <f>어린이집!T383</f>
        <v/>
      </c>
      <c r="I762" s="5" t="inlineStr">
        <is>
          <t>만0세 4 / 유아혼합반 5 / 영유아혼합반 5</t>
        </is>
      </c>
    </row>
    <row r="763">
      <c r="A763" s="5" t="inlineStr">
        <is>
          <t>두산하버시티어린이집</t>
        </is>
      </c>
      <c r="B763" s="5" t="inlineStr">
        <is>
          <t>어린이집</t>
        </is>
      </c>
      <c r="C763" s="5" t="inlineStr">
        <is>
          <t>국공립</t>
        </is>
      </c>
      <c r="D763" s="5" t="inlineStr">
        <is>
          <t>동구</t>
        </is>
      </c>
      <c r="E763" s="5" t="inlineStr">
        <is>
          <t>부산광역시 동구 범일로 21 (범일동, 두산위브더제니스하버시티)</t>
        </is>
      </c>
      <c r="F763" s="5" t="inlineStr"/>
      <c r="G763" s="5" t="inlineStr">
        <is>
          <t>051-714-0605</t>
        </is>
      </c>
      <c r="H763" s="12">
        <f>어린이집!T384</f>
        <v/>
      </c>
      <c r="I763" s="5" t="inlineStr">
        <is>
          <t>만0세 6 / 만1세 15 / 만2세 21 / 만3세 8 / 유아혼합반 16 / 기타(연령구분 없음) 33</t>
        </is>
      </c>
    </row>
    <row r="764">
      <c r="A764" s="5" t="inlineStr">
        <is>
          <t>묘음예능어린이집</t>
        </is>
      </c>
      <c r="B764" s="5" t="inlineStr">
        <is>
          <t>어린이집</t>
        </is>
      </c>
      <c r="C764" s="5" t="inlineStr">
        <is>
          <t>민간</t>
        </is>
      </c>
      <c r="D764" s="5" t="inlineStr">
        <is>
          <t>동구</t>
        </is>
      </c>
      <c r="E764" s="5" t="inlineStr">
        <is>
          <t>부산광역시 동구 구봉로 63 (초량동)</t>
        </is>
      </c>
      <c r="F764" s="5" t="inlineStr"/>
      <c r="G764" s="5" t="inlineStr">
        <is>
          <t>051-467-7701</t>
        </is>
      </c>
      <c r="H764" s="12">
        <f>어린이집!T385</f>
        <v/>
      </c>
      <c r="I764" s="5" t="inlineStr">
        <is>
          <t>만0세 10 / 만1세 20 / 만2세 23 / 만3세 9 / 기타(연령구분 없음) 25</t>
        </is>
      </c>
    </row>
    <row r="765">
      <c r="A765" s="5" t="inlineStr">
        <is>
          <t>범일어린이집</t>
        </is>
      </c>
      <c r="B765" s="5" t="inlineStr">
        <is>
          <t>어린이집</t>
        </is>
      </c>
      <c r="C765" s="5" t="inlineStr">
        <is>
          <t>국공립</t>
        </is>
      </c>
      <c r="D765" s="5" t="inlineStr">
        <is>
          <t>동구</t>
        </is>
      </c>
      <c r="E765" s="5" t="inlineStr">
        <is>
          <t>부산광역시 동구 범곡북로 26 (범일동)</t>
        </is>
      </c>
      <c r="F765" s="5" t="inlineStr"/>
      <c r="G765" s="5" t="inlineStr">
        <is>
          <t>051-646-9337</t>
        </is>
      </c>
      <c r="H765" s="12">
        <f>어린이집!T386</f>
        <v/>
      </c>
      <c r="I765" s="5" t="inlineStr">
        <is>
          <t>만0세 5 / 만1세 10 / 만2세 13 / 만3세 9 / 영아혼합반 10 / 유아혼합반 15 / 기타(연령구분 없음) 8</t>
        </is>
      </c>
    </row>
    <row r="766">
      <c r="A766" s="5" t="inlineStr">
        <is>
          <t>봉생어린이집</t>
        </is>
      </c>
      <c r="B766" s="5" t="inlineStr">
        <is>
          <t>어린이집</t>
        </is>
      </c>
      <c r="C766" s="5" t="inlineStr">
        <is>
          <t>직장</t>
        </is>
      </c>
      <c r="D766" s="5" t="inlineStr">
        <is>
          <t>동구</t>
        </is>
      </c>
      <c r="E766" s="5" t="inlineStr">
        <is>
          <t>부산광역시 동구 고관로 160-4 (좌천동)</t>
        </is>
      </c>
      <c r="F766" s="5" t="inlineStr"/>
      <c r="G766" s="5" t="inlineStr">
        <is>
          <t>051-643-5191</t>
        </is>
      </c>
      <c r="H766" s="12">
        <f>어린이집!T387</f>
        <v/>
      </c>
      <c r="I766" s="5" t="inlineStr">
        <is>
          <t>만1세 3 / 만4세 1 / 기타(연령구분 없음) 6</t>
        </is>
      </c>
    </row>
    <row r="767">
      <c r="A767" s="5" t="inlineStr">
        <is>
          <t>부산진어린이집</t>
        </is>
      </c>
      <c r="B767" s="5" t="inlineStr">
        <is>
          <t>어린이집</t>
        </is>
      </c>
      <c r="C767" s="5" t="inlineStr">
        <is>
          <t>법인·단체등</t>
        </is>
      </c>
      <c r="D767" s="5" t="inlineStr">
        <is>
          <t>동구</t>
        </is>
      </c>
      <c r="E767" s="5" t="inlineStr">
        <is>
          <t>부산광역시 동구 정공단로17번길 16 (좌천동)</t>
        </is>
      </c>
      <c r="F767" s="5" t="inlineStr"/>
      <c r="G767" s="5" t="inlineStr">
        <is>
          <t>051-647-2455</t>
        </is>
      </c>
      <c r="H767" s="12">
        <f>어린이집!T388</f>
        <v/>
      </c>
      <c r="I767" s="5" t="inlineStr">
        <is>
          <t>만0세 8 / 만1세 15 / 만2세 7 / 유아혼합반 8</t>
        </is>
      </c>
    </row>
    <row r="768">
      <c r="A768" s="5" t="inlineStr">
        <is>
          <t>선임어린이집</t>
        </is>
      </c>
      <c r="B768" s="5" t="inlineStr">
        <is>
          <t>어린이집</t>
        </is>
      </c>
      <c r="C768" s="5" t="inlineStr">
        <is>
          <t>민간</t>
        </is>
      </c>
      <c r="D768" s="5" t="inlineStr">
        <is>
          <t>동구</t>
        </is>
      </c>
      <c r="E768" s="5" t="inlineStr">
        <is>
          <t>부산광역시 동구 범곡북로14번길 21 (범일동)</t>
        </is>
      </c>
      <c r="F768" s="5" t="inlineStr"/>
      <c r="G768" s="5" t="inlineStr">
        <is>
          <t>051-646-4836</t>
        </is>
      </c>
      <c r="H768" s="12">
        <f>어린이집!T389</f>
        <v/>
      </c>
      <c r="I768" s="5" t="inlineStr">
        <is>
          <t>영아혼합반 7 / 유아혼합반 11 / 기타(연령구분 없음) 2</t>
        </is>
      </c>
    </row>
    <row r="769">
      <c r="A769" s="5" t="inlineStr">
        <is>
          <t>수정4동어린이집</t>
        </is>
      </c>
      <c r="B769" s="5" t="inlineStr">
        <is>
          <t>어린이집</t>
        </is>
      </c>
      <c r="C769" s="5" t="inlineStr">
        <is>
          <t>국공립</t>
        </is>
      </c>
      <c r="D769" s="5" t="inlineStr">
        <is>
          <t>동구</t>
        </is>
      </c>
      <c r="E769" s="5" t="inlineStr">
        <is>
          <t>부산광역시 동구 수정공원남로 38 (수정동)</t>
        </is>
      </c>
      <c r="F769" s="11" t="inlineStr">
        <is>
          <t>http://cafe.naver.com/soo4</t>
        </is>
      </c>
      <c r="G769" s="5" t="inlineStr">
        <is>
          <t>051-467-7266</t>
        </is>
      </c>
      <c r="H769" s="12">
        <f>어린이집!T390</f>
        <v/>
      </c>
      <c r="I769" s="5" t="inlineStr">
        <is>
          <t>만0세 5 / 만1세 5 / 만2세 4 / 유아혼합반 6 / 기타(연령구분 없음) 5</t>
        </is>
      </c>
    </row>
    <row r="770">
      <c r="A770" s="5" t="inlineStr">
        <is>
          <t>수정삼성어린이집</t>
        </is>
      </c>
      <c r="B770" s="5" t="inlineStr">
        <is>
          <t>어린이집</t>
        </is>
      </c>
      <c r="C770" s="5" t="inlineStr">
        <is>
          <t>사회복지법인</t>
        </is>
      </c>
      <c r="D770" s="5" t="inlineStr">
        <is>
          <t>동구</t>
        </is>
      </c>
      <c r="E770" s="5" t="inlineStr">
        <is>
          <t>부산광역시 동구 수정중로 33 (수정동)</t>
        </is>
      </c>
      <c r="F770" s="5" t="inlineStr"/>
      <c r="G770" s="5" t="inlineStr">
        <is>
          <t>051-465-3214</t>
        </is>
      </c>
      <c r="H770" s="12">
        <f>어린이집!T391</f>
        <v/>
      </c>
      <c r="I770" s="5" t="inlineStr">
        <is>
          <t>만1세 10 / 만2세 24 / 만3세 21 / 만4세 24 / 만5세 23 / 기타(연령구분 없음) 20</t>
        </is>
      </c>
    </row>
    <row r="771">
      <c r="A771" s="5" t="inlineStr">
        <is>
          <t>수정어린이집</t>
        </is>
      </c>
      <c r="B771" s="5" t="inlineStr">
        <is>
          <t>어린이집</t>
        </is>
      </c>
      <c r="C771" s="5" t="inlineStr">
        <is>
          <t>국공립</t>
        </is>
      </c>
      <c r="D771" s="5" t="inlineStr">
        <is>
          <t>동구</t>
        </is>
      </c>
      <c r="E771" s="5" t="inlineStr">
        <is>
          <t>부산광역시 동구 수정공원로129번길 10 (수정동)</t>
        </is>
      </c>
      <c r="F771" s="11" t="inlineStr">
        <is>
          <t>http://cafe.daum.net/sujung5dong</t>
        </is>
      </c>
      <c r="G771" s="5" t="inlineStr">
        <is>
          <t>051-462-4798</t>
        </is>
      </c>
      <c r="H771" s="12">
        <f>어린이집!T392</f>
        <v/>
      </c>
      <c r="I771" s="5" t="inlineStr">
        <is>
          <t>만0세 12 / 만1세 13 / 만2세 15 / 만3세 9 / 유아혼합반 16 / 기타(연령구분 없음) 18</t>
        </is>
      </c>
    </row>
    <row r="772">
      <c r="A772" s="5" t="inlineStr">
        <is>
          <t>수정휴포레어린이집</t>
        </is>
      </c>
      <c r="B772" s="5" t="inlineStr">
        <is>
          <t>어린이집</t>
        </is>
      </c>
      <c r="C772" s="5" t="inlineStr">
        <is>
          <t>국공립</t>
        </is>
      </c>
      <c r="D772" s="5" t="inlineStr">
        <is>
          <t>동구</t>
        </is>
      </c>
      <c r="E772" s="5" t="inlineStr">
        <is>
          <t>부산광역시 동구 중앙대로 357 (수정동, 협성휴포레·부산진역 오션뷰)</t>
        </is>
      </c>
      <c r="F772" s="5" t="inlineStr"/>
      <c r="G772" s="5" t="inlineStr">
        <is>
          <t>051-469-7547</t>
        </is>
      </c>
      <c r="H772" s="12">
        <f>어린이집!T393</f>
        <v/>
      </c>
      <c r="I772" s="5" t="inlineStr">
        <is>
          <t>만0세 4 / 만1세 15 / 만2세 14 / 기타(연령구분 없음) 10</t>
        </is>
      </c>
    </row>
    <row r="773">
      <c r="A773" s="5" t="inlineStr">
        <is>
          <t>예그리나 어린이집</t>
        </is>
      </c>
      <c r="B773" s="5" t="inlineStr">
        <is>
          <t>어린이집</t>
        </is>
      </c>
      <c r="C773" s="5" t="inlineStr">
        <is>
          <t>직장</t>
        </is>
      </c>
      <c r="D773" s="5" t="inlineStr">
        <is>
          <t>동구</t>
        </is>
      </c>
      <c r="E773" s="5" t="inlineStr">
        <is>
          <t>부산광역시 동구 중앙대로361번길 14 해양수산부 2-3층</t>
        </is>
      </c>
      <c r="F773" s="5" t="inlineStr"/>
      <c r="G773" s="5" t="inlineStr">
        <is>
          <t>051-773-6410</t>
        </is>
      </c>
      <c r="H773" s="12">
        <f>어린이집!T394</f>
        <v/>
      </c>
      <c r="I773" s="5" t="inlineStr">
        <is>
          <t>만0세 9 / 만1세 15 / 만2세 12 / 만3세 15 / 유아혼합반 8 / 기타(연령구분 없음) 44</t>
        </is>
      </c>
    </row>
    <row r="774">
      <c r="A774" s="5" t="inlineStr">
        <is>
          <t>예랑어린이집</t>
        </is>
      </c>
      <c r="B774" s="5" t="inlineStr">
        <is>
          <t>어린이집</t>
        </is>
      </c>
      <c r="C774" s="5" t="inlineStr">
        <is>
          <t>국공립</t>
        </is>
      </c>
      <c r="D774" s="5" t="inlineStr">
        <is>
          <t>동구</t>
        </is>
      </c>
      <c r="E774" s="5" t="inlineStr">
        <is>
          <t>부산광역시 동구 안창로 57 (범일동)</t>
        </is>
      </c>
      <c r="F774" s="5" t="inlineStr"/>
      <c r="G774" s="5" t="inlineStr">
        <is>
          <t>051-634-8557</t>
        </is>
      </c>
      <c r="H774" s="12">
        <f>어린이집!T395</f>
        <v/>
      </c>
      <c r="I774" s="5" t="inlineStr">
        <is>
          <t>만1세 5 / 만2세 4 / 유아혼합반 12 / 기타(연령구분 없음) 12</t>
        </is>
      </c>
    </row>
    <row r="775">
      <c r="A775" s="5" t="inlineStr">
        <is>
          <t>오션브릿지어린이집</t>
        </is>
      </c>
      <c r="B775" s="5" t="inlineStr">
        <is>
          <t>어린이집</t>
        </is>
      </c>
      <c r="C775" s="5" t="inlineStr">
        <is>
          <t>국공립</t>
        </is>
      </c>
      <c r="D775" s="5" t="inlineStr">
        <is>
          <t>동구</t>
        </is>
      </c>
      <c r="E775" s="5" t="inlineStr">
        <is>
          <t>부산광역시 동구 범일로 41 (범일동, 오션브릿지)</t>
        </is>
      </c>
      <c r="F775" s="5" t="inlineStr"/>
      <c r="G775" s="5" t="inlineStr">
        <is>
          <t>051-634-5553</t>
        </is>
      </c>
      <c r="H775" s="12">
        <f>어린이집!T396</f>
        <v/>
      </c>
      <c r="I775" s="5" t="inlineStr">
        <is>
          <t>만1세 20 / 만2세 15 / 기타(연령구분 없음) 10</t>
        </is>
      </c>
    </row>
    <row r="776">
      <c r="A776" s="5" t="inlineStr">
        <is>
          <t>위브초롱어린이집</t>
        </is>
      </c>
      <c r="B776" s="5" t="inlineStr">
        <is>
          <t>어린이집</t>
        </is>
      </c>
      <c r="C776" s="5" t="inlineStr">
        <is>
          <t>가정</t>
        </is>
      </c>
      <c r="D776" s="5" t="inlineStr">
        <is>
          <t>동구</t>
        </is>
      </c>
      <c r="E776" s="5" t="inlineStr">
        <is>
          <t>부산광역시 동구 성남일로 5 103동 101호(좌천동, 두산위브범일뉴타운)</t>
        </is>
      </c>
      <c r="F776" s="5" t="inlineStr"/>
      <c r="G776" s="5" t="inlineStr">
        <is>
          <t>051-635-0676</t>
        </is>
      </c>
      <c r="H776" s="12">
        <f>어린이집!T397</f>
        <v/>
      </c>
      <c r="I776" s="5" t="inlineStr">
        <is>
          <t>만0세 3 / 만1세 9 / 만2세 8 / 기타(연령구분 없음) 7</t>
        </is>
      </c>
    </row>
    <row r="777">
      <c r="A777" s="5" t="inlineStr">
        <is>
          <t>일동미라주어린이집</t>
        </is>
      </c>
      <c r="B777" s="5" t="inlineStr">
        <is>
          <t>어린이집</t>
        </is>
      </c>
      <c r="C777" s="5" t="inlineStr">
        <is>
          <t>국공립</t>
        </is>
      </c>
      <c r="D777" s="5" t="inlineStr">
        <is>
          <t>동구</t>
        </is>
      </c>
      <c r="E777" s="5" t="inlineStr">
        <is>
          <t>부산광역시 동구 자성로 2 (좌천동, 부산항 일동미라주 더오션(1지구))</t>
        </is>
      </c>
      <c r="F777" s="5" t="inlineStr"/>
      <c r="G777" s="5" t="inlineStr">
        <is>
          <t>051-633-1236</t>
        </is>
      </c>
      <c r="H777" s="12">
        <f>어린이집!T398</f>
        <v/>
      </c>
      <c r="I777" s="5" t="inlineStr">
        <is>
          <t>만0세 6 / 만1세 10 / 만2세 12 / 기타(연령구분 없음) 8</t>
        </is>
      </c>
    </row>
    <row r="778">
      <c r="A778" s="5" t="inlineStr">
        <is>
          <t>자연어린이집</t>
        </is>
      </c>
      <c r="B778" s="5" t="inlineStr">
        <is>
          <t>어린이집</t>
        </is>
      </c>
      <c r="C778" s="5" t="inlineStr">
        <is>
          <t>민간</t>
        </is>
      </c>
      <c r="D778" s="5" t="inlineStr">
        <is>
          <t>동구</t>
        </is>
      </c>
      <c r="E778" s="5" t="inlineStr">
        <is>
          <t>부산광역시 동구 홍곡남로18번길 8 (수정동)</t>
        </is>
      </c>
      <c r="F778" s="11" t="inlineStr">
        <is>
          <t>http://cafe.naver.com/nature5250.cafe</t>
        </is>
      </c>
      <c r="G778" s="5" t="inlineStr">
        <is>
          <t>051-468-5250</t>
        </is>
      </c>
      <c r="H778" s="12">
        <f>어린이집!T399</f>
        <v/>
      </c>
      <c r="I778" s="5" t="inlineStr">
        <is>
          <t>만0세 3 / 만1세 15 / 만2세 12 / 기타(연령구분 없음) 5</t>
        </is>
      </c>
    </row>
    <row r="779">
      <c r="A779" s="5" t="inlineStr">
        <is>
          <t>좌천4동어린이집</t>
        </is>
      </c>
      <c r="B779" s="5" t="inlineStr">
        <is>
          <t>어린이집</t>
        </is>
      </c>
      <c r="C779" s="5" t="inlineStr">
        <is>
          <t>사회복지법인</t>
        </is>
      </c>
      <c r="D779" s="5" t="inlineStr">
        <is>
          <t>동구</t>
        </is>
      </c>
      <c r="E779" s="5" t="inlineStr">
        <is>
          <t>부산광역시 동구 성북로27번길 11 9/2 좌천4동어린이집 (좌천동)</t>
        </is>
      </c>
      <c r="F779" s="5" t="inlineStr"/>
      <c r="G779" s="5" t="inlineStr">
        <is>
          <t>051-632-1468</t>
        </is>
      </c>
      <c r="H779" s="12">
        <f>어린이집!T400</f>
        <v/>
      </c>
      <c r="I779" s="5" t="inlineStr">
        <is>
          <t>만1세 4 / 만2세 4 / 영유아혼합반 4</t>
        </is>
      </c>
    </row>
    <row r="780">
      <c r="A780" s="5" t="inlineStr">
        <is>
          <t>초량1동 어린이집</t>
        </is>
      </c>
      <c r="B780" s="5" t="inlineStr">
        <is>
          <t>어린이집</t>
        </is>
      </c>
      <c r="C780" s="5" t="inlineStr">
        <is>
          <t>국공립</t>
        </is>
      </c>
      <c r="D780" s="5" t="inlineStr">
        <is>
          <t>동구</t>
        </is>
      </c>
      <c r="E780" s="5" t="inlineStr">
        <is>
          <t>부산광역시 동구 영초윗길 9 (초량동)</t>
        </is>
      </c>
      <c r="F780" s="5" t="inlineStr"/>
      <c r="G780" s="5" t="inlineStr">
        <is>
          <t>051-467-9606</t>
        </is>
      </c>
      <c r="H780" s="12">
        <f>어린이집!T401</f>
        <v/>
      </c>
      <c r="I780" s="5" t="inlineStr">
        <is>
          <t>영아혼합반 12 / 유아혼합반 14</t>
        </is>
      </c>
    </row>
    <row r="781">
      <c r="A781" s="5" t="inlineStr">
        <is>
          <t>초량범양레우스어린이집</t>
        </is>
      </c>
      <c r="B781" s="5" t="inlineStr">
        <is>
          <t>어린이집</t>
        </is>
      </c>
      <c r="C781" s="5" t="inlineStr">
        <is>
          <t>국공립</t>
        </is>
      </c>
      <c r="D781" s="5" t="inlineStr">
        <is>
          <t>동구</t>
        </is>
      </c>
      <c r="E781" s="5" t="inlineStr">
        <is>
          <t>부산광역시 동구 초량중로 114 (초량동, 범양레우스 센트럴베이)</t>
        </is>
      </c>
      <c r="F781" s="5" t="inlineStr"/>
      <c r="G781" s="5" t="inlineStr">
        <is>
          <t>051-462-7902</t>
        </is>
      </c>
      <c r="H781" s="12">
        <f>어린이집!T402</f>
        <v/>
      </c>
      <c r="I781" s="5" t="inlineStr">
        <is>
          <t>만0세 6 / 만1세 10 / 만2세 14 / 기타(연령구분 없음) 5</t>
        </is>
      </c>
    </row>
    <row r="782">
      <c r="A782" s="5" t="inlineStr">
        <is>
          <t>초량베스티움어린이집</t>
        </is>
      </c>
      <c r="B782" s="5" t="inlineStr">
        <is>
          <t>어린이집</t>
        </is>
      </c>
      <c r="C782" s="5" t="inlineStr">
        <is>
          <t>국공립</t>
        </is>
      </c>
      <c r="D782" s="5" t="inlineStr">
        <is>
          <t>동구</t>
        </is>
      </c>
      <c r="E782" s="5" t="inlineStr">
        <is>
          <t>부산광역시 동구 홍곡로 37 (초량동, 초량베스티움센트럴베이)</t>
        </is>
      </c>
      <c r="F782" s="5" t="inlineStr"/>
      <c r="G782" s="5" t="inlineStr">
        <is>
          <t>051-466-3848</t>
        </is>
      </c>
      <c r="H782" s="12">
        <f>어린이집!T403</f>
        <v/>
      </c>
      <c r="I782" s="5" t="inlineStr">
        <is>
          <t>만0세 6 / 만1세 14 / 만2세 11 / 기타(연령구분 없음) 9</t>
        </is>
      </c>
    </row>
    <row r="783">
      <c r="A783" s="5" t="inlineStr">
        <is>
          <t>초량이편한어린이집</t>
        </is>
      </c>
      <c r="B783" s="5" t="inlineStr">
        <is>
          <t>어린이집</t>
        </is>
      </c>
      <c r="C783" s="5" t="inlineStr">
        <is>
          <t>국공립</t>
        </is>
      </c>
      <c r="D783" s="5" t="inlineStr">
        <is>
          <t>동구</t>
        </is>
      </c>
      <c r="E783" s="5" t="inlineStr">
        <is>
          <t>부산광역시 동구 홍곡로 50 (초량동, e편한세상 부산항)</t>
        </is>
      </c>
      <c r="F783" s="5" t="inlineStr"/>
      <c r="G783" s="5" t="inlineStr">
        <is>
          <t>051-469-5006</t>
        </is>
      </c>
      <c r="H783" s="12">
        <f>어린이집!T404</f>
        <v/>
      </c>
      <c r="I783" s="5" t="inlineStr">
        <is>
          <t>만0세 6 / 만1세 10 / 만2세 14</t>
        </is>
      </c>
    </row>
    <row r="784">
      <c r="A784" s="5" t="inlineStr">
        <is>
          <t>행복누리어린이집</t>
        </is>
      </c>
      <c r="B784" s="5" t="inlineStr">
        <is>
          <t>어린이집</t>
        </is>
      </c>
      <c r="C784" s="5" t="inlineStr">
        <is>
          <t>직장</t>
        </is>
      </c>
      <c r="D784" s="5" t="inlineStr">
        <is>
          <t>동구</t>
        </is>
      </c>
      <c r="E784" s="5" t="inlineStr">
        <is>
          <t>부산광역시 동구 자성로 134 (범일동)</t>
        </is>
      </c>
      <c r="F784" s="5" t="inlineStr"/>
      <c r="G784" s="5" t="inlineStr">
        <is>
          <t>051-637-2527</t>
        </is>
      </c>
      <c r="H784" s="12">
        <f>어린이집!T405</f>
        <v/>
      </c>
      <c r="I784" s="5" t="inlineStr">
        <is>
          <t>만1세 15 / 만2세 13 / 만3세 5 / 유아혼합반 8 / 기타(연령구분 없음) 18</t>
        </is>
      </c>
    </row>
    <row r="785">
      <c r="A785" s="5" t="inlineStr">
        <is>
          <t>현대해상온마음어린이집</t>
        </is>
      </c>
      <c r="B785" s="5" t="inlineStr">
        <is>
          <t>어린이집</t>
        </is>
      </c>
      <c r="C785" s="5" t="inlineStr">
        <is>
          <t>직장</t>
        </is>
      </c>
      <c r="D785" s="5" t="inlineStr">
        <is>
          <t>동구</t>
        </is>
      </c>
      <c r="E785" s="5" t="inlineStr">
        <is>
          <t>부산광역시 동구 고관로13번길 31</t>
        </is>
      </c>
      <c r="F785" s="11" t="inlineStr">
        <is>
          <t>http://www.puruni.com/hibs</t>
        </is>
      </c>
      <c r="G785" s="5" t="inlineStr">
        <is>
          <t>051-468-9979</t>
        </is>
      </c>
      <c r="H785" s="12">
        <f>어린이집!T406</f>
        <v/>
      </c>
      <c r="I785" s="5" t="inlineStr">
        <is>
          <t>만1세 5 / 만2세 3 / 만3세 3 / 기타(연령구분 없음) 5</t>
        </is>
      </c>
    </row>
    <row r="786">
      <c r="A786" s="5" t="inlineStr">
        <is>
          <t>효원 어린이집</t>
        </is>
      </c>
      <c r="B786" s="5" t="inlineStr">
        <is>
          <t>어린이집</t>
        </is>
      </c>
      <c r="C786" s="5" t="inlineStr">
        <is>
          <t>민간</t>
        </is>
      </c>
      <c r="D786" s="5" t="inlineStr">
        <is>
          <t>동구</t>
        </is>
      </c>
      <c r="E786" s="5" t="inlineStr">
        <is>
          <t>부산광역시 동구 고관로13번길 47 (초량동)</t>
        </is>
      </c>
      <c r="F786" s="5" t="inlineStr"/>
      <c r="G786" s="5" t="inlineStr">
        <is>
          <t>051-462-1002</t>
        </is>
      </c>
      <c r="H786" s="12">
        <f>어린이집!T407</f>
        <v/>
      </c>
      <c r="I786" s="5" t="inlineStr">
        <is>
          <t>만0세 8 / 만1세 29 / 만2세 16 / 유아혼합반 9 / 기타(연령구분 없음) 9</t>
        </is>
      </c>
    </row>
    <row r="787">
      <c r="A787" s="5" t="inlineStr">
        <is>
          <t>BR스쿨어린이집</t>
        </is>
      </c>
      <c r="B787" s="5" t="inlineStr">
        <is>
          <t>어린이집</t>
        </is>
      </c>
      <c r="C787" s="5" t="inlineStr">
        <is>
          <t>사회복지법인</t>
        </is>
      </c>
      <c r="D787" s="5" t="inlineStr">
        <is>
          <t>동래구</t>
        </is>
      </c>
      <c r="E787" s="5" t="inlineStr">
        <is>
          <t>부산광역시 동래구 쇠미로27번길 10 (사직2동)</t>
        </is>
      </c>
      <c r="F787" s="11" t="inlineStr">
        <is>
          <t>http://BR스쿨어린이집.COM</t>
        </is>
      </c>
      <c r="G787" s="5" t="inlineStr">
        <is>
          <t>051-504-8866</t>
        </is>
      </c>
      <c r="H787" s="12">
        <f>어린이집!T408</f>
        <v/>
      </c>
      <c r="I787" s="5" t="inlineStr">
        <is>
          <t>만1세 11 / 만2세 12 / 기타(연령구분 없음) 5</t>
        </is>
      </c>
    </row>
    <row r="788">
      <c r="A788" s="5" t="inlineStr">
        <is>
          <t>강변뜨란채어린이집</t>
        </is>
      </c>
      <c r="B788" s="5" t="inlineStr">
        <is>
          <t>어린이집</t>
        </is>
      </c>
      <c r="C788" s="5" t="inlineStr">
        <is>
          <t>국공립</t>
        </is>
      </c>
      <c r="D788" s="5" t="inlineStr">
        <is>
          <t>동래구</t>
        </is>
      </c>
      <c r="E788" s="5" t="inlineStr">
        <is>
          <t>부산광역시 동래구 안남로 79 관리동 1층(강변뜨란채아파트)</t>
        </is>
      </c>
      <c r="F788" s="5" t="inlineStr"/>
      <c r="G788" s="5" t="inlineStr">
        <is>
          <t>051-529-0032</t>
        </is>
      </c>
      <c r="H788" s="12">
        <f>어린이집!T409</f>
        <v/>
      </c>
      <c r="I788" s="5" t="inlineStr">
        <is>
          <t>만0세 6 / 만1세 12 / 만2세 7 / 기타(연령구분 없음) 5</t>
        </is>
      </c>
    </row>
    <row r="789">
      <c r="A789" s="5" t="inlineStr">
        <is>
          <t>경동아이숲어린이집</t>
        </is>
      </c>
      <c r="B789" s="5" t="inlineStr">
        <is>
          <t>어린이집</t>
        </is>
      </c>
      <c r="C789" s="5" t="inlineStr">
        <is>
          <t>가정</t>
        </is>
      </c>
      <c r="D789" s="5" t="inlineStr">
        <is>
          <t>동래구</t>
        </is>
      </c>
      <c r="E789" s="5" t="inlineStr">
        <is>
          <t>부산광역시 동래구 충렬대로446번길 67 경동리인1차아파트 관리동1층</t>
        </is>
      </c>
      <c r="F789" s="5" t="inlineStr"/>
      <c r="G789" s="5" t="inlineStr">
        <is>
          <t>051-523-2007</t>
        </is>
      </c>
      <c r="H789" s="12">
        <f>어린이집!T410</f>
        <v/>
      </c>
      <c r="I789" s="5" t="inlineStr">
        <is>
          <t>만0세 3 / 영아혼합반 5 / 기타(연령구분 없음) 3</t>
        </is>
      </c>
    </row>
    <row r="790">
      <c r="A790" s="5" t="inlineStr">
        <is>
          <t>금강어린이집</t>
        </is>
      </c>
      <c r="B790" s="5" t="inlineStr">
        <is>
          <t>어린이집</t>
        </is>
      </c>
      <c r="C790" s="5" t="inlineStr">
        <is>
          <t>가정</t>
        </is>
      </c>
      <c r="D790" s="5" t="inlineStr">
        <is>
          <t>동래구</t>
        </is>
      </c>
      <c r="E790" s="5" t="inlineStr">
        <is>
          <t>부산광역시 동래구 아시아드대로247번길 53 102호(온천3동, 유림빌라)</t>
        </is>
      </c>
      <c r="F790" s="5" t="inlineStr"/>
      <c r="G790" s="5" t="inlineStr">
        <is>
          <t>051-505-4492</t>
        </is>
      </c>
      <c r="H790" s="12">
        <f>어린이집!T411</f>
        <v/>
      </c>
      <c r="I790" s="5" t="inlineStr">
        <is>
          <t>만0세 7 / 만1세 3 / 만2세 6 / 기타(연령구분 없음) 3</t>
        </is>
      </c>
    </row>
    <row r="791">
      <c r="A791" s="5" t="inlineStr">
        <is>
          <t>꼬마피카소어린이집</t>
        </is>
      </c>
      <c r="B791" s="5" t="inlineStr">
        <is>
          <t>어린이집</t>
        </is>
      </c>
      <c r="C791" s="5" t="inlineStr">
        <is>
          <t>민간</t>
        </is>
      </c>
      <c r="D791" s="5" t="inlineStr">
        <is>
          <t>동래구</t>
        </is>
      </c>
      <c r="E791" s="5" t="inlineStr">
        <is>
          <t>부산광역시 동래구 명서로112번가길 25 (명장2동)</t>
        </is>
      </c>
      <c r="F791" s="5" t="inlineStr"/>
      <c r="G791" s="5" t="inlineStr">
        <is>
          <t>051-527-5162</t>
        </is>
      </c>
      <c r="H791" s="12">
        <f>어린이집!T412</f>
        <v/>
      </c>
      <c r="I791" s="5" t="inlineStr">
        <is>
          <t>만0세 1 / 영아혼합반 4 / 유아혼합반 8 / 기타(연령구분 없음) 4</t>
        </is>
      </c>
    </row>
    <row r="792">
      <c r="A792" s="5" t="inlineStr">
        <is>
          <t>낙민아라빌어린이집</t>
        </is>
      </c>
      <c r="B792" s="5" t="inlineStr">
        <is>
          <t>어린이집</t>
        </is>
      </c>
      <c r="C792" s="5" t="inlineStr">
        <is>
          <t>국공립</t>
        </is>
      </c>
      <c r="D792" s="5" t="inlineStr">
        <is>
          <t>동래구</t>
        </is>
      </c>
      <c r="E792" s="5" t="inlineStr">
        <is>
          <t>부산광역시 동래구 안남로31번길 21</t>
        </is>
      </c>
      <c r="F792" s="5" t="inlineStr"/>
      <c r="G792" s="5" t="inlineStr">
        <is>
          <t>051-557-0337</t>
        </is>
      </c>
      <c r="H792" s="12">
        <f>어린이집!T413</f>
        <v/>
      </c>
      <c r="I792" s="5" t="inlineStr">
        <is>
          <t>만0세 3 / 만1세 13 / 만2세 13 / 기타(연령구분 없음) 5</t>
        </is>
      </c>
    </row>
    <row r="793">
      <c r="A793" s="5" t="inlineStr">
        <is>
          <t>늘사랑어린이집</t>
        </is>
      </c>
      <c r="B793" s="5" t="inlineStr">
        <is>
          <t>어린이집</t>
        </is>
      </c>
      <c r="C793" s="5" t="inlineStr">
        <is>
          <t>가정</t>
        </is>
      </c>
      <c r="D793" s="5" t="inlineStr">
        <is>
          <t>동래구</t>
        </is>
      </c>
      <c r="E793" s="5" t="inlineStr">
        <is>
          <t>부산광역시 동래구 안남로31번길 10 101동 108호(낙민동, 중앙하이츠아파트)</t>
        </is>
      </c>
      <c r="F793" s="5" t="inlineStr"/>
      <c r="G793" s="5" t="inlineStr">
        <is>
          <t>051-521-3592</t>
        </is>
      </c>
      <c r="H793" s="12">
        <f>어린이집!T414</f>
        <v/>
      </c>
      <c r="I793" s="5" t="inlineStr">
        <is>
          <t>만0세 5 / 만1세 8 / 만2세 6 / 기타(연령구분 없음) 5</t>
        </is>
      </c>
    </row>
    <row r="794">
      <c r="A794" s="5" t="inlineStr">
        <is>
          <t>늘푸른어린이집</t>
        </is>
      </c>
      <c r="B794" s="5" t="inlineStr">
        <is>
          <t>어린이집</t>
        </is>
      </c>
      <c r="C794" s="5" t="inlineStr">
        <is>
          <t>협동</t>
        </is>
      </c>
      <c r="D794" s="5" t="inlineStr">
        <is>
          <t>동래구</t>
        </is>
      </c>
      <c r="E794" s="5" t="inlineStr">
        <is>
          <t>부산광역시 동래구 시실로 49 명륜동, 명륜2차아이파크</t>
        </is>
      </c>
      <c r="F794" s="5" t="inlineStr"/>
      <c r="G794" s="5" t="inlineStr">
        <is>
          <t>051-554-0882</t>
        </is>
      </c>
      <c r="H794" s="12">
        <f>어린이집!T415</f>
        <v/>
      </c>
      <c r="I794" s="5" t="inlineStr">
        <is>
          <t>만0세 12 / 만1세 14 / 만2세 13 / 기타(연령구분 없음) 5</t>
        </is>
      </c>
    </row>
    <row r="795">
      <c r="A795" s="5" t="inlineStr">
        <is>
          <t>단비어린이집</t>
        </is>
      </c>
      <c r="B795" s="5" t="inlineStr">
        <is>
          <t>어린이집</t>
        </is>
      </c>
      <c r="C795" s="5" t="inlineStr">
        <is>
          <t>국공립</t>
        </is>
      </c>
      <c r="D795" s="5" t="inlineStr">
        <is>
          <t>동래구</t>
        </is>
      </c>
      <c r="E795" s="5" t="inlineStr">
        <is>
          <t>부산광역시 동래구 석사로18번길 31 (사직1동)</t>
        </is>
      </c>
      <c r="F795" s="5" t="inlineStr"/>
      <c r="G795" s="5" t="inlineStr">
        <is>
          <t>051-501-8326</t>
        </is>
      </c>
      <c r="H795" s="12">
        <f>어린이집!T416</f>
        <v/>
      </c>
      <c r="I795" s="5" t="inlineStr">
        <is>
          <t>만0세 4 / 만1세 10 / 만2세 12 / 만3세 14 / 유아혼합반 17 / 기타(연령구분 없음) 17</t>
        </is>
      </c>
    </row>
    <row r="796">
      <c r="A796" s="5" t="inlineStr">
        <is>
          <t>더샵동래어린이집</t>
        </is>
      </c>
      <c r="B796" s="5" t="inlineStr">
        <is>
          <t>어린이집</t>
        </is>
      </c>
      <c r="C796" s="5" t="inlineStr">
        <is>
          <t>국공립</t>
        </is>
      </c>
      <c r="D796" s="5" t="inlineStr">
        <is>
          <t>동래구</t>
        </is>
      </c>
      <c r="E796" s="5" t="inlineStr">
        <is>
          <t>부산광역시 동래구 온천장로 38</t>
        </is>
      </c>
      <c r="F796" s="5" t="inlineStr"/>
      <c r="G796" s="5" t="inlineStr">
        <is>
          <t>051-557-3300</t>
        </is>
      </c>
      <c r="H796" s="12">
        <f>어린이집!T417</f>
        <v/>
      </c>
      <c r="I796" s="5" t="inlineStr">
        <is>
          <t>만0세 9 / 만1세 20 / 만2세 20 / 기타(연령구분 없음) 5</t>
        </is>
      </c>
    </row>
    <row r="797">
      <c r="A797" s="5" t="inlineStr">
        <is>
          <t>더클래식어린이집</t>
        </is>
      </c>
      <c r="B797" s="5" t="inlineStr">
        <is>
          <t>어린이집</t>
        </is>
      </c>
      <c r="C797" s="5" t="inlineStr">
        <is>
          <t>민간</t>
        </is>
      </c>
      <c r="D797" s="5" t="inlineStr">
        <is>
          <t>동래구</t>
        </is>
      </c>
      <c r="E797" s="5" t="inlineStr">
        <is>
          <t>부산광역시 동래구 아시아드대로146번길 1 (사직동,사직롯데더클래식)</t>
        </is>
      </c>
      <c r="F797" s="5" t="inlineStr"/>
      <c r="G797" s="5" t="inlineStr">
        <is>
          <t>051-505-2785</t>
        </is>
      </c>
      <c r="H797" s="12">
        <f>어린이집!T418</f>
        <v/>
      </c>
      <c r="I797" s="5" t="inlineStr">
        <is>
          <t>만0세 4 / 만1세 18 / 만2세 18 / 기타(연령구분 없음) 5</t>
        </is>
      </c>
    </row>
    <row r="798">
      <c r="A798" s="5" t="inlineStr">
        <is>
          <t>동래3차SK뷰어린이집</t>
        </is>
      </c>
      <c r="B798" s="5" t="inlineStr">
        <is>
          <t>어린이집</t>
        </is>
      </c>
      <c r="C798" s="5" t="inlineStr">
        <is>
          <t>국공립</t>
        </is>
      </c>
      <c r="D798" s="5" t="inlineStr">
        <is>
          <t>동래구</t>
        </is>
      </c>
      <c r="E798" s="5" t="inlineStr">
        <is>
          <t>부산광역시 동래구 온천장로65번길 9</t>
        </is>
      </c>
      <c r="F798" s="5" t="inlineStr"/>
      <c r="G798" s="5" t="inlineStr">
        <is>
          <t>051-977-3004</t>
        </is>
      </c>
      <c r="H798" s="12">
        <f>어린이집!T419</f>
        <v/>
      </c>
      <c r="I798" s="5" t="inlineStr">
        <is>
          <t>만0세 6 / 만1세 29 / 만2세 35 / 유아혼합반 10 / 기타(연령구분 없음) 5</t>
        </is>
      </c>
    </row>
    <row r="799">
      <c r="A799" s="5" t="inlineStr">
        <is>
          <t>동래구청직장어린이집</t>
        </is>
      </c>
      <c r="B799" s="5" t="inlineStr">
        <is>
          <t>어린이집</t>
        </is>
      </c>
      <c r="C799" s="5" t="inlineStr">
        <is>
          <t>직장</t>
        </is>
      </c>
      <c r="D799" s="5" t="inlineStr">
        <is>
          <t>동래구</t>
        </is>
      </c>
      <c r="E799" s="5" t="inlineStr">
        <is>
          <t>부산광역시 동래구 충렬대로237번길 93 동래구청직장어린이집</t>
        </is>
      </c>
      <c r="F799" s="5" t="inlineStr"/>
      <c r="G799" s="5" t="inlineStr">
        <is>
          <t>051-550-5899</t>
        </is>
      </c>
      <c r="H799" s="12">
        <f>어린이집!T420</f>
        <v/>
      </c>
      <c r="I799" s="5" t="inlineStr">
        <is>
          <t>만0세 6 / 만1세 5 / 만2세 6 / 기타(연령구분 없음) 4</t>
        </is>
      </c>
    </row>
    <row r="800">
      <c r="A800" s="5" t="inlineStr">
        <is>
          <t>동래꿈에그린어린이집</t>
        </is>
      </c>
      <c r="B800" s="5" t="inlineStr">
        <is>
          <t>어린이집</t>
        </is>
      </c>
      <c r="C800" s="5" t="inlineStr">
        <is>
          <t>국공립</t>
        </is>
      </c>
      <c r="D800" s="5" t="inlineStr">
        <is>
          <t>동래구</t>
        </is>
      </c>
      <c r="E800" s="5" t="inlineStr">
        <is>
          <t>부산광역시 동래구 온천천로339번길 51</t>
        </is>
      </c>
      <c r="F800" s="5" t="inlineStr"/>
      <c r="G800" s="5" t="inlineStr">
        <is>
          <t>051-914-2004</t>
        </is>
      </c>
      <c r="H800" s="12">
        <f>어린이집!T421</f>
        <v/>
      </c>
      <c r="I800" s="5" t="inlineStr">
        <is>
          <t>만0세 8 / 만1세 15 / 만2세 27 / 유아혼합반 11 / 장애아반(특수) 3 / 기타(연령구분 없음) 14</t>
        </is>
      </c>
    </row>
    <row r="801">
      <c r="A801" s="5" t="inlineStr">
        <is>
          <t>동래동일어린이집</t>
        </is>
      </c>
      <c r="B801" s="5" t="inlineStr">
        <is>
          <t>어린이집</t>
        </is>
      </c>
      <c r="C801" s="5" t="inlineStr">
        <is>
          <t>국공립</t>
        </is>
      </c>
      <c r="D801" s="5" t="inlineStr">
        <is>
          <t>동래구</t>
        </is>
      </c>
      <c r="E801" s="5" t="inlineStr">
        <is>
          <t>부산광역시 동래구 시실로 119 관리동 1층(명장2동, 동일스위트아파트)</t>
        </is>
      </c>
      <c r="F801" s="11" t="inlineStr">
        <is>
          <t>https://www.instagram.com/kids_dongil</t>
        </is>
      </c>
      <c r="G801" s="5" t="inlineStr">
        <is>
          <t>051-532-0179</t>
        </is>
      </c>
      <c r="H801" s="12">
        <f>어린이집!T422</f>
        <v/>
      </c>
      <c r="I801" s="5" t="inlineStr">
        <is>
          <t>만1세 15 / 만2세 23 / 만3세 8 / 장애아반(특수) 2 / 기타(연령구분 없음) 31</t>
        </is>
      </c>
    </row>
    <row r="802">
      <c r="A802" s="5" t="inlineStr">
        <is>
          <t>동래래미안아이파크1단지어린이집</t>
        </is>
      </c>
      <c r="B802" s="5" t="inlineStr">
        <is>
          <t>어린이집</t>
        </is>
      </c>
      <c r="C802" s="5" t="inlineStr">
        <is>
          <t>국공립</t>
        </is>
      </c>
      <c r="D802" s="5" t="inlineStr">
        <is>
          <t>동래구</t>
        </is>
      </c>
      <c r="E802" s="5" t="inlineStr">
        <is>
          <t>부산광역시 동래구 금정마을로 147</t>
        </is>
      </c>
      <c r="F802" s="5" t="inlineStr"/>
      <c r="G802" s="5" t="inlineStr">
        <is>
          <t>051-553-1004</t>
        </is>
      </c>
      <c r="H802" s="12">
        <f>어린이집!T423</f>
        <v/>
      </c>
      <c r="I802" s="5" t="inlineStr">
        <is>
          <t>만0세 6 / 만1세 20 / 만2세 20 / 기타(연령구분 없음) 10</t>
        </is>
      </c>
    </row>
    <row r="803">
      <c r="A803" s="5" t="inlineStr">
        <is>
          <t>동래래미안아이파크2단지어린이집</t>
        </is>
      </c>
      <c r="B803" s="5" t="inlineStr">
        <is>
          <t>어린이집</t>
        </is>
      </c>
      <c r="C803" s="5" t="inlineStr">
        <is>
          <t>국공립</t>
        </is>
      </c>
      <c r="D803" s="5" t="inlineStr">
        <is>
          <t>동래구</t>
        </is>
      </c>
      <c r="E803" s="5" t="inlineStr">
        <is>
          <t>부산광역시 동래구 금정마을로 150</t>
        </is>
      </c>
      <c r="F803" s="5" t="inlineStr"/>
      <c r="G803" s="5" t="inlineStr">
        <is>
          <t>051-553-5004</t>
        </is>
      </c>
      <c r="H803" s="12">
        <f>어린이집!T424</f>
        <v/>
      </c>
      <c r="I803" s="5" t="inlineStr">
        <is>
          <t>만0세 6 / 만1세 13 / 만2세 19 / 만3세 20 / 만4세 19 / 만5세 13 / 기타(연령구분 없음) 34</t>
        </is>
      </c>
    </row>
    <row r="804">
      <c r="A804" s="5" t="inlineStr">
        <is>
          <t>동래래미안아이파크3단지어린이집</t>
        </is>
      </c>
      <c r="B804" s="5" t="inlineStr">
        <is>
          <t>어린이집</t>
        </is>
      </c>
      <c r="C804" s="5" t="inlineStr">
        <is>
          <t>국공립</t>
        </is>
      </c>
      <c r="D804" s="5" t="inlineStr">
        <is>
          <t>동래구</t>
        </is>
      </c>
      <c r="E804" s="5" t="inlineStr">
        <is>
          <t>부산광역시 동래구 충렬대로107번길 65</t>
        </is>
      </c>
      <c r="F804" s="5" t="inlineStr"/>
      <c r="G804" s="5" t="inlineStr">
        <is>
          <t>051-932-3330</t>
        </is>
      </c>
      <c r="H804" s="12">
        <f>어린이집!T425</f>
        <v/>
      </c>
      <c r="I804" s="5" t="inlineStr">
        <is>
          <t>만0세 6 / 만1세 10 / 만2세 14 / 만3세 14 / 만4세 7 / 만5세 14 / 장애아반(특수) 2 / 기타(연령구분 없음) 35</t>
        </is>
      </c>
    </row>
    <row r="805">
      <c r="A805" s="5" t="inlineStr">
        <is>
          <t>동래래미안포레스티지1단지어린이집</t>
        </is>
      </c>
      <c r="B805" s="5" t="inlineStr">
        <is>
          <t>어린이집</t>
        </is>
      </c>
      <c r="C805" s="5" t="inlineStr">
        <is>
          <t>국공립</t>
        </is>
      </c>
      <c r="D805" s="5" t="inlineStr">
        <is>
          <t>동래구</t>
        </is>
      </c>
      <c r="E805" s="5" t="inlineStr">
        <is>
          <t>부산광역시 동래구 금강로151번길 46 동래래미안포레스티지1단지 어린이집</t>
        </is>
      </c>
      <c r="F805" s="5" t="inlineStr"/>
      <c r="G805" s="5" t="inlineStr">
        <is>
          <t>051-553-7130</t>
        </is>
      </c>
      <c r="H805" s="12">
        <f>어린이집!T426</f>
        <v/>
      </c>
      <c r="I805" s="5" t="inlineStr">
        <is>
          <t>만0세 5 / 만1세 30 / 만2세 26 / 유아혼합반 6 / 기타(연령구분 없음) 10</t>
        </is>
      </c>
    </row>
    <row r="806">
      <c r="A806" s="5" t="inlineStr">
        <is>
          <t>동래래미안포레스티지2단지어린이집</t>
        </is>
      </c>
      <c r="B806" s="5" t="inlineStr">
        <is>
          <t>어린이집</t>
        </is>
      </c>
      <c r="C806" s="5" t="inlineStr">
        <is>
          <t>국공립</t>
        </is>
      </c>
      <c r="D806" s="5" t="inlineStr">
        <is>
          <t>동래구</t>
        </is>
      </c>
      <c r="E806" s="5" t="inlineStr">
        <is>
          <t>부산광역시 동래구 금강로131번길 42 동래래미안포레스티지2단지어린이집</t>
        </is>
      </c>
      <c r="F806" s="5" t="inlineStr"/>
      <c r="G806" s="5" t="inlineStr">
        <is>
          <t>051-554-2012</t>
        </is>
      </c>
      <c r="H806" s="12">
        <f>어린이집!T427</f>
        <v/>
      </c>
      <c r="I806" s="5" t="inlineStr">
        <is>
          <t>만1세 13 / 만2세 25 / 만3세 17 / 만4세 20 / 만5세 12 / 기타(연령구분 없음) 40</t>
        </is>
      </c>
    </row>
    <row r="807">
      <c r="A807" s="5" t="inlineStr">
        <is>
          <t>동래래미안포레스티지3단지어린이집</t>
        </is>
      </c>
      <c r="B807" s="5" t="inlineStr">
        <is>
          <t>어린이집</t>
        </is>
      </c>
      <c r="C807" s="5" t="inlineStr">
        <is>
          <t>국공립</t>
        </is>
      </c>
      <c r="D807" s="5" t="inlineStr">
        <is>
          <t>동래구</t>
        </is>
      </c>
      <c r="E807" s="5" t="inlineStr">
        <is>
          <t>부산광역시 동래구 금강로131번길 41 동래래미안포레스티지3단지어린이집</t>
        </is>
      </c>
      <c r="F807" s="5" t="inlineStr"/>
      <c r="G807" s="5" t="inlineStr">
        <is>
          <t>051-556-6933</t>
        </is>
      </c>
      <c r="H807" s="12">
        <f>어린이집!T428</f>
        <v/>
      </c>
      <c r="I807" s="5" t="inlineStr">
        <is>
          <t>만0세 9 / 만1세 25 / 만2세 28 / 만3세 12 / 유아혼합반 10 / 기타(연령구분 없음) 28</t>
        </is>
      </c>
    </row>
    <row r="808">
      <c r="A808" s="5" t="inlineStr">
        <is>
          <t>동래행복주택어린이집</t>
        </is>
      </c>
      <c r="B808" s="5" t="inlineStr">
        <is>
          <t>어린이집</t>
        </is>
      </c>
      <c r="C808" s="5" t="inlineStr">
        <is>
          <t>국공립</t>
        </is>
      </c>
      <c r="D808" s="5" t="inlineStr">
        <is>
          <t>동래구</t>
        </is>
      </c>
      <c r="E808" s="5" t="inlineStr">
        <is>
          <t>부산광역시 동래구 반송로 164 부산 동래역행복주택</t>
        </is>
      </c>
      <c r="F808" s="5" t="inlineStr"/>
      <c r="G808" s="5" t="inlineStr">
        <is>
          <t>051-931-3004</t>
        </is>
      </c>
      <c r="H808" s="12">
        <f>어린이집!T429</f>
        <v/>
      </c>
      <c r="I808" s="5" t="inlineStr">
        <is>
          <t>만0세 9 / 만1세 20 / 만2세 13 / 기타(연령구분 없음) 3</t>
        </is>
      </c>
    </row>
    <row r="809">
      <c r="A809" s="5" t="inlineStr">
        <is>
          <t>동래효성해링턴어린이집</t>
        </is>
      </c>
      <c r="B809" s="5" t="inlineStr">
        <is>
          <t>어린이집</t>
        </is>
      </c>
      <c r="C809" s="5" t="inlineStr">
        <is>
          <t>국공립</t>
        </is>
      </c>
      <c r="D809" s="5" t="inlineStr">
        <is>
          <t>동래구</t>
        </is>
      </c>
      <c r="E809" s="5" t="inlineStr">
        <is>
          <t>부산광역시 동래구 아시아드대로255번길 14 동래효성해링턴플레이스</t>
        </is>
      </c>
      <c r="F809" s="5" t="inlineStr"/>
      <c r="G809" s="5" t="inlineStr">
        <is>
          <t>051-936-3004</t>
        </is>
      </c>
      <c r="H809" s="12">
        <f>어린이집!T430</f>
        <v/>
      </c>
      <c r="I809" s="5" t="inlineStr">
        <is>
          <t>만0세 8 / 만1세 20 / 만2세 18 / 만3세 9 / 유아혼합반 13 / 기타(연령구분 없음) 14</t>
        </is>
      </c>
    </row>
    <row r="810">
      <c r="A810" s="5" t="inlineStr">
        <is>
          <t>동화속어린이집</t>
        </is>
      </c>
      <c r="B810" s="5" t="inlineStr">
        <is>
          <t>어린이집</t>
        </is>
      </c>
      <c r="C810" s="5" t="inlineStr">
        <is>
          <t>가정</t>
        </is>
      </c>
      <c r="D810" s="5" t="inlineStr">
        <is>
          <t>동래구</t>
        </is>
      </c>
      <c r="E810" s="5" t="inlineStr">
        <is>
          <t>부산광역시 동래구 연안로 74 207동 103호(안락2동, 안락뜨란채2단지아파트)</t>
        </is>
      </c>
      <c r="F810" s="5" t="inlineStr"/>
      <c r="G810" s="5" t="inlineStr">
        <is>
          <t>051-526-8370</t>
        </is>
      </c>
      <c r="H810" s="12">
        <f>어린이집!T431</f>
        <v/>
      </c>
      <c r="I810" s="5" t="inlineStr">
        <is>
          <t>만1세 5 / 만2세 5 / 영아혼합반 3 / 기타(연령구분 없음) 5</t>
        </is>
      </c>
    </row>
    <row r="811">
      <c r="A811" s="5" t="inlineStr">
        <is>
          <t>뜨란채어린이집</t>
        </is>
      </c>
      <c r="B811" s="5" t="inlineStr">
        <is>
          <t>어린이집</t>
        </is>
      </c>
      <c r="C811" s="5" t="inlineStr">
        <is>
          <t>민간</t>
        </is>
      </c>
      <c r="D811" s="5" t="inlineStr">
        <is>
          <t>동래구</t>
        </is>
      </c>
      <c r="E811" s="5" t="inlineStr">
        <is>
          <t>부산광역시 동래구 연안로 74 관리동 1층 (안락2동,안락주공뜨란채)</t>
        </is>
      </c>
      <c r="F811" s="11" t="inlineStr">
        <is>
          <t>https://blog.naver.com/a5240067</t>
        </is>
      </c>
      <c r="G811" s="5" t="inlineStr">
        <is>
          <t>051-524-0067</t>
        </is>
      </c>
      <c r="H811" s="12">
        <f>어린이집!T432</f>
        <v/>
      </c>
      <c r="I811" s="5" t="inlineStr">
        <is>
          <t>만0세 5 / 만1세 9 / 만2세 6 / 기타(연령구분 없음) 4</t>
        </is>
      </c>
    </row>
    <row r="812">
      <c r="A812" s="5" t="inlineStr">
        <is>
          <t>명랑어린이집</t>
        </is>
      </c>
      <c r="B812" s="5" t="inlineStr">
        <is>
          <t>어린이집</t>
        </is>
      </c>
      <c r="C812" s="5" t="inlineStr">
        <is>
          <t>민간</t>
        </is>
      </c>
      <c r="D812" s="5" t="inlineStr">
        <is>
          <t>동래구</t>
        </is>
      </c>
      <c r="E812" s="5" t="inlineStr">
        <is>
          <t>부산광역시 동래구 사직북로48번길 137 (온천3동)</t>
        </is>
      </c>
      <c r="F812" s="11" t="inlineStr">
        <is>
          <t>http://www.navercafe.com/mr6601</t>
        </is>
      </c>
      <c r="G812" s="5" t="inlineStr">
        <is>
          <t>051-505-6601</t>
        </is>
      </c>
      <c r="H812" s="12">
        <f>어린이집!T433</f>
        <v/>
      </c>
      <c r="I812" s="5" t="inlineStr">
        <is>
          <t>만0세 4 / 만1세 9 / 만2세 10 / 만3세 15 / 만4세 17 / 만5세 19 / 기타(연령구분 없음) 22</t>
        </is>
      </c>
    </row>
    <row r="813">
      <c r="A813" s="5" t="inlineStr">
        <is>
          <t>명륜자이어린이집</t>
        </is>
      </c>
      <c r="B813" s="5" t="inlineStr">
        <is>
          <t>어린이집</t>
        </is>
      </c>
      <c r="C813" s="5" t="inlineStr">
        <is>
          <t>국공립</t>
        </is>
      </c>
      <c r="D813" s="5" t="inlineStr">
        <is>
          <t>동래구</t>
        </is>
      </c>
      <c r="E813" s="5" t="inlineStr">
        <is>
          <t>부산광역시 동래구 명륜로139번길 22</t>
        </is>
      </c>
      <c r="F813" s="5" t="inlineStr"/>
      <c r="G813" s="5" t="inlineStr">
        <is>
          <t>051-556-5006</t>
        </is>
      </c>
      <c r="H813" s="12">
        <f>어린이집!T434</f>
        <v/>
      </c>
      <c r="I813" s="5" t="inlineStr">
        <is>
          <t>만0세 6 / 만1세 10 / 만2세 7 / 유아혼합반 10 / 기타(연령구분 없음) 10</t>
        </is>
      </c>
    </row>
    <row r="814">
      <c r="A814" s="5" t="inlineStr">
        <is>
          <t>명장양덕어린이집</t>
        </is>
      </c>
      <c r="B814" s="5" t="inlineStr">
        <is>
          <t>어린이집</t>
        </is>
      </c>
      <c r="C814" s="5" t="inlineStr">
        <is>
          <t>국공립</t>
        </is>
      </c>
      <c r="D814" s="5" t="inlineStr">
        <is>
          <t>동래구</t>
        </is>
      </c>
      <c r="E814" s="5" t="inlineStr">
        <is>
          <t>부산광역시 동래구 시실로107번길 151 (명장2동)</t>
        </is>
      </c>
      <c r="F814" s="11" t="inlineStr">
        <is>
          <t>http://cafe.naver.com/mjyd2462</t>
        </is>
      </c>
      <c r="G814" s="5" t="inlineStr">
        <is>
          <t>051-531-2462</t>
        </is>
      </c>
      <c r="H814" s="12">
        <f>어린이집!T435</f>
        <v/>
      </c>
      <c r="I814" s="5" t="inlineStr">
        <is>
          <t>만0세 5 / 만1세 4 / 영아혼합반 4 / 유아혼합반 11 / 장애아반(특수) 3 / 기타(연령구분 없음) 7</t>
        </is>
      </c>
    </row>
    <row r="815">
      <c r="A815" s="5" t="inlineStr">
        <is>
          <t>명장이편한세상어린이집</t>
        </is>
      </c>
      <c r="B815" s="5" t="inlineStr">
        <is>
          <t>어린이집</t>
        </is>
      </c>
      <c r="C815" s="5" t="inlineStr">
        <is>
          <t>국공립</t>
        </is>
      </c>
      <c r="D815" s="5" t="inlineStr">
        <is>
          <t>동래구</t>
        </is>
      </c>
      <c r="E815" s="5" t="inlineStr">
        <is>
          <t>부산광역시 동래구 명장로 65</t>
        </is>
      </c>
      <c r="F815" s="5" t="inlineStr"/>
      <c r="G815" s="5" t="inlineStr">
        <is>
          <t>051-927-3004</t>
        </is>
      </c>
      <c r="H815" s="12">
        <f>어린이집!T436</f>
        <v/>
      </c>
      <c r="I815" s="5" t="inlineStr">
        <is>
          <t>만0세 25 / 만1세 15 / 만2세 21 / 만3세 9 / 기타(연령구분 없음) 14</t>
        </is>
      </c>
    </row>
    <row r="816">
      <c r="A816" s="5" t="inlineStr">
        <is>
          <t>미래어린이집</t>
        </is>
      </c>
      <c r="B816" s="5" t="inlineStr">
        <is>
          <t>어린이집</t>
        </is>
      </c>
      <c r="C816" s="5" t="inlineStr">
        <is>
          <t>민간</t>
        </is>
      </c>
      <c r="D816" s="5" t="inlineStr">
        <is>
          <t>동래구</t>
        </is>
      </c>
      <c r="E816" s="5" t="inlineStr">
        <is>
          <t>부산광역시 동래구 사직북로57번길 7 (사직2동)</t>
        </is>
      </c>
      <c r="F816" s="5" t="inlineStr"/>
      <c r="G816" s="5" t="inlineStr">
        <is>
          <t>051-715-0007</t>
        </is>
      </c>
      <c r="H816" s="12">
        <f>어린이집!T437</f>
        <v/>
      </c>
      <c r="I816" s="5" t="inlineStr">
        <is>
          <t>만0세 11 / 만1세 14 / 만2세 14 / 만3세 15 / 영아혼합반 8 / 유아혼합반 8 / 기타(연령구분 없음) 8</t>
        </is>
      </c>
    </row>
    <row r="817">
      <c r="A817" s="5" t="inlineStr">
        <is>
          <t>밝은어린이집</t>
        </is>
      </c>
      <c r="B817" s="5" t="inlineStr">
        <is>
          <t>어린이집</t>
        </is>
      </c>
      <c r="C817" s="5" t="inlineStr">
        <is>
          <t>민간</t>
        </is>
      </c>
      <c r="D817" s="5" t="inlineStr">
        <is>
          <t>동래구</t>
        </is>
      </c>
      <c r="E817" s="5" t="inlineStr">
        <is>
          <t>부산광역시 동래구 금정마을로77번길 6 (온천2동)</t>
        </is>
      </c>
      <c r="F817" s="5" t="inlineStr"/>
      <c r="G817" s="5" t="inlineStr">
        <is>
          <t>051-501-3427</t>
        </is>
      </c>
      <c r="H817" s="12">
        <f>어린이집!T438</f>
        <v/>
      </c>
      <c r="I817" s="5" t="inlineStr">
        <is>
          <t>장애아반(특수) 37</t>
        </is>
      </c>
    </row>
    <row r="818">
      <c r="A818" s="5" t="inlineStr">
        <is>
          <t>부산경찰청어린이집</t>
        </is>
      </c>
      <c r="B818" s="5" t="inlineStr">
        <is>
          <t>어린이집</t>
        </is>
      </c>
      <c r="C818" s="5" t="inlineStr">
        <is>
          <t>직장</t>
        </is>
      </c>
      <c r="D818" s="5" t="inlineStr">
        <is>
          <t>동래구</t>
        </is>
      </c>
      <c r="E818" s="5" t="inlineStr">
        <is>
          <t>부산광역시 동래구 쇠미로17번길 8 부산경찰청어린이집</t>
        </is>
      </c>
      <c r="F818" s="5" t="inlineStr"/>
      <c r="G818" s="5" t="inlineStr">
        <is>
          <t>051-505-9330</t>
        </is>
      </c>
      <c r="H818" s="12">
        <f>어린이집!T439</f>
        <v/>
      </c>
      <c r="I818" s="5" t="inlineStr">
        <is>
          <t>만0세 12 / 만1세 23 / 만2세 27 / 만3세 24 / 만4세 27 / 만5세 23 / 기타(연령구분 없음) 35</t>
        </is>
      </c>
    </row>
    <row r="819">
      <c r="A819" s="5" t="inlineStr">
        <is>
          <t>사랑나무어린이집</t>
        </is>
      </c>
      <c r="B819" s="5" t="inlineStr">
        <is>
          <t>어린이집</t>
        </is>
      </c>
      <c r="C819" s="5" t="inlineStr">
        <is>
          <t>가정</t>
        </is>
      </c>
      <c r="D819" s="5" t="inlineStr">
        <is>
          <t>동래구</t>
        </is>
      </c>
      <c r="E819" s="5" t="inlineStr">
        <is>
          <t>부산광역시 동래구 명륜로45번길 31 수안아파트A-102(수민동)</t>
        </is>
      </c>
      <c r="F819" s="5" t="inlineStr"/>
      <c r="G819" s="5" t="inlineStr">
        <is>
          <t>051-557-1976</t>
        </is>
      </c>
      <c r="H819" s="12">
        <f>어린이집!T440</f>
        <v/>
      </c>
      <c r="I819" s="5" t="inlineStr">
        <is>
          <t>만1세 3 / 만2세 4 / 기타(연령구분 없음) 3</t>
        </is>
      </c>
    </row>
    <row r="820">
      <c r="A820" s="5" t="inlineStr">
        <is>
          <t>사직명랑어린이집</t>
        </is>
      </c>
      <c r="B820" s="5" t="inlineStr">
        <is>
          <t>어린이집</t>
        </is>
      </c>
      <c r="C820" s="5" t="inlineStr">
        <is>
          <t>민간</t>
        </is>
      </c>
      <c r="D820" s="5" t="inlineStr">
        <is>
          <t>동래구</t>
        </is>
      </c>
      <c r="E820" s="5" t="inlineStr">
        <is>
          <t>부산광역시 동래구 석사북로 20 (사직1동)</t>
        </is>
      </c>
      <c r="F820" s="5" t="inlineStr"/>
      <c r="G820" s="5" t="inlineStr">
        <is>
          <t>051-502-4371</t>
        </is>
      </c>
      <c r="H820" s="12">
        <f>어린이집!T441</f>
        <v/>
      </c>
      <c r="I820" s="5" t="inlineStr">
        <is>
          <t>만0세 8 / 만1세 14 / 만2세 14 / 기타(연령구분 없음) 5</t>
        </is>
      </c>
    </row>
    <row r="821">
      <c r="A821" s="5" t="inlineStr">
        <is>
          <t>사직역삼정더베스트어린이집</t>
        </is>
      </c>
      <c r="B821" s="5" t="inlineStr">
        <is>
          <t>어린이집</t>
        </is>
      </c>
      <c r="C821" s="5" t="inlineStr">
        <is>
          <t>국공립</t>
        </is>
      </c>
      <c r="D821" s="5" t="inlineStr">
        <is>
          <t>동래구</t>
        </is>
      </c>
      <c r="E821" s="5" t="inlineStr">
        <is>
          <t>부산광역시 동래구 사직로 8</t>
        </is>
      </c>
      <c r="F821" s="5" t="inlineStr"/>
      <c r="G821" s="5" t="inlineStr">
        <is>
          <t>051-501-2004</t>
        </is>
      </c>
      <c r="H821" s="12">
        <f>어린이집!T442</f>
        <v/>
      </c>
      <c r="I821" s="5" t="inlineStr">
        <is>
          <t>만0세 8 / 만1세 9 / 만2세 11 / 기타(연령구분 없음) 12</t>
        </is>
      </c>
    </row>
    <row r="822">
      <c r="A822" s="5" t="inlineStr">
        <is>
          <t>사직종합사회복지관어린이집</t>
        </is>
      </c>
      <c r="B822" s="5" t="inlineStr">
        <is>
          <t>어린이집</t>
        </is>
      </c>
      <c r="C822" s="5" t="inlineStr">
        <is>
          <t>국공립</t>
        </is>
      </c>
      <c r="D822" s="5" t="inlineStr">
        <is>
          <t>동래구</t>
        </is>
      </c>
      <c r="E822" s="5" t="inlineStr">
        <is>
          <t>부산광역시 동래구 사직북로63번길 20-7 (사직2동)</t>
        </is>
      </c>
      <c r="F822" s="5" t="inlineStr"/>
      <c r="G822" s="5" t="inlineStr">
        <is>
          <t>051-502-4827</t>
        </is>
      </c>
      <c r="H822" s="12">
        <f>어린이집!T443</f>
        <v/>
      </c>
      <c r="I822" s="5" t="inlineStr">
        <is>
          <t>만1세 10 / 만2세 21 / 유아혼합반 15 / 기타(연령구분 없음) 20</t>
        </is>
      </c>
    </row>
    <row r="823">
      <c r="A823" s="5" t="inlineStr">
        <is>
          <t>사직하늘채리센티아어린이집</t>
        </is>
      </c>
      <c r="B823" s="5" t="inlineStr">
        <is>
          <t>어린이집</t>
        </is>
      </c>
      <c r="C823" s="5" t="inlineStr">
        <is>
          <t>국공립</t>
        </is>
      </c>
      <c r="D823" s="5" t="inlineStr">
        <is>
          <t>동래구</t>
        </is>
      </c>
      <c r="E823" s="5" t="inlineStr">
        <is>
          <t>부산광역시 동래구 사직북로48번길 77 사직하늘채리센티아어린이집</t>
        </is>
      </c>
      <c r="F823" s="5" t="inlineStr"/>
      <c r="G823" s="5" t="inlineStr">
        <is>
          <t>051-504-8889</t>
        </is>
      </c>
      <c r="H823" s="12">
        <f>어린이집!T444</f>
        <v/>
      </c>
      <c r="I823" s="5" t="inlineStr">
        <is>
          <t>만0세 11 / 만1세 19 / 만2세 18 / 기타(연령구분 없음) 3</t>
        </is>
      </c>
    </row>
    <row r="824">
      <c r="A824" s="5" t="inlineStr">
        <is>
          <t>삼정포레스트어린이집</t>
        </is>
      </c>
      <c r="B824" s="5" t="inlineStr">
        <is>
          <t>어린이집</t>
        </is>
      </c>
      <c r="C824" s="5" t="inlineStr">
        <is>
          <t>국공립</t>
        </is>
      </c>
      <c r="D824" s="5" t="inlineStr">
        <is>
          <t>동래구</t>
        </is>
      </c>
      <c r="E824" s="5" t="inlineStr">
        <is>
          <t>부산광역시 동래구 쇠미로 153 110동 1,2층(온천3동, 삼정그린코아포레스트아파트)</t>
        </is>
      </c>
      <c r="F824" s="5" t="inlineStr"/>
      <c r="G824" s="5" t="inlineStr">
        <is>
          <t>051-507-7234</t>
        </is>
      </c>
      <c r="H824" s="12">
        <f>어린이집!T445</f>
        <v/>
      </c>
      <c r="I824" s="5" t="inlineStr">
        <is>
          <t>만0세 8 / 만1세 15 / 만2세 15 / 기타(연령구분 없음) 3</t>
        </is>
      </c>
    </row>
    <row r="825">
      <c r="A825" s="5" t="inlineStr">
        <is>
          <t>샘누리어린이집</t>
        </is>
      </c>
      <c r="B825" s="5" t="inlineStr">
        <is>
          <t>어린이집</t>
        </is>
      </c>
      <c r="C825" s="5" t="inlineStr">
        <is>
          <t>민간</t>
        </is>
      </c>
      <c r="D825" s="5" t="inlineStr">
        <is>
          <t>동래구</t>
        </is>
      </c>
      <c r="E825" s="5" t="inlineStr">
        <is>
          <t>부산광역시 동래구 우장춘로59번길 40 (온천2동)</t>
        </is>
      </c>
      <c r="F825" s="11" t="inlineStr">
        <is>
          <t>http://kmh0686@naver.com</t>
        </is>
      </c>
      <c r="G825" s="5" t="inlineStr">
        <is>
          <t>051-553-0686</t>
        </is>
      </c>
      <c r="H825" s="12">
        <f>어린이집!T446</f>
        <v/>
      </c>
      <c r="I825" s="5" t="inlineStr">
        <is>
          <t>만0세 6 / 만1세 3 / 만2세 8 / 기타(연령구분 없음) 3</t>
        </is>
      </c>
    </row>
    <row r="826">
      <c r="A826" s="5" t="inlineStr">
        <is>
          <t>성지어린이집</t>
        </is>
      </c>
      <c r="B826" s="5" t="inlineStr">
        <is>
          <t>어린이집</t>
        </is>
      </c>
      <c r="C826" s="5" t="inlineStr">
        <is>
          <t>사회복지법인</t>
        </is>
      </c>
      <c r="D826" s="5" t="inlineStr">
        <is>
          <t>동래구</t>
        </is>
      </c>
      <c r="E826" s="5" t="inlineStr">
        <is>
          <t>부산광역시 동래구 석사북로 57 (온천3동)</t>
        </is>
      </c>
      <c r="F826" s="5" t="inlineStr"/>
      <c r="G826" s="5" t="inlineStr">
        <is>
          <t>051-504-7008</t>
        </is>
      </c>
      <c r="H826" s="12">
        <f>어린이집!T447</f>
        <v/>
      </c>
      <c r="I826" s="5" t="inlineStr">
        <is>
          <t>만0세 2 / 만2세 6 / 영아혼합반 4 / 기타(연령구분 없음) 3</t>
        </is>
      </c>
    </row>
    <row r="827">
      <c r="A827" s="5" t="inlineStr">
        <is>
          <t>센트럴파크어린이집</t>
        </is>
      </c>
      <c r="B827" s="5" t="inlineStr">
        <is>
          <t>어린이집</t>
        </is>
      </c>
      <c r="C827" s="5" t="inlineStr">
        <is>
          <t>민간</t>
        </is>
      </c>
      <c r="D827" s="5" t="inlineStr">
        <is>
          <t>동래구</t>
        </is>
      </c>
      <c r="E827" s="5" t="inlineStr">
        <is>
          <t>부산광역시 동래구 문화로 33 센트럴파크하이츠2차 201동 1층 (명륜동)</t>
        </is>
      </c>
      <c r="F827" s="5" t="inlineStr"/>
      <c r="G827" s="5" t="inlineStr">
        <is>
          <t>051-558-2345</t>
        </is>
      </c>
      <c r="H827" s="12">
        <f>어린이집!T448</f>
        <v/>
      </c>
      <c r="I827" s="5" t="inlineStr">
        <is>
          <t>만0세 9 / 만1세 15 / 만2세 21 / 기타(연령구분 없음) 5</t>
        </is>
      </c>
    </row>
    <row r="828">
      <c r="A828" s="5" t="inlineStr">
        <is>
          <t>소담어린이집</t>
        </is>
      </c>
      <c r="B828" s="5" t="inlineStr">
        <is>
          <t>어린이집</t>
        </is>
      </c>
      <c r="C828" s="5" t="inlineStr">
        <is>
          <t>민간</t>
        </is>
      </c>
      <c r="D828" s="5" t="inlineStr">
        <is>
          <t>동래구</t>
        </is>
      </c>
      <c r="E828" s="5" t="inlineStr">
        <is>
          <t>부산광역시 동래구 충렬대로86번길 120 (온천3동)</t>
        </is>
      </c>
      <c r="F828" s="5" t="inlineStr"/>
      <c r="G828" s="5" t="inlineStr">
        <is>
          <t>051-507-5696</t>
        </is>
      </c>
      <c r="H828" s="12">
        <f>어린이집!T449</f>
        <v/>
      </c>
      <c r="I828" s="5" t="inlineStr">
        <is>
          <t>만0세 6 / 만1세 4 / 만2세 6 / 영아혼합반 3 / 기타(연령구분 없음) 5</t>
        </is>
      </c>
    </row>
    <row r="829">
      <c r="A829" s="5" t="inlineStr">
        <is>
          <t>수민어린이집</t>
        </is>
      </c>
      <c r="B829" s="5" t="inlineStr">
        <is>
          <t>어린이집</t>
        </is>
      </c>
      <c r="C829" s="5" t="inlineStr">
        <is>
          <t>국공립</t>
        </is>
      </c>
      <c r="D829" s="5" t="inlineStr">
        <is>
          <t>동래구</t>
        </is>
      </c>
      <c r="E829" s="5" t="inlineStr">
        <is>
          <t>부산광역시 동래구 수안로 11-6 (수민동)</t>
        </is>
      </c>
      <c r="F829" s="11" t="inlineStr">
        <is>
          <t>http://sm5552492@naver.com</t>
        </is>
      </c>
      <c r="G829" s="5" t="inlineStr">
        <is>
          <t>051-555-2492</t>
        </is>
      </c>
      <c r="H829" s="12">
        <f>어린이집!T450</f>
        <v/>
      </c>
      <c r="I829" s="5" t="inlineStr">
        <is>
          <t>만0세 4 / 만1세 8 / 만2세 13 / 만3세 12 / 만4세 7 / 장애아반(특수) 4 / 기타(연령구분 없음) 3</t>
        </is>
      </c>
    </row>
    <row r="830">
      <c r="A830" s="5" t="inlineStr">
        <is>
          <t>수안어린이집</t>
        </is>
      </c>
      <c r="B830" s="5" t="inlineStr">
        <is>
          <t>어린이집</t>
        </is>
      </c>
      <c r="C830" s="5" t="inlineStr">
        <is>
          <t>가정</t>
        </is>
      </c>
      <c r="D830" s="5" t="inlineStr">
        <is>
          <t>동래구</t>
        </is>
      </c>
      <c r="E830" s="5" t="inlineStr">
        <is>
          <t>부산광역시 동래구 명륜로75번길 31 다동 102호(수안동, 새동래아파트)</t>
        </is>
      </c>
      <c r="F830" s="5" t="inlineStr"/>
      <c r="G830" s="5" t="inlineStr">
        <is>
          <t>051-554-6892</t>
        </is>
      </c>
      <c r="H830" s="12">
        <f>어린이집!T451</f>
        <v/>
      </c>
      <c r="I830" s="5" t="inlineStr">
        <is>
          <t>만0세 4 / 만1세 8 / 만2세 5 / 기타(연령구분 없음) 5</t>
        </is>
      </c>
    </row>
    <row r="831">
      <c r="A831" s="5" t="inlineStr">
        <is>
          <t>숲사랑어린이집</t>
        </is>
      </c>
      <c r="B831" s="5" t="inlineStr">
        <is>
          <t>어린이집</t>
        </is>
      </c>
      <c r="C831" s="5" t="inlineStr">
        <is>
          <t>민간</t>
        </is>
      </c>
      <c r="D831" s="5" t="inlineStr">
        <is>
          <t>동래구</t>
        </is>
      </c>
      <c r="E831" s="5" t="inlineStr">
        <is>
          <t>부산광역시 동래구 쇠미로129번길 112 (온천3동)</t>
        </is>
      </c>
      <c r="F831" s="5" t="inlineStr"/>
      <c r="G831" s="5" t="inlineStr">
        <is>
          <t>051-710-7175</t>
        </is>
      </c>
      <c r="H831" s="12">
        <f>어린이집!T452</f>
        <v/>
      </c>
      <c r="I831" s="5" t="inlineStr">
        <is>
          <t>만0세 7 / 만1세 10 / 만2세 18 / 만3세 13 / 기타(연령구분 없음) 17</t>
        </is>
      </c>
    </row>
    <row r="832">
      <c r="A832" s="5" t="inlineStr">
        <is>
          <t>스위첸어린이집</t>
        </is>
      </c>
      <c r="B832" s="5" t="inlineStr">
        <is>
          <t>어린이집</t>
        </is>
      </c>
      <c r="C832" s="5" t="inlineStr">
        <is>
          <t>국공립</t>
        </is>
      </c>
      <c r="D832" s="5" t="inlineStr">
        <is>
          <t>동래구</t>
        </is>
      </c>
      <c r="E832" s="5" t="inlineStr">
        <is>
          <t>부산광역시 동래구 사직북로 64 관리동(사직2동, KCC스위첸아파트)</t>
        </is>
      </c>
      <c r="F832" s="5" t="inlineStr"/>
      <c r="G832" s="5" t="inlineStr">
        <is>
          <t>051-913-3777</t>
        </is>
      </c>
      <c r="H832" s="12">
        <f>어린이집!T453</f>
        <v/>
      </c>
      <c r="I832" s="5" t="inlineStr">
        <is>
          <t>만0세 8 / 만1세 13 / 만2세 18 / 만3세 7 / 기타(연령구분 없음) 7</t>
        </is>
      </c>
    </row>
    <row r="833">
      <c r="A833" s="5" t="inlineStr">
        <is>
          <t>쌍용더플래티넘아시아드어린이집</t>
        </is>
      </c>
      <c r="B833" s="5" t="inlineStr">
        <is>
          <t>어린이집</t>
        </is>
      </c>
      <c r="C833" s="5" t="inlineStr">
        <is>
          <t>국공립</t>
        </is>
      </c>
      <c r="D833" s="5" t="inlineStr">
        <is>
          <t>동래구</t>
        </is>
      </c>
      <c r="E833" s="5" t="inlineStr">
        <is>
          <t>부산광역시 동래구 아시아드대로134번길 14 쌍용더플래티넘사직아시아드아파트 관리동</t>
        </is>
      </c>
      <c r="F833" s="5" t="inlineStr"/>
      <c r="G833" s="5" t="inlineStr">
        <is>
          <t>051-505-5533</t>
        </is>
      </c>
      <c r="H833" s="12">
        <f>어린이집!T454</f>
        <v/>
      </c>
      <c r="I833" s="5" t="inlineStr">
        <is>
          <t>만0세 6 / 만1세 9 / 만2세 19 / 유아혼합반 6 / 기타(연령구분 없음) 8</t>
        </is>
      </c>
    </row>
    <row r="834">
      <c r="A834" s="5" t="inlineStr">
        <is>
          <t>쌍용아이어린이집</t>
        </is>
      </c>
      <c r="B834" s="5" t="inlineStr">
        <is>
          <t>어린이집</t>
        </is>
      </c>
      <c r="C834" s="5" t="inlineStr">
        <is>
          <t>가정</t>
        </is>
      </c>
      <c r="D834" s="5" t="inlineStr">
        <is>
          <t>동래구</t>
        </is>
      </c>
      <c r="E834" s="5" t="inlineStr">
        <is>
          <t>부산광역시 동래구 사직로 80 사직쌍용예가 123동102호(사직2동)</t>
        </is>
      </c>
      <c r="F834" s="5" t="inlineStr"/>
      <c r="G834" s="5" t="inlineStr">
        <is>
          <t>051-501-7330</t>
        </is>
      </c>
      <c r="H834" s="12">
        <f>어린이집!T455</f>
        <v/>
      </c>
      <c r="I834" s="5" t="inlineStr">
        <is>
          <t>만0세 6 / 만2세 5 / 영아혼합반 5 / 기타(연령구분 없음) 3</t>
        </is>
      </c>
    </row>
    <row r="835">
      <c r="A835" s="5" t="inlineStr">
        <is>
          <t>아스타어린이집</t>
        </is>
      </c>
      <c r="B835" s="5" t="inlineStr">
        <is>
          <t>어린이집</t>
        </is>
      </c>
      <c r="C835" s="5" t="inlineStr">
        <is>
          <t>국공립</t>
        </is>
      </c>
      <c r="D835" s="5" t="inlineStr">
        <is>
          <t>동래구</t>
        </is>
      </c>
      <c r="E835" s="5" t="inlineStr">
        <is>
          <t>부산광역시 동래구 중앙대로1473번길 13</t>
        </is>
      </c>
      <c r="F835" s="5" t="inlineStr"/>
      <c r="G835" s="5" t="inlineStr">
        <is>
          <t>051-555-8022</t>
        </is>
      </c>
      <c r="H835" s="12">
        <f>어린이집!T456</f>
        <v/>
      </c>
      <c r="I835" s="5" t="inlineStr">
        <is>
          <t>만0세 5 / 만1세 10 / 만2세 10 / 기타(연령구분 없음) 4</t>
        </is>
      </c>
    </row>
    <row r="836">
      <c r="A836" s="5" t="inlineStr">
        <is>
          <t>아시아드코오롱하늘채어린이집</t>
        </is>
      </c>
      <c r="B836" s="5" t="inlineStr">
        <is>
          <t>어린이집</t>
        </is>
      </c>
      <c r="C836" s="5" t="inlineStr">
        <is>
          <t>국공립</t>
        </is>
      </c>
      <c r="D836" s="5" t="inlineStr">
        <is>
          <t>동래구</t>
        </is>
      </c>
      <c r="E836" s="5" t="inlineStr">
        <is>
          <t>부산광역시 동래구 종합운동장로40번길 8 사직동, 부산 아시아드 코오롱 하늘채아파트</t>
        </is>
      </c>
      <c r="F836" s="5" t="inlineStr"/>
      <c r="G836" s="5" t="inlineStr">
        <is>
          <t>051-507-8454</t>
        </is>
      </c>
      <c r="H836" s="12">
        <f>어린이집!T457</f>
        <v/>
      </c>
      <c r="I836" s="5" t="inlineStr">
        <is>
          <t>만0세 6 / 만1세 9 / 만2세 13 / 기타(연령구분 없음) 5</t>
        </is>
      </c>
    </row>
    <row r="837">
      <c r="A837" s="5" t="inlineStr">
        <is>
          <t>아이숲어린이집</t>
        </is>
      </c>
      <c r="B837" s="5" t="inlineStr">
        <is>
          <t>어린이집</t>
        </is>
      </c>
      <c r="C837" s="5" t="inlineStr">
        <is>
          <t>민간</t>
        </is>
      </c>
      <c r="D837" s="5" t="inlineStr">
        <is>
          <t>동래구</t>
        </is>
      </c>
      <c r="E837" s="5" t="inlineStr">
        <is>
          <t>부산광역시 동래구 명륜로 170 명륜아이파크1단지 보육시설</t>
        </is>
      </c>
      <c r="F837" s="5" t="inlineStr"/>
      <c r="G837" s="5" t="inlineStr">
        <is>
          <t>051-556-5856</t>
        </is>
      </c>
      <c r="H837" s="12">
        <f>어린이집!T458</f>
        <v/>
      </c>
      <c r="I837" s="5" t="inlineStr">
        <is>
          <t>만0세 6 / 만1세 20 / 만2세 14 / 기타(연령구분 없음) 5</t>
        </is>
      </c>
    </row>
    <row r="838">
      <c r="A838" s="5" t="inlineStr">
        <is>
          <t>안락현대어린이집</t>
        </is>
      </c>
      <c r="B838" s="5" t="inlineStr">
        <is>
          <t>어린이집</t>
        </is>
      </c>
      <c r="C838" s="5" t="inlineStr">
        <is>
          <t>국공립</t>
        </is>
      </c>
      <c r="D838" s="5" t="inlineStr">
        <is>
          <t>동래구</t>
        </is>
      </c>
      <c r="E838" s="5" t="inlineStr">
        <is>
          <t>부산광역시 동래구 삼어로 9 관리동 1층</t>
        </is>
      </c>
      <c r="F838" s="5" t="inlineStr"/>
      <c r="G838" s="5" t="inlineStr">
        <is>
          <t>051-525-7979</t>
        </is>
      </c>
      <c r="H838" s="12">
        <f>어린이집!T459</f>
        <v/>
      </c>
      <c r="I838" s="5" t="inlineStr">
        <is>
          <t>만0세 7 / 만1세 10 / 만2세 14 / 기타(연령구분 없음) 5</t>
        </is>
      </c>
    </row>
    <row r="839">
      <c r="A839" s="5" t="inlineStr">
        <is>
          <t>양덕어린이집</t>
        </is>
      </c>
      <c r="B839" s="5" t="inlineStr">
        <is>
          <t>어린이집</t>
        </is>
      </c>
      <c r="C839" s="5" t="inlineStr">
        <is>
          <t>사회복지법인</t>
        </is>
      </c>
      <c r="D839" s="5" t="inlineStr">
        <is>
          <t>동래구</t>
        </is>
      </c>
      <c r="E839" s="5" t="inlineStr">
        <is>
          <t>부산광역시 동래구 여고로 46 (사직3동)</t>
        </is>
      </c>
      <c r="F839" s="11" t="inlineStr">
        <is>
          <t>http://cafe.daum.net/bsyangduk</t>
        </is>
      </c>
      <c r="G839" s="5" t="inlineStr">
        <is>
          <t>051-504-7930</t>
        </is>
      </c>
      <c r="H839" s="12">
        <f>어린이집!T460</f>
        <v/>
      </c>
      <c r="I839" s="5" t="inlineStr">
        <is>
          <t>만1세 10 / 만2세 13 / 유아혼합반 15 / 장애아반(특수) 3 / 기타(연령구분 없음) 12</t>
        </is>
      </c>
    </row>
    <row r="840">
      <c r="A840" s="5" t="inlineStr">
        <is>
          <t>연두어린이집</t>
        </is>
      </c>
      <c r="B840" s="5" t="inlineStr">
        <is>
          <t>어린이집</t>
        </is>
      </c>
      <c r="C840" s="5" t="inlineStr">
        <is>
          <t>가정</t>
        </is>
      </c>
      <c r="D840" s="5" t="inlineStr">
        <is>
          <t>동래구</t>
        </is>
      </c>
      <c r="E840" s="5" t="inlineStr">
        <is>
          <t>부산광역시 동래구 쇠미로119번길 34 (사직2동)</t>
        </is>
      </c>
      <c r="F840" s="5" t="inlineStr"/>
      <c r="G840" s="5" t="inlineStr">
        <is>
          <t>051-506-1132</t>
        </is>
      </c>
      <c r="H840" s="12">
        <f>어린이집!T461</f>
        <v/>
      </c>
      <c r="I840" s="5" t="inlineStr">
        <is>
          <t>만0세 2 / 만1세 4 / 만2세 7 / 기타(연령구분 없음) 3</t>
        </is>
      </c>
    </row>
    <row r="841">
      <c r="A841" s="5" t="inlineStr">
        <is>
          <t>예능어린이집</t>
        </is>
      </c>
      <c r="B841" s="5" t="inlineStr">
        <is>
          <t>어린이집</t>
        </is>
      </c>
      <c r="C841" s="5" t="inlineStr">
        <is>
          <t>민간</t>
        </is>
      </c>
      <c r="D841" s="5" t="inlineStr">
        <is>
          <t>동래구</t>
        </is>
      </c>
      <c r="E841" s="5" t="inlineStr">
        <is>
          <t>부산광역시 동래구 동래로 139 (복산동)</t>
        </is>
      </c>
      <c r="F841" s="5" t="inlineStr"/>
      <c r="G841" s="5" t="inlineStr">
        <is>
          <t>051-554-4671</t>
        </is>
      </c>
      <c r="H841" s="12">
        <f>어린이집!T462</f>
        <v/>
      </c>
      <c r="I841" s="5" t="inlineStr">
        <is>
          <t>만0세 9 / 만1세 37 / 만2세 39 / 만3세 36 / 만4세 30 / 만5세 28 / 기타(연령구분 없음) 20</t>
        </is>
      </c>
    </row>
    <row r="842">
      <c r="A842" s="5" t="inlineStr">
        <is>
          <t>예솔어린이집</t>
        </is>
      </c>
      <c r="B842" s="5" t="inlineStr">
        <is>
          <t>어린이집</t>
        </is>
      </c>
      <c r="C842" s="5" t="inlineStr">
        <is>
          <t>사회복지법인</t>
        </is>
      </c>
      <c r="D842" s="5" t="inlineStr">
        <is>
          <t>동래구</t>
        </is>
      </c>
      <c r="E842" s="5" t="inlineStr">
        <is>
          <t>부산광역시 동래구 안락로 95-3 (안락2동)</t>
        </is>
      </c>
      <c r="F842" s="5" t="inlineStr"/>
      <c r="G842" s="5" t="inlineStr">
        <is>
          <t>051-532-0636</t>
        </is>
      </c>
      <c r="H842" s="12">
        <f>어린이집!T463</f>
        <v/>
      </c>
      <c r="I842" s="5" t="inlineStr">
        <is>
          <t>영아혼합반 6 / 유아혼합반 5</t>
        </is>
      </c>
    </row>
    <row r="843">
      <c r="A843" s="5" t="inlineStr">
        <is>
          <t>예원어린이집</t>
        </is>
      </c>
      <c r="B843" s="5" t="inlineStr">
        <is>
          <t>어린이집</t>
        </is>
      </c>
      <c r="C843" s="5" t="inlineStr">
        <is>
          <t>국공립</t>
        </is>
      </c>
      <c r="D843" s="5" t="inlineStr">
        <is>
          <t>동래구</t>
        </is>
      </c>
      <c r="E843" s="5" t="inlineStr">
        <is>
          <t>부산광역시 동래구 사직로 80 (사직2동)</t>
        </is>
      </c>
      <c r="F843" s="5" t="inlineStr"/>
      <c r="G843" s="5" t="inlineStr">
        <is>
          <t>051-501-4321</t>
        </is>
      </c>
      <c r="H843" s="12">
        <f>어린이집!T464</f>
        <v/>
      </c>
      <c r="I843" s="5" t="inlineStr">
        <is>
          <t>만1세 22 / 만2세 24 / 유아혼합반 4 / 장애아반(특수) 3 / 기타(연령구분 없음) 5</t>
        </is>
      </c>
    </row>
    <row r="844">
      <c r="A844" s="5" t="inlineStr">
        <is>
          <t>예지어린이집</t>
        </is>
      </c>
      <c r="B844" s="5" t="inlineStr">
        <is>
          <t>어린이집</t>
        </is>
      </c>
      <c r="C844" s="5" t="inlineStr">
        <is>
          <t>민간</t>
        </is>
      </c>
      <c r="D844" s="5" t="inlineStr">
        <is>
          <t>동래구</t>
        </is>
      </c>
      <c r="E844" s="5" t="inlineStr">
        <is>
          <t>부산광역시 동래구 충렬대로100번길 117 10동(온천3동,대가하이츠)</t>
        </is>
      </c>
      <c r="F844" s="5" t="inlineStr"/>
      <c r="G844" s="5" t="inlineStr">
        <is>
          <t>051-507-5550</t>
        </is>
      </c>
      <c r="H844" s="12">
        <f>어린이집!T465</f>
        <v/>
      </c>
      <c r="I844" s="5" t="inlineStr">
        <is>
          <t>만0세 6 / 만1세 14 / 만2세 12 / 만3세 8 / 유아혼합반 12 / 기타(연령구분 없음) 3</t>
        </is>
      </c>
    </row>
    <row r="845">
      <c r="A845" s="5" t="inlineStr">
        <is>
          <t>온천3동어린이집</t>
        </is>
      </c>
      <c r="B845" s="5" t="inlineStr">
        <is>
          <t>어린이집</t>
        </is>
      </c>
      <c r="C845" s="5" t="inlineStr">
        <is>
          <t>국공립</t>
        </is>
      </c>
      <c r="D845" s="5" t="inlineStr">
        <is>
          <t>동래구</t>
        </is>
      </c>
      <c r="E845" s="5" t="inlineStr">
        <is>
          <t>부산광역시 동래구 아시아드대로220번길 34 (온천3동)</t>
        </is>
      </c>
      <c r="F845" s="5" t="inlineStr"/>
      <c r="G845" s="5" t="inlineStr">
        <is>
          <t>051-502-3085</t>
        </is>
      </c>
      <c r="H845" s="12">
        <f>어린이집!T466</f>
        <v/>
      </c>
      <c r="I845" s="5" t="inlineStr">
        <is>
          <t>만1세 15 / 만2세 20 / 만3세 11 / 영아혼합반 5 / 유아혼합반 12 / 장애아반(특수) 3 / 기타(연령구분 없음) 17</t>
        </is>
      </c>
    </row>
    <row r="846">
      <c r="A846" s="5" t="inlineStr">
        <is>
          <t>온천보라어린이집</t>
        </is>
      </c>
      <c r="B846" s="5" t="inlineStr">
        <is>
          <t>어린이집</t>
        </is>
      </c>
      <c r="C846" s="5" t="inlineStr">
        <is>
          <t>국공립</t>
        </is>
      </c>
      <c r="D846" s="5" t="inlineStr">
        <is>
          <t>동래구</t>
        </is>
      </c>
      <c r="E846" s="5" t="inlineStr">
        <is>
          <t>부산광역시 동래구 우장춘로 174 (온천1동)</t>
        </is>
      </c>
      <c r="F846" s="5" t="inlineStr"/>
      <c r="G846" s="5" t="inlineStr">
        <is>
          <t>051-552-1310</t>
        </is>
      </c>
      <c r="H846" s="12">
        <f>어린이집!T467</f>
        <v/>
      </c>
      <c r="I846" s="5" t="inlineStr">
        <is>
          <t>만1세 15 / 만2세 13 / 만3세 14 / 만4세 15 / 만5세 17 / 장애아반(특수) 7 / 기타(연령구분 없음) 20</t>
        </is>
      </c>
    </row>
    <row r="847">
      <c r="A847" s="5" t="inlineStr">
        <is>
          <t>온천삼정더베스트어린이집</t>
        </is>
      </c>
      <c r="B847" s="5" t="inlineStr">
        <is>
          <t>어린이집</t>
        </is>
      </c>
      <c r="C847" s="5" t="inlineStr">
        <is>
          <t>국공립</t>
        </is>
      </c>
      <c r="D847" s="5" t="inlineStr">
        <is>
          <t>동래구</t>
        </is>
      </c>
      <c r="E847" s="5" t="inlineStr">
        <is>
          <t>부산광역시 동래구 중앙대로1493번길 16 온천더베스트어린이집 103동 1층</t>
        </is>
      </c>
      <c r="F847" s="5" t="inlineStr"/>
      <c r="G847" s="5" t="inlineStr">
        <is>
          <t>051-993-5004</t>
        </is>
      </c>
      <c r="H847" s="12">
        <f>어린이집!T468</f>
        <v/>
      </c>
      <c r="I847" s="5" t="inlineStr">
        <is>
          <t>만0세 2 / 만1세 14 / 만2세 14 / 기타(연령구분 없음) 7</t>
        </is>
      </c>
    </row>
    <row r="848">
      <c r="A848" s="5" t="inlineStr">
        <is>
          <t>온천천경동리인어린이집</t>
        </is>
      </c>
      <c r="B848" s="5" t="inlineStr">
        <is>
          <t>어린이집</t>
        </is>
      </c>
      <c r="C848" s="5" t="inlineStr">
        <is>
          <t>국공립</t>
        </is>
      </c>
      <c r="D848" s="5" t="inlineStr">
        <is>
          <t>동래구</t>
        </is>
      </c>
      <c r="E848" s="5" t="inlineStr">
        <is>
          <t>부산광역시 동래구 수안로8번길 62 1층(낙민동, 온천천경동리인아파트)</t>
        </is>
      </c>
      <c r="F848" s="5" t="inlineStr"/>
      <c r="G848" s="5" t="inlineStr">
        <is>
          <t>051-555-5990</t>
        </is>
      </c>
      <c r="H848" s="12">
        <f>어린이집!T469</f>
        <v/>
      </c>
      <c r="I848" s="5" t="inlineStr">
        <is>
          <t>만0세 6 / 만1세 9 / 만2세 13 / 기타(연령구분 없음) 5</t>
        </is>
      </c>
    </row>
    <row r="849">
      <c r="A849" s="5" t="inlineStr">
        <is>
          <t>우리들어린이집</t>
        </is>
      </c>
      <c r="B849" s="5" t="inlineStr">
        <is>
          <t>어린이집</t>
        </is>
      </c>
      <c r="C849" s="5" t="inlineStr">
        <is>
          <t>민간</t>
        </is>
      </c>
      <c r="D849" s="5" t="inlineStr">
        <is>
          <t>동래구</t>
        </is>
      </c>
      <c r="E849" s="5" t="inlineStr">
        <is>
          <t>부산광역시 동래구 충렬대로 411 (안락1동)</t>
        </is>
      </c>
      <c r="F849" s="11" t="inlineStr">
        <is>
          <t>http://wooridlehappy.co.kr/</t>
        </is>
      </c>
      <c r="G849" s="5" t="inlineStr">
        <is>
          <t>051-524-6868</t>
        </is>
      </c>
      <c r="H849" s="12">
        <f>어린이집!T470</f>
        <v/>
      </c>
      <c r="I849" s="5" t="inlineStr">
        <is>
          <t>만2세 14 / 만3세 40 / 만4세 52 / 만5세 52 / 기타(연령구분 없음) 33</t>
        </is>
      </c>
    </row>
    <row r="850">
      <c r="A850" s="5" t="inlineStr">
        <is>
          <t>우리또래어린이집</t>
        </is>
      </c>
      <c r="B850" s="5" t="inlineStr">
        <is>
          <t>어린이집</t>
        </is>
      </c>
      <c r="C850" s="5" t="inlineStr">
        <is>
          <t>가정</t>
        </is>
      </c>
      <c r="D850" s="5" t="inlineStr">
        <is>
          <t>동래구</t>
        </is>
      </c>
      <c r="E850" s="5" t="inlineStr">
        <is>
          <t>부산광역시 동래구 석사북로 16-1 (사직1동)</t>
        </is>
      </c>
      <c r="F850" s="5" t="inlineStr"/>
      <c r="G850" s="5" t="inlineStr">
        <is>
          <t>051-501-6523</t>
        </is>
      </c>
      <c r="H850" s="12">
        <f>어린이집!T471</f>
        <v/>
      </c>
      <c r="I850" s="5" t="inlineStr">
        <is>
          <t>만0세 4 / 만1세 10 / 만2세 6 / 기타(연령구분 없음) 3</t>
        </is>
      </c>
    </row>
    <row r="851">
      <c r="A851" s="5" t="inlineStr">
        <is>
          <t>우리어린이집</t>
        </is>
      </c>
      <c r="B851" s="5" t="inlineStr">
        <is>
          <t>어린이집</t>
        </is>
      </c>
      <c r="C851" s="5" t="inlineStr">
        <is>
          <t>사회복지법인</t>
        </is>
      </c>
      <c r="D851" s="5" t="inlineStr">
        <is>
          <t>동래구</t>
        </is>
      </c>
      <c r="E851" s="5" t="inlineStr">
        <is>
          <t>부산광역시 동래구 충렬대로457번길 30-8 (안락2동)</t>
        </is>
      </c>
      <c r="F851" s="11" t="inlineStr">
        <is>
          <t>http://cafe.daum.net/woori-kids</t>
        </is>
      </c>
      <c r="G851" s="5" t="inlineStr">
        <is>
          <t>051-532-7777</t>
        </is>
      </c>
      <c r="H851" s="12">
        <f>어린이집!T472</f>
        <v/>
      </c>
      <c r="I851" s="5" t="inlineStr">
        <is>
          <t>만0세 5 / 만1세 12 / 만2세 16 / 만3세 7 / 기타(연령구분 없음) 5</t>
        </is>
      </c>
    </row>
    <row r="852">
      <c r="A852" s="5" t="inlineStr">
        <is>
          <t>우성어린이집</t>
        </is>
      </c>
      <c r="B852" s="5" t="inlineStr">
        <is>
          <t>어린이집</t>
        </is>
      </c>
      <c r="C852" s="5" t="inlineStr">
        <is>
          <t>가정</t>
        </is>
      </c>
      <c r="D852" s="5" t="inlineStr">
        <is>
          <t>동래구</t>
        </is>
      </c>
      <c r="E852" s="5" t="inlineStr">
        <is>
          <t>부산광역시 동래구 안남로 9 102-101 (수민동, 동래우성아파트)</t>
        </is>
      </c>
      <c r="F852" s="5" t="inlineStr"/>
      <c r="G852" s="5" t="inlineStr">
        <is>
          <t>051-524-2340</t>
        </is>
      </c>
      <c r="H852" s="12">
        <f>어린이집!T473</f>
        <v/>
      </c>
      <c r="I852" s="5" t="inlineStr">
        <is>
          <t>만0세 3 / 만1세 3 / 기타(연령구분 없음) 2</t>
        </is>
      </c>
    </row>
    <row r="853">
      <c r="A853" s="5" t="inlineStr">
        <is>
          <t>웰키즈어린이집</t>
        </is>
      </c>
      <c r="B853" s="5" t="inlineStr">
        <is>
          <t>어린이집</t>
        </is>
      </c>
      <c r="C853" s="5" t="inlineStr">
        <is>
          <t>가정</t>
        </is>
      </c>
      <c r="D853" s="5" t="inlineStr">
        <is>
          <t>동래구</t>
        </is>
      </c>
      <c r="E853" s="5" t="inlineStr">
        <is>
          <t>부산광역시 동래구 충렬대로 487 107동 107호(안락2동, 안락에스케이아파트)</t>
        </is>
      </c>
      <c r="F853" s="5" t="inlineStr"/>
      <c r="G853" s="5" t="inlineStr">
        <is>
          <t>051-532-4616</t>
        </is>
      </c>
      <c r="H853" s="12">
        <f>어린이집!T474</f>
        <v/>
      </c>
      <c r="I853" s="5" t="inlineStr">
        <is>
          <t>만0세 7 / 만1세 3 / 기타(연령구분 없음) 4</t>
        </is>
      </c>
    </row>
    <row r="854">
      <c r="A854" s="5" t="inlineStr">
        <is>
          <t>유앤아이어린이집</t>
        </is>
      </c>
      <c r="B854" s="5" t="inlineStr">
        <is>
          <t>어린이집</t>
        </is>
      </c>
      <c r="C854" s="5" t="inlineStr">
        <is>
          <t>국공립</t>
        </is>
      </c>
      <c r="D854" s="5" t="inlineStr">
        <is>
          <t>동래구</t>
        </is>
      </c>
      <c r="E854" s="5" t="inlineStr">
        <is>
          <t>부산광역시 동래구 온천천로339번길 28</t>
        </is>
      </c>
      <c r="F854" s="5" t="inlineStr"/>
      <c r="G854" s="5" t="inlineStr">
        <is>
          <t>051-996-2004</t>
        </is>
      </c>
      <c r="H854" s="12">
        <f>어린이집!T475</f>
        <v/>
      </c>
      <c r="I854" s="5" t="inlineStr">
        <is>
          <t>만0세 5 / 만1세 15 / 만2세 14 / 기타(연령구분 없음) 5</t>
        </is>
      </c>
    </row>
    <row r="855">
      <c r="A855" s="5" t="inlineStr">
        <is>
          <t>으뜸어린이집</t>
        </is>
      </c>
      <c r="B855" s="5" t="inlineStr">
        <is>
          <t>어린이집</t>
        </is>
      </c>
      <c r="C855" s="5" t="inlineStr">
        <is>
          <t>가정</t>
        </is>
      </c>
      <c r="D855" s="5" t="inlineStr">
        <is>
          <t>동래구</t>
        </is>
      </c>
      <c r="E855" s="5" t="inlineStr">
        <is>
          <t>부산광역시 동래구 명륜로 170 112동101호(명륜동,명륜아이파크)</t>
        </is>
      </c>
      <c r="F855" s="5" t="inlineStr"/>
      <c r="G855" s="5" t="inlineStr">
        <is>
          <t>051-557-2720</t>
        </is>
      </c>
      <c r="H855" s="12">
        <f>어린이집!T476</f>
        <v/>
      </c>
      <c r="I855" s="5" t="inlineStr">
        <is>
          <t>만0세 3 / 만1세 5 / 만2세 7 / 영아혼합반 3 / 기타(연령구분 없음) 3</t>
        </is>
      </c>
    </row>
    <row r="856">
      <c r="A856" s="5" t="inlineStr">
        <is>
          <t>이편한세상동래온천어린이집</t>
        </is>
      </c>
      <c r="B856" s="5" t="inlineStr">
        <is>
          <t>어린이집</t>
        </is>
      </c>
      <c r="C856" s="5" t="inlineStr">
        <is>
          <t>국공립</t>
        </is>
      </c>
      <c r="D856" s="5" t="inlineStr">
        <is>
          <t>동래구</t>
        </is>
      </c>
      <c r="E856" s="5" t="inlineStr">
        <is>
          <t>부산광역시 동래구 아시아드대로 202 e편한세상 동래아시아드아파트</t>
        </is>
      </c>
      <c r="F856" s="11" t="inlineStr">
        <is>
          <t>http://www.youtube.com/@김엄지척</t>
        </is>
      </c>
      <c r="G856" s="5" t="inlineStr">
        <is>
          <t>051-991-5004</t>
        </is>
      </c>
      <c r="H856" s="12">
        <f>어린이집!T477</f>
        <v/>
      </c>
      <c r="I856" s="5" t="inlineStr">
        <is>
          <t>만0세 8 / 만1세 25 / 만2세 25 / 만3세 6 / 기타(연령구분 없음) 5</t>
        </is>
      </c>
    </row>
    <row r="857">
      <c r="A857" s="5" t="inlineStr">
        <is>
          <t>작은샘어린이집</t>
        </is>
      </c>
      <c r="B857" s="5" t="inlineStr">
        <is>
          <t>어린이집</t>
        </is>
      </c>
      <c r="C857" s="5" t="inlineStr">
        <is>
          <t>민간</t>
        </is>
      </c>
      <c r="D857" s="5" t="inlineStr">
        <is>
          <t>동래구</t>
        </is>
      </c>
      <c r="E857" s="5" t="inlineStr">
        <is>
          <t>부산광역시 동래구 명서로 153-4 (명장2동)</t>
        </is>
      </c>
      <c r="F857" s="11" t="inlineStr">
        <is>
          <t>http://dotmfkdls@hanmail.net</t>
        </is>
      </c>
      <c r="G857" s="5" t="inlineStr">
        <is>
          <t>051-528-3233</t>
        </is>
      </c>
      <c r="H857" s="12">
        <f>어린이집!T478</f>
        <v/>
      </c>
      <c r="I857" s="5" t="inlineStr">
        <is>
          <t>영아혼합반 7 / 유아혼합반 5 / 기타(연령구분 없음) 3</t>
        </is>
      </c>
    </row>
    <row r="858">
      <c r="A858" s="5" t="inlineStr">
        <is>
          <t>정다운어린이집</t>
        </is>
      </c>
      <c r="B858" s="5" t="inlineStr">
        <is>
          <t>어린이집</t>
        </is>
      </c>
      <c r="C858" s="5" t="inlineStr">
        <is>
          <t>국공립</t>
        </is>
      </c>
      <c r="D858" s="5" t="inlineStr">
        <is>
          <t>동래구</t>
        </is>
      </c>
      <c r="E858" s="5" t="inlineStr">
        <is>
          <t>부산광역시 동래구 석사북로 42</t>
        </is>
      </c>
      <c r="F858" s="5" t="inlineStr"/>
      <c r="G858" s="5" t="inlineStr">
        <is>
          <t>051-507-2005</t>
        </is>
      </c>
      <c r="H858" s="12">
        <f>어린이집!T479</f>
        <v/>
      </c>
      <c r="I858" s="5" t="inlineStr">
        <is>
          <t>만0세 4 / 만1세 10 / 만2세 16 / 만3세 14 / 만4세 9 / 유아혼합반 9 / 기타(연령구분 없음) 5</t>
        </is>
      </c>
    </row>
    <row r="859">
      <c r="A859" s="5" t="inlineStr">
        <is>
          <t>주영어린이집</t>
        </is>
      </c>
      <c r="B859" s="5" t="inlineStr">
        <is>
          <t>어린이집</t>
        </is>
      </c>
      <c r="C859" s="5" t="inlineStr">
        <is>
          <t>민간</t>
        </is>
      </c>
      <c r="D859" s="5" t="inlineStr">
        <is>
          <t>동래구</t>
        </is>
      </c>
      <c r="E859" s="5" t="inlineStr">
        <is>
          <t>부산광역시 동래구 시실로211번길 51 (명장2동)</t>
        </is>
      </c>
      <c r="F859" s="5" t="inlineStr"/>
      <c r="G859" s="5" t="inlineStr">
        <is>
          <t>051-523-0666</t>
        </is>
      </c>
      <c r="H859" s="12">
        <f>어린이집!T480</f>
        <v/>
      </c>
      <c r="I859" s="5" t="inlineStr">
        <is>
          <t>만0세 3 / 만1세 10 / 만2세 6 / 만5세 14 / 유아혼합반 13 / 기타(연령구분 없음) 11</t>
        </is>
      </c>
    </row>
    <row r="860">
      <c r="A860" s="5" t="inlineStr">
        <is>
          <t>지혜어린이집</t>
        </is>
      </c>
      <c r="B860" s="5" t="inlineStr">
        <is>
          <t>어린이집</t>
        </is>
      </c>
      <c r="C860" s="5" t="inlineStr">
        <is>
          <t>민간</t>
        </is>
      </c>
      <c r="D860" s="5" t="inlineStr">
        <is>
          <t>동래구</t>
        </is>
      </c>
      <c r="E860" s="5" t="inlineStr">
        <is>
          <t>부산광역시 동래구 명안로71번길 37-4 (명장1동)</t>
        </is>
      </c>
      <c r="F860" s="5" t="inlineStr"/>
      <c r="G860" s="5" t="inlineStr">
        <is>
          <t>051-522-3057</t>
        </is>
      </c>
      <c r="H860" s="12">
        <f>어린이집!T481</f>
        <v/>
      </c>
      <c r="I860" s="5" t="inlineStr">
        <is>
          <t>만0세 6 / 만1세 5 / 만2세 7 / 유아혼합반 6 / 기타(연령구분 없음) 5</t>
        </is>
      </c>
    </row>
    <row r="861">
      <c r="A861" s="5" t="inlineStr">
        <is>
          <t>참사랑어린이집</t>
        </is>
      </c>
      <c r="B861" s="5" t="inlineStr">
        <is>
          <t>어린이집</t>
        </is>
      </c>
      <c r="C861" s="5" t="inlineStr">
        <is>
          <t>가정</t>
        </is>
      </c>
      <c r="D861" s="5" t="inlineStr">
        <is>
          <t>동래구</t>
        </is>
      </c>
      <c r="E861" s="5" t="inlineStr">
        <is>
          <t>부산광역시 동래구 연안로 74 211동 102호(안락2동, 안락뜨란채2단지)</t>
        </is>
      </c>
      <c r="F861" s="5" t="inlineStr"/>
      <c r="G861" s="5" t="inlineStr">
        <is>
          <t>051-522-2705</t>
        </is>
      </c>
      <c r="H861" s="12">
        <f>어린이집!T482</f>
        <v/>
      </c>
      <c r="I861" s="5" t="inlineStr">
        <is>
          <t>만0세 2 / 만1세 5 / 만2세 4 / 기타(연령구분 없음) 3</t>
        </is>
      </c>
    </row>
    <row r="862">
      <c r="A862" s="5" t="inlineStr">
        <is>
          <t>창의영재어린이집</t>
        </is>
      </c>
      <c r="B862" s="5" t="inlineStr">
        <is>
          <t>어린이집</t>
        </is>
      </c>
      <c r="C862" s="5" t="inlineStr">
        <is>
          <t>가정</t>
        </is>
      </c>
      <c r="D862" s="5" t="inlineStr">
        <is>
          <t>동래구</t>
        </is>
      </c>
      <c r="E862" s="5" t="inlineStr">
        <is>
          <t>부산광역시 동래구 우장춘로108번길 22</t>
        </is>
      </c>
      <c r="F862" s="11" t="inlineStr">
        <is>
          <t>http://cafe.daum.net/changeuichild</t>
        </is>
      </c>
      <c r="G862" s="5" t="inlineStr">
        <is>
          <t>051-555-8818</t>
        </is>
      </c>
      <c r="H862" s="12">
        <f>어린이집!T483</f>
        <v/>
      </c>
      <c r="I862" s="5" t="inlineStr">
        <is>
          <t>만0세 2 / 영아혼합반 3</t>
        </is>
      </c>
    </row>
    <row r="863">
      <c r="A863" s="5" t="inlineStr">
        <is>
          <t>코끼리자연어린이집</t>
        </is>
      </c>
      <c r="B863" s="5" t="inlineStr">
        <is>
          <t>어린이집</t>
        </is>
      </c>
      <c r="C863" s="5" t="inlineStr">
        <is>
          <t>민간</t>
        </is>
      </c>
      <c r="D863" s="5" t="inlineStr">
        <is>
          <t>동래구</t>
        </is>
      </c>
      <c r="E863" s="5" t="inlineStr">
        <is>
          <t>부산광역시 동래구 칠산로 29 (복산동)</t>
        </is>
      </c>
      <c r="F863" s="5" t="inlineStr"/>
      <c r="G863" s="5" t="inlineStr">
        <is>
          <t>051-553-1112</t>
        </is>
      </c>
      <c r="H863" s="12">
        <f>어린이집!T484</f>
        <v/>
      </c>
      <c r="I863" s="5" t="inlineStr">
        <is>
          <t>유아혼합반 4</t>
        </is>
      </c>
    </row>
    <row r="864">
      <c r="A864" s="5" t="inlineStr">
        <is>
          <t>큰나무어린이집</t>
        </is>
      </c>
      <c r="B864" s="5" t="inlineStr">
        <is>
          <t>어린이집</t>
        </is>
      </c>
      <c r="C864" s="5" t="inlineStr">
        <is>
          <t>민간</t>
        </is>
      </c>
      <c r="D864" s="5" t="inlineStr">
        <is>
          <t>동래구</t>
        </is>
      </c>
      <c r="E864" s="5" t="inlineStr">
        <is>
          <t>부산광역시 동래구 호현길 50 (안락1동)</t>
        </is>
      </c>
      <c r="F864" s="5" t="inlineStr"/>
      <c r="G864" s="5" t="inlineStr">
        <is>
          <t>051-553-7939</t>
        </is>
      </c>
      <c r="H864" s="12">
        <f>어린이집!T485</f>
        <v/>
      </c>
      <c r="I864" s="5" t="inlineStr">
        <is>
          <t>만1세 4 / 만2세 5 / 기타(연령구분 없음) 3</t>
        </is>
      </c>
    </row>
    <row r="865">
      <c r="A865" s="5" t="inlineStr">
        <is>
          <t>파랑새어린이집</t>
        </is>
      </c>
      <c r="B865" s="5" t="inlineStr">
        <is>
          <t>어린이집</t>
        </is>
      </c>
      <c r="C865" s="5" t="inlineStr">
        <is>
          <t>민간</t>
        </is>
      </c>
      <c r="D865" s="5" t="inlineStr">
        <is>
          <t>동래구</t>
        </is>
      </c>
      <c r="E865" s="5" t="inlineStr">
        <is>
          <t>부산광역시 동래구 온천천로437번길 25-1 (안락1동)</t>
        </is>
      </c>
      <c r="F865" s="5" t="inlineStr"/>
      <c r="G865" s="5" t="inlineStr">
        <is>
          <t>051-531-7177</t>
        </is>
      </c>
      <c r="H865" s="12">
        <f>어린이집!T486</f>
        <v/>
      </c>
      <c r="I865" s="5" t="inlineStr">
        <is>
          <t>만0세 6 / 만1세 9 / 만2세 13 / 기타(연령구분 없음) 5</t>
        </is>
      </c>
    </row>
    <row r="866">
      <c r="A866" s="5" t="inlineStr">
        <is>
          <t>포구나무어린이집</t>
        </is>
      </c>
      <c r="B866" s="5" t="inlineStr">
        <is>
          <t>어린이집</t>
        </is>
      </c>
      <c r="C866" s="5" t="inlineStr">
        <is>
          <t>협동</t>
        </is>
      </c>
      <c r="D866" s="5" t="inlineStr">
        <is>
          <t>동래구</t>
        </is>
      </c>
      <c r="E866" s="5" t="inlineStr">
        <is>
          <t>부산광역시 동래구 쇠미로129번길 102-8 (온천3동)</t>
        </is>
      </c>
      <c r="F866" s="11" t="inlineStr">
        <is>
          <t>http://blog.naver.com/pogutree1</t>
        </is>
      </c>
      <c r="G866" s="5" t="inlineStr">
        <is>
          <t>051-557-1229</t>
        </is>
      </c>
      <c r="H866" s="12">
        <f>어린이집!T487</f>
        <v/>
      </c>
      <c r="I866" s="5" t="inlineStr">
        <is>
          <t>영아혼합반 5 / 유아혼합반 10 / 기타(연령구분 없음) 10</t>
        </is>
      </c>
    </row>
    <row r="867">
      <c r="A867" s="5" t="inlineStr">
        <is>
          <t>하늘샘어린이집</t>
        </is>
      </c>
      <c r="B867" s="5" t="inlineStr">
        <is>
          <t>어린이집</t>
        </is>
      </c>
      <c r="C867" s="5" t="inlineStr">
        <is>
          <t>가정</t>
        </is>
      </c>
      <c r="D867" s="5" t="inlineStr">
        <is>
          <t>동래구</t>
        </is>
      </c>
      <c r="E867" s="5" t="inlineStr">
        <is>
          <t>부산광역시 동래구 금강로 28 온천삼익아파트 2-110(온천2동)</t>
        </is>
      </c>
      <c r="F867" s="11" t="inlineStr">
        <is>
          <t>https://band.naver.com</t>
        </is>
      </c>
      <c r="G867" s="5" t="inlineStr">
        <is>
          <t>051-557-1080</t>
        </is>
      </c>
      <c r="H867" s="12">
        <f>어린이집!T488</f>
        <v/>
      </c>
      <c r="I867" s="5" t="inlineStr">
        <is>
          <t>만0세 7 / 만1세 5 / 만2세 5 / 기타(연령구분 없음) 3</t>
        </is>
      </c>
    </row>
    <row r="868">
      <c r="A868" s="5" t="inlineStr">
        <is>
          <t>하늘숲어린이집</t>
        </is>
      </c>
      <c r="B868" s="5" t="inlineStr">
        <is>
          <t>어린이집</t>
        </is>
      </c>
      <c r="C868" s="5" t="inlineStr">
        <is>
          <t>민간</t>
        </is>
      </c>
      <c r="D868" s="5" t="inlineStr">
        <is>
          <t>동래구</t>
        </is>
      </c>
      <c r="E868" s="5" t="inlineStr">
        <is>
          <t>부산광역시 동래구 충렬대로446번나길 27 (안락2동)</t>
        </is>
      </c>
      <c r="F868" s="5" t="inlineStr"/>
      <c r="G868" s="5" t="inlineStr">
        <is>
          <t>051-526-1353</t>
        </is>
      </c>
      <c r="H868" s="12">
        <f>어린이집!T489</f>
        <v/>
      </c>
      <c r="I868" s="5" t="inlineStr">
        <is>
          <t>만0세 9 / 만1세 19 / 만2세 15 / 기타(연령구분 없음) 3</t>
        </is>
      </c>
    </row>
    <row r="869">
      <c r="A869" s="5" t="inlineStr">
        <is>
          <t>하랑어린이집</t>
        </is>
      </c>
      <c r="B869" s="5" t="inlineStr">
        <is>
          <t>어린이집</t>
        </is>
      </c>
      <c r="C869" s="5" t="inlineStr">
        <is>
          <t>가정</t>
        </is>
      </c>
      <c r="D869" s="5" t="inlineStr">
        <is>
          <t>동래구</t>
        </is>
      </c>
      <c r="E869" s="5" t="inlineStr">
        <is>
          <t>부산광역시 동래구 충렬대로 487 109동 106호(안락2동, 안락에스케이아파트)</t>
        </is>
      </c>
      <c r="F869" s="11" t="inlineStr">
        <is>
          <t>http://lovsoona@hanmail.net</t>
        </is>
      </c>
      <c r="G869" s="5" t="inlineStr">
        <is>
          <t>051-531-5011</t>
        </is>
      </c>
      <c r="H869" s="12">
        <f>어린이집!T490</f>
        <v/>
      </c>
      <c r="I869" s="5" t="inlineStr">
        <is>
          <t>만0세 2 / 만1세 6 / 기타(연령구분 없음) 3</t>
        </is>
      </c>
    </row>
    <row r="870">
      <c r="A870" s="5" t="inlineStr">
        <is>
          <t>한독온천어린이집</t>
        </is>
      </c>
      <c r="B870" s="5" t="inlineStr">
        <is>
          <t>어린이집</t>
        </is>
      </c>
      <c r="C870" s="5" t="inlineStr">
        <is>
          <t>민간</t>
        </is>
      </c>
      <c r="D870" s="5" t="inlineStr">
        <is>
          <t>동래구</t>
        </is>
      </c>
      <c r="E870" s="5" t="inlineStr">
        <is>
          <t>부산광역시 동래구 석사북로95번길 72 (온천3동)</t>
        </is>
      </c>
      <c r="F870" s="5" t="inlineStr"/>
      <c r="G870" s="5" t="inlineStr">
        <is>
          <t>051-505-5561</t>
        </is>
      </c>
      <c r="H870" s="12">
        <f>어린이집!T491</f>
        <v/>
      </c>
      <c r="I870" s="5" t="inlineStr">
        <is>
          <t>만0세 14 / 만1세 15 / 만2세 33 / 만3세 13 / 만4세 15 / 만5세 11 / 기타(연령구분 없음) 30</t>
        </is>
      </c>
    </row>
    <row r="871">
      <c r="A871" s="5" t="inlineStr">
        <is>
          <t>한마음어린이집</t>
        </is>
      </c>
      <c r="B871" s="5" t="inlineStr">
        <is>
          <t>어린이집</t>
        </is>
      </c>
      <c r="C871" s="5" t="inlineStr">
        <is>
          <t>국공립</t>
        </is>
      </c>
      <c r="D871" s="5" t="inlineStr">
        <is>
          <t>동래구</t>
        </is>
      </c>
      <c r="E871" s="5" t="inlineStr">
        <is>
          <t>부산광역시 동래구 명안로78번길 9 (명장1동)</t>
        </is>
      </c>
      <c r="F871" s="5" t="inlineStr"/>
      <c r="G871" s="5" t="inlineStr">
        <is>
          <t>051-524-0014</t>
        </is>
      </c>
      <c r="H871" s="12">
        <f>어린이집!T492</f>
        <v/>
      </c>
      <c r="I871" s="5" t="inlineStr">
        <is>
          <t>만0세 5 / 만1세 9 / 만2세 14 / 만3세 3 / 유아혼합반 9 / 장애아반(특수) 5 / 기타(연령구분 없음) 5</t>
        </is>
      </c>
    </row>
    <row r="872">
      <c r="A872" s="5" t="inlineStr">
        <is>
          <t>한빛어린이집</t>
        </is>
      </c>
      <c r="B872" s="5" t="inlineStr">
        <is>
          <t>어린이집</t>
        </is>
      </c>
      <c r="C872" s="5" t="inlineStr">
        <is>
          <t>민간</t>
        </is>
      </c>
      <c r="D872" s="5" t="inlineStr">
        <is>
          <t>동래구</t>
        </is>
      </c>
      <c r="E872" s="5" t="inlineStr">
        <is>
          <t>부산광역시 동래구 명안로45번길 19 (안락1동)</t>
        </is>
      </c>
      <c r="F872" s="5" t="inlineStr"/>
      <c r="G872" s="5" t="inlineStr">
        <is>
          <t>051-522-6877</t>
        </is>
      </c>
      <c r="H872" s="12">
        <f>어린이집!T493</f>
        <v/>
      </c>
      <c r="I872" s="5" t="inlineStr">
        <is>
          <t>만2세 4 / 영아혼합반 6 / 유아혼합반 13 / 기타(연령구분 없음) 8</t>
        </is>
      </c>
    </row>
    <row r="873">
      <c r="A873" s="5" t="inlineStr">
        <is>
          <t>한아름어린이집</t>
        </is>
      </c>
      <c r="B873" s="5" t="inlineStr">
        <is>
          <t>어린이집</t>
        </is>
      </c>
      <c r="C873" s="5" t="inlineStr">
        <is>
          <t>가정</t>
        </is>
      </c>
      <c r="D873" s="5" t="inlineStr">
        <is>
          <t>동래구</t>
        </is>
      </c>
      <c r="E873" s="5" t="inlineStr">
        <is>
          <t>부산광역시 동래구 우장춘로74번길 17 동우빌 102호 (온천2동)</t>
        </is>
      </c>
      <c r="F873" s="11" t="inlineStr">
        <is>
          <t>http://hana5361@hammail.net</t>
        </is>
      </c>
      <c r="G873" s="5" t="inlineStr">
        <is>
          <t>051-555-5361</t>
        </is>
      </c>
      <c r="H873" s="12">
        <f>어린이집!T494</f>
        <v/>
      </c>
      <c r="I873" s="5" t="inlineStr">
        <is>
          <t>만0세 5 / 만1세 3 / 만2세 10 / 기타(연령구분 없음) 5</t>
        </is>
      </c>
    </row>
    <row r="874">
      <c r="A874" s="5" t="inlineStr">
        <is>
          <t>한진어린이집</t>
        </is>
      </c>
      <c r="B874" s="5" t="inlineStr">
        <is>
          <t>어린이집</t>
        </is>
      </c>
      <c r="C874" s="5" t="inlineStr">
        <is>
          <t>가정</t>
        </is>
      </c>
      <c r="D874" s="5" t="inlineStr">
        <is>
          <t>동래구</t>
        </is>
      </c>
      <c r="E874" s="5" t="inlineStr">
        <is>
          <t>부산광역시 동래구 충렬대로200번길 25 한진아파트 관리동 1층(수안동)</t>
        </is>
      </c>
      <c r="F874" s="5" t="inlineStr"/>
      <c r="G874" s="5" t="inlineStr">
        <is>
          <t>051-552-4728</t>
        </is>
      </c>
      <c r="H874" s="12">
        <f>어린이집!T495</f>
        <v/>
      </c>
      <c r="I874" s="5" t="inlineStr">
        <is>
          <t>만0세 3 / 만1세 3 / 기타(연령구분 없음) 3</t>
        </is>
      </c>
    </row>
    <row r="875">
      <c r="A875" s="5" t="inlineStr">
        <is>
          <t>해맑은어린이집</t>
        </is>
      </c>
      <c r="B875" s="5" t="inlineStr">
        <is>
          <t>어린이집</t>
        </is>
      </c>
      <c r="C875" s="5" t="inlineStr">
        <is>
          <t>민간</t>
        </is>
      </c>
      <c r="D875" s="5" t="inlineStr">
        <is>
          <t>동래구</t>
        </is>
      </c>
      <c r="E875" s="5" t="inlineStr">
        <is>
          <t>부산광역시 동래구 온천천로399번길 14 107동 101호(낙민동, 동원아파트)</t>
        </is>
      </c>
      <c r="F875" s="5" t="inlineStr"/>
      <c r="G875" s="5" t="inlineStr">
        <is>
          <t>051-522-2966</t>
        </is>
      </c>
      <c r="H875" s="12">
        <f>어린이집!T496</f>
        <v/>
      </c>
      <c r="I875" s="5" t="inlineStr">
        <is>
          <t>만0세 6 / 만1세 8 / 만2세 8 / 기타(연령구분 없음) 5</t>
        </is>
      </c>
    </row>
    <row r="876">
      <c r="A876" s="5" t="inlineStr">
        <is>
          <t>햇살어린이집</t>
        </is>
      </c>
      <c r="B876" s="5" t="inlineStr">
        <is>
          <t>어린이집</t>
        </is>
      </c>
      <c r="C876" s="5" t="inlineStr">
        <is>
          <t>국공립</t>
        </is>
      </c>
      <c r="D876" s="5" t="inlineStr">
        <is>
          <t>동래구</t>
        </is>
      </c>
      <c r="E876" s="5" t="inlineStr">
        <is>
          <t>부산광역시 동래구 여고로91번길 77-10</t>
        </is>
      </c>
      <c r="F876" s="5" t="inlineStr"/>
      <c r="G876" s="5" t="inlineStr">
        <is>
          <t>051-507-7070</t>
        </is>
      </c>
      <c r="H876" s="12">
        <f>어린이집!T497</f>
        <v/>
      </c>
      <c r="I876" s="5" t="inlineStr">
        <is>
          <t>만0세 12 / 만1세 9 / 만2세 13 / 만5세 11 / 유아혼합반 11 / 기타(연령구분 없음) 8</t>
        </is>
      </c>
    </row>
    <row r="877">
      <c r="A877" s="5" t="inlineStr">
        <is>
          <t>행복한어린이집</t>
        </is>
      </c>
      <c r="B877" s="5" t="inlineStr">
        <is>
          <t>어린이집</t>
        </is>
      </c>
      <c r="C877" s="5" t="inlineStr">
        <is>
          <t>가정</t>
        </is>
      </c>
      <c r="D877" s="5" t="inlineStr">
        <is>
          <t>동래구</t>
        </is>
      </c>
      <c r="E877" s="5" t="inlineStr">
        <is>
          <t>부산광역시 동래구 아시아드대로 234 관리동 107동 1층(온천3동,반도보라스카이뷰)</t>
        </is>
      </c>
      <c r="F877" s="5" t="inlineStr"/>
      <c r="G877" s="5" t="inlineStr">
        <is>
          <t>051-507-0915</t>
        </is>
      </c>
      <c r="H877" s="12">
        <f>어린이집!T498</f>
        <v/>
      </c>
      <c r="I877" s="5" t="inlineStr">
        <is>
          <t>만0세 6 / 영아혼합반 5</t>
        </is>
      </c>
    </row>
    <row r="878">
      <c r="A878" s="5" t="inlineStr">
        <is>
          <t>혜화어린이집</t>
        </is>
      </c>
      <c r="B878" s="5" t="inlineStr">
        <is>
          <t>어린이집</t>
        </is>
      </c>
      <c r="C878" s="5" t="inlineStr">
        <is>
          <t>민간</t>
        </is>
      </c>
      <c r="D878" s="5" t="inlineStr">
        <is>
          <t>동래구</t>
        </is>
      </c>
      <c r="E878" s="5" t="inlineStr">
        <is>
          <t>부산광역시 동래구 명장로99번길 25  -1 (명장1동)</t>
        </is>
      </c>
      <c r="F878" s="11" t="inlineStr">
        <is>
          <t>http://www.hye-hwa.com</t>
        </is>
      </c>
      <c r="G878" s="5" t="inlineStr">
        <is>
          <t>051-523-0054</t>
        </is>
      </c>
      <c r="H878" s="12">
        <f>어린이집!T499</f>
        <v/>
      </c>
      <c r="I878" s="5" t="inlineStr">
        <is>
          <t>만1세 14 / 만2세 26 / 만3세 37 / 만4세 36 / 만5세 20 / 기타(연령구분 없음) 29</t>
        </is>
      </c>
    </row>
    <row r="879">
      <c r="A879" s="5" t="inlineStr">
        <is>
          <t>휴먼시아어린이집</t>
        </is>
      </c>
      <c r="B879" s="5" t="inlineStr">
        <is>
          <t>어린이집</t>
        </is>
      </c>
      <c r="C879" s="5" t="inlineStr">
        <is>
          <t>국공립</t>
        </is>
      </c>
      <c r="D879" s="5" t="inlineStr">
        <is>
          <t>동래구</t>
        </is>
      </c>
      <c r="E879" s="5" t="inlineStr">
        <is>
          <t>부산광역시 동래구 충렬대로447번길 38 (안락2동)</t>
        </is>
      </c>
      <c r="F879" s="11" t="inlineStr">
        <is>
          <t>http://cafe.daum.net/inhumansia</t>
        </is>
      </c>
      <c r="G879" s="5" t="inlineStr">
        <is>
          <t>051-522-7970</t>
        </is>
      </c>
      <c r="H879" s="12">
        <f>어린이집!T500</f>
        <v/>
      </c>
      <c r="I879" s="5" t="inlineStr">
        <is>
          <t>만0세 3 / 만1세 10 / 만2세 14 / 영아혼합반 2 / 기타(연령구분 없음) 5</t>
        </is>
      </c>
    </row>
    <row r="880">
      <c r="A880" s="5" t="inlineStr">
        <is>
          <t>힐스테이트 명륜 어린이집</t>
        </is>
      </c>
      <c r="B880" s="5" t="inlineStr">
        <is>
          <t>어린이집</t>
        </is>
      </c>
      <c r="C880" s="5" t="inlineStr">
        <is>
          <t>국공립</t>
        </is>
      </c>
      <c r="D880" s="5" t="inlineStr">
        <is>
          <t>동래구</t>
        </is>
      </c>
      <c r="E880" s="5" t="inlineStr">
        <is>
          <t>부산광역시 동래구 명륜로 222</t>
        </is>
      </c>
      <c r="F880" s="11" t="inlineStr">
        <is>
          <t>http://cafe.daum.net/hillstatemyeongyun</t>
        </is>
      </c>
      <c r="G880" s="5" t="inlineStr">
        <is>
          <t>051-558-5153</t>
        </is>
      </c>
      <c r="H880" s="12">
        <f>어린이집!T501</f>
        <v/>
      </c>
      <c r="I880" s="5" t="inlineStr">
        <is>
          <t>만0세 6 / 만1세 20 / 만2세 21 / 기타(연령구분 없음) 5</t>
        </is>
      </c>
    </row>
    <row r="881">
      <c r="A881" s="5" t="inlineStr">
        <is>
          <t>힐스테이트명륜트라디움어린이집</t>
        </is>
      </c>
      <c r="B881" s="5" t="inlineStr">
        <is>
          <t>어린이집</t>
        </is>
      </c>
      <c r="C881" s="5" t="inlineStr">
        <is>
          <t>국공립</t>
        </is>
      </c>
      <c r="D881" s="5" t="inlineStr">
        <is>
          <t>동래구</t>
        </is>
      </c>
      <c r="E881" s="5" t="inlineStr">
        <is>
          <t>부산광역시 동래구 동래로57번길 94</t>
        </is>
      </c>
      <c r="F881" s="5" t="inlineStr"/>
      <c r="G881" s="5" t="inlineStr">
        <is>
          <t>051-557-5004</t>
        </is>
      </c>
      <c r="H881" s="12">
        <f>어린이집!T502</f>
        <v/>
      </c>
      <c r="I881" s="5" t="inlineStr">
        <is>
          <t>만1세 22 / 만2세 33 / 장애아반(특수) 2 / 기타(연령구분 없음) 21</t>
        </is>
      </c>
    </row>
    <row r="882">
      <c r="A882" s="5" t="inlineStr">
        <is>
          <t>BNK전포동어린이집</t>
        </is>
      </c>
      <c r="B882" s="5" t="inlineStr">
        <is>
          <t>어린이집</t>
        </is>
      </c>
      <c r="C882" s="5" t="inlineStr">
        <is>
          <t>직장</t>
        </is>
      </c>
      <c r="D882" s="5" t="inlineStr">
        <is>
          <t>부산진구</t>
        </is>
      </c>
      <c r="E882" s="5" t="inlineStr">
        <is>
          <t>부산광역시 부산진구 중앙대로 807 부산은행 전포동지점 1층내 (부전동)</t>
        </is>
      </c>
      <c r="F882" s="5" t="inlineStr"/>
      <c r="G882" s="5" t="inlineStr">
        <is>
          <t>051-819-9413</t>
        </is>
      </c>
      <c r="H882" s="12">
        <f>어린이집!T503</f>
        <v/>
      </c>
      <c r="I882" s="5" t="inlineStr">
        <is>
          <t>만1세 9 / 만2세 9 / 만5세 6 / 유아혼합반 10 / 기타(연령구분 없음) 23</t>
        </is>
      </c>
    </row>
    <row r="883">
      <c r="A883" s="5" t="inlineStr">
        <is>
          <t>가야2동로사어린이집</t>
        </is>
      </c>
      <c r="B883" s="5" t="inlineStr">
        <is>
          <t>어린이집</t>
        </is>
      </c>
      <c r="C883" s="5" t="inlineStr">
        <is>
          <t>국공립</t>
        </is>
      </c>
      <c r="D883" s="5" t="inlineStr">
        <is>
          <t>부산진구</t>
        </is>
      </c>
      <c r="E883" s="5" t="inlineStr">
        <is>
          <t>부산광역시 부산진구 엄광로 68 117동 104호</t>
        </is>
      </c>
      <c r="F883" s="5" t="inlineStr"/>
      <c r="G883" s="5" t="inlineStr">
        <is>
          <t>051-894-1222</t>
        </is>
      </c>
      <c r="H883" s="12">
        <f>어린이집!T504</f>
        <v/>
      </c>
      <c r="I883" s="5" t="inlineStr">
        <is>
          <t>만0세 5 / 만1세 5 / 만2세 7 / 영아혼합반 2 / 기타(연령구분 없음) 4</t>
        </is>
      </c>
    </row>
    <row r="884">
      <c r="A884" s="5" t="inlineStr">
        <is>
          <t>가야센트레빌어린이집</t>
        </is>
      </c>
      <c r="B884" s="5" t="inlineStr">
        <is>
          <t>어린이집</t>
        </is>
      </c>
      <c r="C884" s="5" t="inlineStr">
        <is>
          <t>국공립</t>
        </is>
      </c>
      <c r="D884" s="5" t="inlineStr">
        <is>
          <t>부산진구</t>
        </is>
      </c>
      <c r="E884" s="5" t="inlineStr">
        <is>
          <t>부산광역시 부산진구 가야공원로 6 가야센트레빌</t>
        </is>
      </c>
      <c r="F884" s="5" t="inlineStr"/>
      <c r="G884" s="5" t="inlineStr">
        <is>
          <t>051-927-0810</t>
        </is>
      </c>
      <c r="H884" s="12">
        <f>어린이집!T505</f>
        <v/>
      </c>
      <c r="I884" s="5" t="inlineStr">
        <is>
          <t>만0세 5 / 만1세 6 / 만2세 10 / 기타(연령구분 없음) 3</t>
        </is>
      </c>
    </row>
    <row r="885">
      <c r="A885" s="5" t="inlineStr">
        <is>
          <t>가야송림어린이집</t>
        </is>
      </c>
      <c r="B885" s="5" t="inlineStr">
        <is>
          <t>어린이집</t>
        </is>
      </c>
      <c r="C885" s="5" t="inlineStr">
        <is>
          <t>국공립</t>
        </is>
      </c>
      <c r="D885" s="5" t="inlineStr">
        <is>
          <t>부산진구</t>
        </is>
      </c>
      <c r="E885" s="5" t="inlineStr">
        <is>
          <t>부산광역시 부산진구 대학로36번길 12  (가야동)</t>
        </is>
      </c>
      <c r="F885" s="5" t="inlineStr"/>
      <c r="G885" s="5" t="inlineStr">
        <is>
          <t>051-896-0078</t>
        </is>
      </c>
      <c r="H885" s="12">
        <f>어린이집!T506</f>
        <v/>
      </c>
      <c r="I885" s="5" t="inlineStr">
        <is>
          <t>만1세 10 / 만2세 14 / 만3세 8 / 유아혼합반 17</t>
        </is>
      </c>
    </row>
    <row r="886">
      <c r="A886" s="5" t="inlineStr">
        <is>
          <t>개금2동예슬어린이집</t>
        </is>
      </c>
      <c r="B886" s="5" t="inlineStr">
        <is>
          <t>어린이집</t>
        </is>
      </c>
      <c r="C886" s="5" t="inlineStr">
        <is>
          <t>국공립</t>
        </is>
      </c>
      <c r="D886" s="5" t="inlineStr">
        <is>
          <t>부산진구</t>
        </is>
      </c>
      <c r="E886" s="5" t="inlineStr">
        <is>
          <t>부산광역시 부산진구 진사로48번길 37 (개금동)</t>
        </is>
      </c>
      <c r="F886" s="5" t="inlineStr"/>
      <c r="G886" s="5" t="inlineStr">
        <is>
          <t>051-893-5500</t>
        </is>
      </c>
      <c r="H886" s="12">
        <f>어린이집!T507</f>
        <v/>
      </c>
      <c r="I886" s="5" t="inlineStr">
        <is>
          <t>만0세 3 / 만2세 6 / 영아혼합반 8 / 기타(연령구분 없음) 5</t>
        </is>
      </c>
    </row>
    <row r="887">
      <c r="A887" s="5" t="inlineStr">
        <is>
          <t>개금3동한다솜어린이집</t>
        </is>
      </c>
      <c r="B887" s="5" t="inlineStr">
        <is>
          <t>어린이집</t>
        </is>
      </c>
      <c r="C887" s="5" t="inlineStr">
        <is>
          <t>국공립</t>
        </is>
      </c>
      <c r="D887" s="5" t="inlineStr">
        <is>
          <t>부산진구</t>
        </is>
      </c>
      <c r="E887" s="5" t="inlineStr">
        <is>
          <t>부산광역시 부산진구 백양대로300번길 19 관리동(개금동, 신개금엘지아파트)</t>
        </is>
      </c>
      <c r="F887" s="5" t="inlineStr"/>
      <c r="G887" s="5" t="inlineStr">
        <is>
          <t>051-893-7343</t>
        </is>
      </c>
      <c r="H887" s="12">
        <f>어린이집!T508</f>
        <v/>
      </c>
      <c r="I887" s="5" t="inlineStr">
        <is>
          <t>만1세 11 / 만2세 14</t>
        </is>
      </c>
    </row>
    <row r="888">
      <c r="A888" s="5" t="inlineStr">
        <is>
          <t>개금천사어린이집</t>
        </is>
      </c>
      <c r="B888" s="5" t="inlineStr">
        <is>
          <t>어린이집</t>
        </is>
      </c>
      <c r="C888" s="5" t="inlineStr">
        <is>
          <t>국공립</t>
        </is>
      </c>
      <c r="D888" s="5" t="inlineStr">
        <is>
          <t>부산진구</t>
        </is>
      </c>
      <c r="E888" s="5" t="inlineStr">
        <is>
          <t>부산광역시 부산진구 냉정로161번길 6  (개금동)</t>
        </is>
      </c>
      <c r="F888" s="5" t="inlineStr"/>
      <c r="G888" s="5" t="inlineStr">
        <is>
          <t>051-892-3003</t>
        </is>
      </c>
      <c r="H888" s="12">
        <f>어린이집!T509</f>
        <v/>
      </c>
      <c r="I888" s="5" t="inlineStr">
        <is>
          <t>만1세 13 / 만2세 19 / 만3세 14 / 만4세 17 / 만5세 17 / 기타(연령구분 없음) 19</t>
        </is>
      </c>
    </row>
    <row r="889">
      <c r="A889" s="5" t="inlineStr">
        <is>
          <t>개원어린이집</t>
        </is>
      </c>
      <c r="B889" s="5" t="inlineStr">
        <is>
          <t>어린이집</t>
        </is>
      </c>
      <c r="C889" s="5" t="inlineStr">
        <is>
          <t>민간</t>
        </is>
      </c>
      <c r="D889" s="5" t="inlineStr">
        <is>
          <t>부산진구</t>
        </is>
      </c>
      <c r="E889" s="5" t="inlineStr">
        <is>
          <t>부산광역시 부산진구 백양관문로77번길 33 (개금동)</t>
        </is>
      </c>
      <c r="F889" s="5" t="inlineStr"/>
      <c r="G889" s="5" t="inlineStr">
        <is>
          <t>051-896-6677</t>
        </is>
      </c>
      <c r="H889" s="12">
        <f>어린이집!T510</f>
        <v/>
      </c>
      <c r="I889" s="5" t="inlineStr">
        <is>
          <t>만0세 3 / 만1세 5 / 만2세 7 / 만3세 12 / 만4세 8 / 만5세 15 / 기타(연령구분 없음) 19</t>
        </is>
      </c>
    </row>
    <row r="890">
      <c r="A890" s="5" t="inlineStr">
        <is>
          <t>경남어린이집</t>
        </is>
      </c>
      <c r="B890" s="5" t="inlineStr">
        <is>
          <t>어린이집</t>
        </is>
      </c>
      <c r="C890" s="5" t="inlineStr">
        <is>
          <t>민간</t>
        </is>
      </c>
      <c r="D890" s="5" t="inlineStr">
        <is>
          <t>부산진구</t>
        </is>
      </c>
      <c r="E890" s="5" t="inlineStr">
        <is>
          <t>부산광역시 부산진구 신암로 32 (범천동, 범천경남아파트 내)</t>
        </is>
      </c>
      <c r="F890" s="5" t="inlineStr"/>
      <c r="G890" s="5" t="inlineStr">
        <is>
          <t>051-633-7053</t>
        </is>
      </c>
      <c r="H890" s="12">
        <f>어린이집!T511</f>
        <v/>
      </c>
      <c r="I890" s="5" t="inlineStr">
        <is>
          <t>만0세 8 / 만1세 13 / 만2세 5 / 기타(연령구분 없음) 3</t>
        </is>
      </c>
    </row>
    <row r="891">
      <c r="A891" s="5" t="inlineStr">
        <is>
          <t>곤지곤지어린이집</t>
        </is>
      </c>
      <c r="B891" s="5" t="inlineStr">
        <is>
          <t>어린이집</t>
        </is>
      </c>
      <c r="C891" s="5" t="inlineStr">
        <is>
          <t>국공립</t>
        </is>
      </c>
      <c r="D891" s="5" t="inlineStr">
        <is>
          <t>부산진구</t>
        </is>
      </c>
      <c r="E891" s="5" t="inlineStr">
        <is>
          <t>부산광역시 부산진구 동평로 352 109동 102호</t>
        </is>
      </c>
      <c r="F891" s="5" t="inlineStr"/>
      <c r="G891" s="5" t="inlineStr">
        <is>
          <t>051-864-8295</t>
        </is>
      </c>
      <c r="H891" s="12">
        <f>어린이집!T512</f>
        <v/>
      </c>
      <c r="I891" s="5" t="inlineStr">
        <is>
          <t>만0세 2 / 만1세 8 / 만2세 7 / 기타(연령구분 없음) 5</t>
        </is>
      </c>
    </row>
    <row r="892">
      <c r="A892" s="5" t="inlineStr">
        <is>
          <t>굿모닝어린이집</t>
        </is>
      </c>
      <c r="B892" s="5" t="inlineStr">
        <is>
          <t>어린이집</t>
        </is>
      </c>
      <c r="C892" s="5" t="inlineStr">
        <is>
          <t>민간</t>
        </is>
      </c>
      <c r="D892" s="5" t="inlineStr">
        <is>
          <t>부산진구</t>
        </is>
      </c>
      <c r="E892" s="5" t="inlineStr">
        <is>
          <t>부산광역시 부산진구 신천대로220번길 65 관리동(부암동, 서면동문굿모닝힐)</t>
        </is>
      </c>
      <c r="F892" s="5" t="inlineStr"/>
      <c r="G892" s="5" t="inlineStr">
        <is>
          <t>051-909-3704</t>
        </is>
      </c>
      <c r="H892" s="12">
        <f>어린이집!T513</f>
        <v/>
      </c>
      <c r="I892" s="5" t="inlineStr">
        <is>
          <t>만0세 4 / 만1세 5 / 만2세 7 / 영아혼합반 5 / 기타(연령구분 없음) 10</t>
        </is>
      </c>
    </row>
    <row r="893">
      <c r="A893" s="5" t="inlineStr">
        <is>
          <t>금강펜테리움어린이집</t>
        </is>
      </c>
      <c r="B893" s="5" t="inlineStr">
        <is>
          <t>어린이집</t>
        </is>
      </c>
      <c r="C893" s="5" t="inlineStr">
        <is>
          <t>국공립</t>
        </is>
      </c>
      <c r="D893" s="5" t="inlineStr">
        <is>
          <t>부산진구</t>
        </is>
      </c>
      <c r="E893" s="5" t="inlineStr">
        <is>
          <t>부산광역시 부산진구 가야대로 450 (개금동, 금강펜테리움더스퀘어아파트)</t>
        </is>
      </c>
      <c r="F893" s="5" t="inlineStr"/>
      <c r="G893" s="5" t="inlineStr">
        <is>
          <t>051-897-8882</t>
        </is>
      </c>
      <c r="H893" s="12">
        <f>어린이집!T514</f>
        <v/>
      </c>
      <c r="I893" s="5" t="inlineStr">
        <is>
          <t>만0세 8 / 만1세 22 / 만2세 15 / 기타(연령구분 없음) 15</t>
        </is>
      </c>
    </row>
    <row r="894">
      <c r="A894" s="5" t="inlineStr">
        <is>
          <t>꼬마동산어린이집</t>
        </is>
      </c>
      <c r="B894" s="5" t="inlineStr">
        <is>
          <t>어린이집</t>
        </is>
      </c>
      <c r="C894" s="5" t="inlineStr">
        <is>
          <t>국공립</t>
        </is>
      </c>
      <c r="D894" s="5" t="inlineStr">
        <is>
          <t>부산진구</t>
        </is>
      </c>
      <c r="E894" s="5" t="inlineStr">
        <is>
          <t>부산광역시 부산진구 가야공원로 41 110동 105호</t>
        </is>
      </c>
      <c r="F894" s="5" t="inlineStr"/>
      <c r="G894" s="5" t="inlineStr">
        <is>
          <t>051-896-5857</t>
        </is>
      </c>
      <c r="H894" s="12">
        <f>어린이집!T515</f>
        <v/>
      </c>
      <c r="I894" s="5" t="inlineStr">
        <is>
          <t>만0세 4 / 만1세 8 / 만2세 5 / 기타(연령구분 없음) 5</t>
        </is>
      </c>
    </row>
    <row r="895">
      <c r="A895" s="5" t="inlineStr">
        <is>
          <t>꼬마차원 어린이집</t>
        </is>
      </c>
      <c r="B895" s="5" t="inlineStr">
        <is>
          <t>어린이집</t>
        </is>
      </c>
      <c r="C895" s="5" t="inlineStr">
        <is>
          <t>가정</t>
        </is>
      </c>
      <c r="D895" s="5" t="inlineStr">
        <is>
          <t>부산진구</t>
        </is>
      </c>
      <c r="E895" s="5" t="inlineStr">
        <is>
          <t>부산광역시 부산진구 동평로 218 103동 203호 (부암동, 일동미라주아파트)</t>
        </is>
      </c>
      <c r="F895" s="5" t="inlineStr"/>
      <c r="G895" s="5" t="inlineStr">
        <is>
          <t>051-808-4766</t>
        </is>
      </c>
      <c r="H895" s="12">
        <f>어린이집!T516</f>
        <v/>
      </c>
      <c r="I895" s="5" t="inlineStr">
        <is>
          <t>만0세 3 / 만1세 10 / 만2세 5 / 기타(연령구분 없음) 5</t>
        </is>
      </c>
    </row>
    <row r="896">
      <c r="A896" s="5" t="inlineStr">
        <is>
          <t>꿈나래어린이집</t>
        </is>
      </c>
      <c r="B896" s="5" t="inlineStr">
        <is>
          <t>어린이집</t>
        </is>
      </c>
      <c r="C896" s="5" t="inlineStr">
        <is>
          <t>민간</t>
        </is>
      </c>
      <c r="D896" s="5" t="inlineStr">
        <is>
          <t>부산진구</t>
        </is>
      </c>
      <c r="E896" s="5" t="inlineStr">
        <is>
          <t>부산광역시 부산진구 동평로223번길 85 (연지동)</t>
        </is>
      </c>
      <c r="F896" s="5" t="inlineStr"/>
      <c r="G896" s="5" t="inlineStr">
        <is>
          <t>051-818-1723</t>
        </is>
      </c>
      <c r="H896" s="12">
        <f>어린이집!T517</f>
        <v/>
      </c>
      <c r="I896" s="5" t="inlineStr">
        <is>
          <t>만0세 12 / 만1세 16 / 만2세 21 / 기타(연령구분 없음) 5</t>
        </is>
      </c>
    </row>
    <row r="897">
      <c r="A897" s="5" t="inlineStr">
        <is>
          <t>꿈샘어린이집</t>
        </is>
      </c>
      <c r="B897" s="5" t="inlineStr">
        <is>
          <t>어린이집</t>
        </is>
      </c>
      <c r="C897" s="5" t="inlineStr">
        <is>
          <t>국공립</t>
        </is>
      </c>
      <c r="D897" s="5" t="inlineStr">
        <is>
          <t>부산진구</t>
        </is>
      </c>
      <c r="E897" s="5" t="inlineStr">
        <is>
          <t>부산광역시 부산진구 백양대로 160 (당감동,부산진구여성가족문화센터)</t>
        </is>
      </c>
      <c r="F897" s="5" t="inlineStr"/>
      <c r="G897" s="5" t="inlineStr">
        <is>
          <t>051-893-0234</t>
        </is>
      </c>
      <c r="H897" s="12">
        <f>어린이집!T518</f>
        <v/>
      </c>
      <c r="I897" s="5" t="inlineStr">
        <is>
          <t>만0세 6 / 만1세 8 / 만2세 11 / 영아혼합반 3 / 기타(연령구분 없음) 5</t>
        </is>
      </c>
    </row>
    <row r="898">
      <c r="A898" s="5" t="inlineStr">
        <is>
          <t>꿈초롱어린이집</t>
        </is>
      </c>
      <c r="B898" s="5" t="inlineStr">
        <is>
          <t>어린이집</t>
        </is>
      </c>
      <c r="C898" s="5" t="inlineStr">
        <is>
          <t>가정</t>
        </is>
      </c>
      <c r="D898" s="5" t="inlineStr">
        <is>
          <t>부산진구</t>
        </is>
      </c>
      <c r="E898" s="5" t="inlineStr">
        <is>
          <t>부산광역시 부산진구 동성로 82 106동 101호(전포동, 부산전포사랑으로부영)</t>
        </is>
      </c>
      <c r="F898" s="5" t="inlineStr"/>
      <c r="G898" s="5" t="inlineStr">
        <is>
          <t>051-805-0454</t>
        </is>
      </c>
      <c r="H898" s="12">
        <f>어린이집!T519</f>
        <v/>
      </c>
      <c r="I898" s="5" t="inlineStr">
        <is>
          <t>만0세 10 / 만1세 5 / 만2세 4 / 기타(연령구분 없음) 6</t>
        </is>
      </c>
    </row>
    <row r="899">
      <c r="A899" s="5" t="inlineStr">
        <is>
          <t>느티나무어린이집</t>
        </is>
      </c>
      <c r="B899" s="5" t="inlineStr">
        <is>
          <t>어린이집</t>
        </is>
      </c>
      <c r="C899" s="5" t="inlineStr">
        <is>
          <t>가정</t>
        </is>
      </c>
      <c r="D899" s="5" t="inlineStr">
        <is>
          <t>부산진구</t>
        </is>
      </c>
      <c r="E899" s="5" t="inlineStr">
        <is>
          <t>부산광역시 부산진구 전포대로 294 103동105호(전포동 서면한신아파트)</t>
        </is>
      </c>
      <c r="F899" s="5" t="inlineStr"/>
      <c r="G899" s="5" t="inlineStr">
        <is>
          <t>051-807-3024</t>
        </is>
      </c>
      <c r="H899" s="12">
        <f>어린이집!T520</f>
        <v/>
      </c>
      <c r="I899" s="5" t="inlineStr">
        <is>
          <t>만1세 10 / 만2세 6 / 기타(연령구분 없음) 5</t>
        </is>
      </c>
    </row>
    <row r="900">
      <c r="A900" s="5" t="inlineStr">
        <is>
          <t>늘봄어린이집</t>
        </is>
      </c>
      <c r="B900" s="5" t="inlineStr">
        <is>
          <t>어린이집</t>
        </is>
      </c>
      <c r="C900" s="5" t="inlineStr">
        <is>
          <t>국공립</t>
        </is>
      </c>
      <c r="D900" s="5" t="inlineStr">
        <is>
          <t>부산진구</t>
        </is>
      </c>
      <c r="E900" s="5" t="inlineStr">
        <is>
          <t>부산광역시 부산진구 가야대로454번길 63 (개금동)</t>
        </is>
      </c>
      <c r="F900" s="5" t="inlineStr"/>
      <c r="G900" s="5" t="inlineStr">
        <is>
          <t>051-893-9627</t>
        </is>
      </c>
      <c r="H900" s="12">
        <f>어린이집!T521</f>
        <v/>
      </c>
      <c r="I900" s="5" t="inlineStr">
        <is>
          <t>만0세 12 / 만1세 13 / 만2세 7 / 영아혼합반 5 / 기타(연령구분 없음) 5</t>
        </is>
      </c>
    </row>
    <row r="901">
      <c r="A901" s="5" t="inlineStr">
        <is>
          <t>다사랑어린이집</t>
        </is>
      </c>
      <c r="B901" s="5" t="inlineStr">
        <is>
          <t>어린이집</t>
        </is>
      </c>
      <c r="C901" s="5" t="inlineStr">
        <is>
          <t>민간</t>
        </is>
      </c>
      <c r="D901" s="5" t="inlineStr">
        <is>
          <t>부산진구</t>
        </is>
      </c>
      <c r="E901" s="5" t="inlineStr">
        <is>
          <t>부산광역시 부산진구 백양순환로28번길 13-8 (당감동)</t>
        </is>
      </c>
      <c r="F901" s="11" t="inlineStr">
        <is>
          <t>http://cafe.daum.net/dasarangkids</t>
        </is>
      </c>
      <c r="G901" s="5" t="inlineStr">
        <is>
          <t>051-897-4081</t>
        </is>
      </c>
      <c r="H901" s="12">
        <f>어린이집!T522</f>
        <v/>
      </c>
      <c r="I901" s="5" t="inlineStr">
        <is>
          <t>만0세 6 / 만1세 10 / 만2세 20 / 만3세 9 / 유아혼합반 19 / 기타(연령구분 없음) 29</t>
        </is>
      </c>
    </row>
    <row r="902">
      <c r="A902" s="5" t="inlineStr">
        <is>
          <t>다원어린이집</t>
        </is>
      </c>
      <c r="B902" s="5" t="inlineStr">
        <is>
          <t>어린이집</t>
        </is>
      </c>
      <c r="C902" s="5" t="inlineStr">
        <is>
          <t>민간</t>
        </is>
      </c>
      <c r="D902" s="5" t="inlineStr">
        <is>
          <t>부산진구</t>
        </is>
      </c>
      <c r="E902" s="5" t="inlineStr">
        <is>
          <t>부산광역시 부산진구 성지로74번나길 60-8 (초읍동)</t>
        </is>
      </c>
      <c r="F902" s="11" t="inlineStr">
        <is>
          <t>https://cafe.naver.com/dawon8097335</t>
        </is>
      </c>
      <c r="G902" s="5" t="inlineStr">
        <is>
          <t>051-817-7334</t>
        </is>
      </c>
      <c r="H902" s="12">
        <f>어린이집!T523</f>
        <v/>
      </c>
      <c r="I902" s="5" t="inlineStr">
        <is>
          <t>만1세 20 / 만2세 14 / 영아혼합반 4 / 기타(연령구분 없음) 5</t>
        </is>
      </c>
    </row>
    <row r="903">
      <c r="A903" s="5" t="inlineStr">
        <is>
          <t>당감복지관나리어린이집</t>
        </is>
      </c>
      <c r="B903" s="5" t="inlineStr">
        <is>
          <t>어린이집</t>
        </is>
      </c>
      <c r="C903" s="5" t="inlineStr">
        <is>
          <t>국공립</t>
        </is>
      </c>
      <c r="D903" s="5" t="inlineStr">
        <is>
          <t>부산진구</t>
        </is>
      </c>
      <c r="E903" s="5" t="inlineStr">
        <is>
          <t>부산광역시 부산진구 당감서로 16 (당감동,당감종합사회복지관)</t>
        </is>
      </c>
      <c r="F903" s="11" t="inlineStr">
        <is>
          <t>http://cafe.naver.com/dgnari</t>
        </is>
      </c>
      <c r="G903" s="5" t="inlineStr">
        <is>
          <t>051-897-8028</t>
        </is>
      </c>
      <c r="H903" s="12">
        <f>어린이집!T524</f>
        <v/>
      </c>
      <c r="I903" s="5" t="inlineStr">
        <is>
          <t>만3세 8 / 영아혼합반 5 / 유아혼합반 13 / 장애아반(특수) 9 / 기타(연령구분 없음) 14</t>
        </is>
      </c>
    </row>
    <row r="904">
      <c r="A904" s="5" t="inlineStr">
        <is>
          <t>도담도담 어린이집</t>
        </is>
      </c>
      <c r="B904" s="5" t="inlineStr">
        <is>
          <t>어린이집</t>
        </is>
      </c>
      <c r="C904" s="5" t="inlineStr">
        <is>
          <t>가정</t>
        </is>
      </c>
      <c r="D904" s="5" t="inlineStr">
        <is>
          <t>부산진구</t>
        </is>
      </c>
      <c r="E904" s="5" t="inlineStr">
        <is>
          <t>부산광역시 부산진구 당감로 79 6동 101호(부암동, 화승삼성아파트)</t>
        </is>
      </c>
      <c r="F904" s="5" t="inlineStr"/>
      <c r="G904" s="5" t="inlineStr">
        <is>
          <t>051-804-0621</t>
        </is>
      </c>
      <c r="H904" s="12">
        <f>어린이집!T525</f>
        <v/>
      </c>
      <c r="I904" s="5" t="inlineStr">
        <is>
          <t>만0세 8 / 만1세 5 / 영아혼합반 7 / 기타(연령구분 없음) 5</t>
        </is>
      </c>
    </row>
    <row r="905">
      <c r="A905" s="5" t="inlineStr">
        <is>
          <t>동의대학교부속동의어린이집</t>
        </is>
      </c>
      <c r="B905" s="5" t="inlineStr">
        <is>
          <t>어린이집</t>
        </is>
      </c>
      <c r="C905" s="5" t="inlineStr">
        <is>
          <t>직장</t>
        </is>
      </c>
      <c r="D905" s="5" t="inlineStr">
        <is>
          <t>부산진구</t>
        </is>
      </c>
      <c r="E905" s="5" t="inlineStr">
        <is>
          <t>부산광역시 부산진구 엄광로 176  (가야동)</t>
        </is>
      </c>
      <c r="F905" s="11" t="inlineStr">
        <is>
          <t>https://www.deu.ac.kr/www/deu-preschool.do</t>
        </is>
      </c>
      <c r="G905" s="5" t="inlineStr">
        <is>
          <t>051-890-2981</t>
        </is>
      </c>
      <c r="H905" s="12">
        <f>어린이집!T526</f>
        <v/>
      </c>
      <c r="I905" s="5" t="inlineStr">
        <is>
          <t>만1세 15 / 만2세 20 / 만3세 26 / 만4세 24 / 만5세 27 / 기타(연령구분 없음) 15</t>
        </is>
      </c>
    </row>
    <row r="906">
      <c r="A906" s="5" t="inlineStr">
        <is>
          <t>동일어린이집</t>
        </is>
      </c>
      <c r="B906" s="5" t="inlineStr">
        <is>
          <t>어린이집</t>
        </is>
      </c>
      <c r="C906" s="5" t="inlineStr">
        <is>
          <t>민간</t>
        </is>
      </c>
      <c r="D906" s="5" t="inlineStr">
        <is>
          <t>부산진구</t>
        </is>
      </c>
      <c r="E906" s="5" t="inlineStr">
        <is>
          <t>부산광역시 부산진구 백양관문로 115 당감동일스위트관리동 (당감동)</t>
        </is>
      </c>
      <c r="F906" s="11" t="inlineStr">
        <is>
          <t>http://http;//cafe.daum.net/dong-il</t>
        </is>
      </c>
      <c r="G906" s="5" t="inlineStr">
        <is>
          <t>051-896-7100</t>
        </is>
      </c>
      <c r="H906" s="12">
        <f>어린이집!T527</f>
        <v/>
      </c>
      <c r="I906" s="5" t="inlineStr">
        <is>
          <t>만1세 9 / 만2세 22 / 만3세 9 / 영아혼합반 9 / 유아혼합반 14 / 기타(연령구분 없음) 8</t>
        </is>
      </c>
    </row>
    <row r="907">
      <c r="A907" s="5" t="inlineStr">
        <is>
          <t>동일파크어린이집</t>
        </is>
      </c>
      <c r="B907" s="5" t="inlineStr">
        <is>
          <t>어린이집</t>
        </is>
      </c>
      <c r="C907" s="5" t="inlineStr">
        <is>
          <t>민간</t>
        </is>
      </c>
      <c r="D907" s="5" t="inlineStr">
        <is>
          <t>부산진구</t>
        </is>
      </c>
      <c r="E907" s="5" t="inlineStr">
        <is>
          <t>부산광역시 부산진구 동평로150번길 14 서면동일파크스위트1차 아파트 관리동(부암동)</t>
        </is>
      </c>
      <c r="F907" s="5" t="inlineStr"/>
      <c r="G907" s="5" t="inlineStr">
        <is>
          <t>051-806-2230</t>
        </is>
      </c>
      <c r="H907" s="12">
        <f>어린이집!T528</f>
        <v/>
      </c>
      <c r="I907" s="5" t="inlineStr">
        <is>
          <t>만0세 9 / 만1세 15 / 만2세 14 / 기타(연령구분 없음) 4</t>
        </is>
      </c>
    </row>
    <row r="908">
      <c r="A908" s="5" t="inlineStr">
        <is>
          <t>동화나라어린이집</t>
        </is>
      </c>
      <c r="B908" s="5" t="inlineStr">
        <is>
          <t>어린이집</t>
        </is>
      </c>
      <c r="C908" s="5" t="inlineStr">
        <is>
          <t>가정</t>
        </is>
      </c>
      <c r="D908" s="5" t="inlineStr">
        <is>
          <t>부산진구</t>
        </is>
      </c>
      <c r="E908" s="5" t="inlineStr">
        <is>
          <t>부산광역시 부산진구 엄광로238번길 5 101동111호(가야동, 가야삼정그린코아아파트)</t>
        </is>
      </c>
      <c r="F908" s="5" t="inlineStr"/>
      <c r="G908" s="5" t="inlineStr">
        <is>
          <t>051-893-4559</t>
        </is>
      </c>
      <c r="H908" s="12">
        <f>어린이집!T529</f>
        <v/>
      </c>
      <c r="I908" s="5" t="inlineStr">
        <is>
          <t>만0세 2 / 만1세 3 / 영아혼합반 6 / 기타(연령구분 없음) 3</t>
        </is>
      </c>
    </row>
    <row r="909">
      <c r="A909" s="5" t="inlineStr">
        <is>
          <t>동화속어린이집</t>
        </is>
      </c>
      <c r="B909" s="5" t="inlineStr">
        <is>
          <t>어린이집</t>
        </is>
      </c>
      <c r="C909" s="5" t="inlineStr">
        <is>
          <t>가정</t>
        </is>
      </c>
      <c r="D909" s="5" t="inlineStr">
        <is>
          <t>부산진구</t>
        </is>
      </c>
      <c r="E909" s="5" t="inlineStr">
        <is>
          <t>부산광역시 부산진구 가야대로 635-20 104동 101호 (당감동, 태화현대 1차아파트)</t>
        </is>
      </c>
      <c r="F909" s="5" t="inlineStr"/>
      <c r="G909" s="5" t="inlineStr">
        <is>
          <t>051-891-7741</t>
        </is>
      </c>
      <c r="H909" s="12">
        <f>어린이집!T530</f>
        <v/>
      </c>
      <c r="I909" s="5" t="inlineStr">
        <is>
          <t>만0세 6 / 만1세 5 / 만2세 7 / 기타(연령구분 없음) 5</t>
        </is>
      </c>
    </row>
    <row r="910">
      <c r="A910" s="5" t="inlineStr">
        <is>
          <t>두드림어린이집</t>
        </is>
      </c>
      <c r="B910" s="5" t="inlineStr">
        <is>
          <t>어린이집</t>
        </is>
      </c>
      <c r="C910" s="5" t="inlineStr">
        <is>
          <t>가정</t>
        </is>
      </c>
      <c r="D910" s="5" t="inlineStr">
        <is>
          <t>부산진구</t>
        </is>
      </c>
      <c r="E910" s="5" t="inlineStr">
        <is>
          <t>부산광역시 부산진구 백양관문로 104 7-104(당감동, 국제백양)</t>
        </is>
      </c>
      <c r="F910" s="5" t="inlineStr"/>
      <c r="G910" s="5" t="inlineStr">
        <is>
          <t>051-896-7977</t>
        </is>
      </c>
      <c r="H910" s="12">
        <f>어린이집!T531</f>
        <v/>
      </c>
      <c r="I910" s="5" t="inlineStr">
        <is>
          <t>만2세 4 / 영아혼합반 2 / 기타(연령구분 없음) 7</t>
        </is>
      </c>
    </row>
    <row r="911">
      <c r="A911" s="5" t="inlineStr">
        <is>
          <t>둘리어린이집</t>
        </is>
      </c>
      <c r="B911" s="5" t="inlineStr">
        <is>
          <t>어린이집</t>
        </is>
      </c>
      <c r="C911" s="5" t="inlineStr">
        <is>
          <t>가정</t>
        </is>
      </c>
      <c r="D911" s="5" t="inlineStr">
        <is>
          <t>부산진구</t>
        </is>
      </c>
      <c r="E911" s="5" t="inlineStr">
        <is>
          <t>부산광역시 부산진구 성지로114번길 14 101호 (초읍동, 한일하나로아파트)</t>
        </is>
      </c>
      <c r="F911" s="5" t="inlineStr"/>
      <c r="G911" s="5" t="inlineStr">
        <is>
          <t>051-806-4941</t>
        </is>
      </c>
      <c r="H911" s="12">
        <f>어린이집!T532</f>
        <v/>
      </c>
      <c r="I911" s="5" t="inlineStr">
        <is>
          <t>만0세 5 / 만1세 5 / 만2세 7 / 기타(연령구분 없음) 3</t>
        </is>
      </c>
    </row>
    <row r="912">
      <c r="A912" s="5" t="inlineStr">
        <is>
          <t>라인예능어린이집</t>
        </is>
      </c>
      <c r="B912" s="5" t="inlineStr">
        <is>
          <t>어린이집</t>
        </is>
      </c>
      <c r="C912" s="5" t="inlineStr">
        <is>
          <t>가정</t>
        </is>
      </c>
      <c r="D912" s="5" t="inlineStr">
        <is>
          <t>부산진구</t>
        </is>
      </c>
      <c r="E912" s="5" t="inlineStr">
        <is>
          <t>부산광역시 부산진구 시민공원로19번길 32-14  (부암동)</t>
        </is>
      </c>
      <c r="F912" s="5" t="inlineStr"/>
      <c r="G912" s="5" t="inlineStr">
        <is>
          <t>051-805-4593</t>
        </is>
      </c>
      <c r="H912" s="12">
        <f>어린이집!T533</f>
        <v/>
      </c>
      <c r="I912" s="5" t="inlineStr">
        <is>
          <t>만0세 2 / 만2세 7 / 영아혼합반 5 / 기타(연령구분 없음) 3</t>
        </is>
      </c>
    </row>
    <row r="913">
      <c r="A913" s="5" t="inlineStr">
        <is>
          <t>래미안어반파크어린이집</t>
        </is>
      </c>
      <c r="B913" s="5" t="inlineStr">
        <is>
          <t>어린이집</t>
        </is>
      </c>
      <c r="C913" s="5" t="inlineStr">
        <is>
          <t>국공립</t>
        </is>
      </c>
      <c r="D913" s="5" t="inlineStr">
        <is>
          <t>부산진구</t>
        </is>
      </c>
      <c r="E913" s="5" t="inlineStr">
        <is>
          <t>부산광역시 부산진구 성지로 37 래미안어반파크아파트</t>
        </is>
      </c>
      <c r="F913" s="5" t="inlineStr"/>
      <c r="G913" s="5" t="inlineStr">
        <is>
          <t>051-805-3588</t>
        </is>
      </c>
      <c r="H913" s="12">
        <f>어린이집!T534</f>
        <v/>
      </c>
      <c r="I913" s="5" t="inlineStr">
        <is>
          <t>만1세 18 / 만2세 18 / 만3세 11 / 만4세 13 / 만5세 16 / 장애아반(특수) 2 / 기타(연령구분 없음) 23</t>
        </is>
      </c>
    </row>
    <row r="914">
      <c r="A914" s="5" t="inlineStr">
        <is>
          <t>롯데캐슬골드아너어린이집</t>
        </is>
      </c>
      <c r="B914" s="5" t="inlineStr">
        <is>
          <t>어린이집</t>
        </is>
      </c>
      <c r="C914" s="5" t="inlineStr">
        <is>
          <t>국공립</t>
        </is>
      </c>
      <c r="D914" s="5" t="inlineStr">
        <is>
          <t>부산진구</t>
        </is>
      </c>
      <c r="E914" s="5" t="inlineStr">
        <is>
          <t>부산광역시 부산진구 가야대로 538 가야롯데캐슬골드아너</t>
        </is>
      </c>
      <c r="F914" s="5" t="inlineStr"/>
      <c r="G914" s="5" t="inlineStr">
        <is>
          <t>051-891-9075</t>
        </is>
      </c>
      <c r="H914" s="12">
        <f>어린이집!T535</f>
        <v/>
      </c>
      <c r="I914" s="5" t="inlineStr">
        <is>
          <t>만0세 8 / 만1세 20 / 만2세 17 / 기타(연령구분 없음) 10</t>
        </is>
      </c>
    </row>
    <row r="915">
      <c r="A915" s="5" t="inlineStr">
        <is>
          <t>롯데캐슬라센트어린이집</t>
        </is>
      </c>
      <c r="B915" s="5" t="inlineStr">
        <is>
          <t>어린이집</t>
        </is>
      </c>
      <c r="C915" s="5" t="inlineStr">
        <is>
          <t>국공립</t>
        </is>
      </c>
      <c r="D915" s="5" t="inlineStr">
        <is>
          <t>부산진구</t>
        </is>
      </c>
      <c r="E915" s="5" t="inlineStr">
        <is>
          <t>부산광역시 부산진구 백양순환로 75 백양산롯데캐슬골드센트럴아파트</t>
        </is>
      </c>
      <c r="F915" s="5" t="inlineStr"/>
      <c r="G915" s="5" t="inlineStr">
        <is>
          <t>051-791-0901</t>
        </is>
      </c>
      <c r="H915" s="12">
        <f>어린이집!T536</f>
        <v/>
      </c>
      <c r="I915" s="5" t="inlineStr">
        <is>
          <t>만0세 5 / 만1세 21 / 만2세 27 / 만3세 6 / 기타(연령구분 없음) 24</t>
        </is>
      </c>
    </row>
    <row r="916">
      <c r="A916" s="5" t="inlineStr">
        <is>
          <t>롯데캐슬어린이집</t>
        </is>
      </c>
      <c r="B916" s="5" t="inlineStr">
        <is>
          <t>어린이집</t>
        </is>
      </c>
      <c r="C916" s="5" t="inlineStr">
        <is>
          <t>민간</t>
        </is>
      </c>
      <c r="D916" s="5" t="inlineStr">
        <is>
          <t>부산진구</t>
        </is>
      </c>
      <c r="E916" s="5" t="inlineStr">
        <is>
          <t>부산광역시 부산진구 전포대로275번길 20 101동 롯데캐슬스카이아파트 (전포동)</t>
        </is>
      </c>
      <c r="F916" s="5" t="inlineStr"/>
      <c r="G916" s="5" t="inlineStr">
        <is>
          <t>051-818-7039</t>
        </is>
      </c>
      <c r="H916" s="12">
        <f>어린이집!T537</f>
        <v/>
      </c>
      <c r="I916" s="5" t="inlineStr">
        <is>
          <t>만0세 6 / 만1세 3 / 만2세 14 / 영아혼합반 10 / 기타(연령구분 없음) 5</t>
        </is>
      </c>
    </row>
    <row r="917">
      <c r="A917" s="5" t="inlineStr">
        <is>
          <t>민지어린이집</t>
        </is>
      </c>
      <c r="B917" s="5" t="inlineStr">
        <is>
          <t>어린이집</t>
        </is>
      </c>
      <c r="C917" s="5" t="inlineStr">
        <is>
          <t>가정</t>
        </is>
      </c>
      <c r="D917" s="5" t="inlineStr">
        <is>
          <t>부산진구</t>
        </is>
      </c>
      <c r="E917" s="5" t="inlineStr">
        <is>
          <t>부산광역시 부산진구 동평로291번길 30-17 101동 104호 (연지동, 연지2차청구아파트)</t>
        </is>
      </c>
      <c r="F917" s="5" t="inlineStr"/>
      <c r="G917" s="5" t="inlineStr">
        <is>
          <t>051-817-9535</t>
        </is>
      </c>
      <c r="H917" s="12">
        <f>어린이집!T538</f>
        <v/>
      </c>
      <c r="I917" s="5" t="inlineStr">
        <is>
          <t>만0세 6 / 만1세 5 / 만2세 7 / 기타(연령구분 없음) 20</t>
        </is>
      </c>
    </row>
    <row r="918">
      <c r="A918" s="5" t="inlineStr">
        <is>
          <t>백양산서희스타힐스1단지어린이집</t>
        </is>
      </c>
      <c r="B918" s="5" t="inlineStr">
        <is>
          <t>어린이집</t>
        </is>
      </c>
      <c r="C918" s="5" t="inlineStr">
        <is>
          <t>국공립</t>
        </is>
      </c>
      <c r="D918" s="5" t="inlineStr">
        <is>
          <t>부산진구</t>
        </is>
      </c>
      <c r="E918" s="5" t="inlineStr">
        <is>
          <t>부산광역시 부산진구 백양산로 22 백양산서희스타힐스 1단지</t>
        </is>
      </c>
      <c r="F918" s="5" t="inlineStr"/>
      <c r="G918" s="5" t="inlineStr">
        <is>
          <t>051-818-0666</t>
        </is>
      </c>
      <c r="H918" s="12">
        <f>어린이집!T539</f>
        <v/>
      </c>
      <c r="I918" s="5" t="inlineStr">
        <is>
          <t>만0세 6 / 만1세 15 / 만2세 12 / 기타(연령구분 없음) 12</t>
        </is>
      </c>
    </row>
    <row r="919">
      <c r="A919" s="5" t="inlineStr">
        <is>
          <t>백양산서희스타힐스2단지어린이집</t>
        </is>
      </c>
      <c r="B919" s="5" t="inlineStr">
        <is>
          <t>어린이집</t>
        </is>
      </c>
      <c r="C919" s="5" t="inlineStr">
        <is>
          <t>국공립</t>
        </is>
      </c>
      <c r="D919" s="5" t="inlineStr">
        <is>
          <t>부산진구</t>
        </is>
      </c>
      <c r="E919" s="5" t="inlineStr">
        <is>
          <t>부산광역시 부산진구 백양산로 22 백양산서희스타힐스 2단지</t>
        </is>
      </c>
      <c r="F919" s="5" t="inlineStr"/>
      <c r="G919" s="5" t="inlineStr">
        <is>
          <t>051-808-1020</t>
        </is>
      </c>
      <c r="H919" s="12">
        <f>어린이집!T540</f>
        <v/>
      </c>
      <c r="I919" s="5" t="inlineStr">
        <is>
          <t>만0세 4 / 만1세 4 / 만2세 5 / 영아혼합반 8 / 기타(연령구분 없음) 7</t>
        </is>
      </c>
    </row>
    <row r="920">
      <c r="A920" s="5" t="inlineStr">
        <is>
          <t>범천2동꿈터어린이집</t>
        </is>
      </c>
      <c r="B920" s="5" t="inlineStr">
        <is>
          <t>어린이집</t>
        </is>
      </c>
      <c r="C920" s="5" t="inlineStr">
        <is>
          <t>국공립</t>
        </is>
      </c>
      <c r="D920" s="5" t="inlineStr">
        <is>
          <t>부산진구</t>
        </is>
      </c>
      <c r="E920" s="5" t="inlineStr">
        <is>
          <t>부산광역시 부산진구 엄광로514번길 13  (범천동)</t>
        </is>
      </c>
      <c r="F920" s="5" t="inlineStr"/>
      <c r="G920" s="5" t="inlineStr">
        <is>
          <t>051-646-2218</t>
        </is>
      </c>
      <c r="H920" s="12">
        <f>어린이집!T541</f>
        <v/>
      </c>
      <c r="I920" s="5" t="inlineStr">
        <is>
          <t>만0세 3 / 만2세 7 / 영아혼합반 3</t>
        </is>
      </c>
    </row>
    <row r="921">
      <c r="A921" s="5" t="inlineStr">
        <is>
          <t>범천착한어린이집</t>
        </is>
      </c>
      <c r="B921" s="5" t="inlineStr">
        <is>
          <t>어린이집</t>
        </is>
      </c>
      <c r="C921" s="5" t="inlineStr">
        <is>
          <t>국공립</t>
        </is>
      </c>
      <c r="D921" s="5" t="inlineStr">
        <is>
          <t>부산진구</t>
        </is>
      </c>
      <c r="E921" s="5" t="inlineStr">
        <is>
          <t>부산광역시 부산진구 신암로 66 (범천동,범천엘에이치아파트)</t>
        </is>
      </c>
      <c r="F921" s="5" t="inlineStr"/>
      <c r="G921" s="5" t="inlineStr">
        <is>
          <t>051-633-0022</t>
        </is>
      </c>
      <c r="H921" s="12">
        <f>어린이집!T542</f>
        <v/>
      </c>
      <c r="I921" s="5" t="inlineStr">
        <is>
          <t>만0세 6 / 만1세 19 / 만2세 19 / 기타(연령구분 없음) 5</t>
        </is>
      </c>
    </row>
    <row r="922">
      <c r="A922" s="5" t="inlineStr">
        <is>
          <t>별나라어린이집</t>
        </is>
      </c>
      <c r="B922" s="5" t="inlineStr">
        <is>
          <t>어린이집</t>
        </is>
      </c>
      <c r="C922" s="5" t="inlineStr">
        <is>
          <t>가정</t>
        </is>
      </c>
      <c r="D922" s="5" t="inlineStr">
        <is>
          <t>부산진구</t>
        </is>
      </c>
      <c r="E922" s="5" t="inlineStr">
        <is>
          <t>부산광역시 부산진구 가야대로 635-13 206동 101호 (당감동, 태화현대2차아파트)</t>
        </is>
      </c>
      <c r="F922" s="11" t="inlineStr">
        <is>
          <t>http://cafe.daum.net/Beulnara</t>
        </is>
      </c>
      <c r="G922" s="5" t="inlineStr">
        <is>
          <t>051-897-5545</t>
        </is>
      </c>
      <c r="H922" s="12">
        <f>어린이집!T543</f>
        <v/>
      </c>
      <c r="I922" s="5" t="inlineStr">
        <is>
          <t>만0세 8 / 만1세 5 / 영아혼합반 5 / 기타(연령구분 없음) 5</t>
        </is>
      </c>
    </row>
    <row r="923">
      <c r="A923" s="5" t="inlineStr">
        <is>
          <t>보라빌어린이집</t>
        </is>
      </c>
      <c r="B923" s="5" t="inlineStr">
        <is>
          <t>어린이집</t>
        </is>
      </c>
      <c r="C923" s="5" t="inlineStr">
        <is>
          <t>민간</t>
        </is>
      </c>
      <c r="D923" s="5" t="inlineStr">
        <is>
          <t>부산진구</t>
        </is>
      </c>
      <c r="E923" s="5" t="inlineStr">
        <is>
          <t>부산광역시 부산진구 가야공원로 41 반도보라빌아파트관리동 (가야동)</t>
        </is>
      </c>
      <c r="F923" s="5" t="inlineStr"/>
      <c r="G923" s="5" t="inlineStr">
        <is>
          <t>051-893-3966</t>
        </is>
      </c>
      <c r="H923" s="12">
        <f>어린이집!T544</f>
        <v/>
      </c>
      <c r="I923" s="5" t="inlineStr">
        <is>
          <t>만0세 12 / 만1세 4 / 만2세 7 / 기타(연령구분 없음) 6</t>
        </is>
      </c>
    </row>
    <row r="924">
      <c r="A924" s="5" t="inlineStr">
        <is>
          <t>봄여름가을겨울어린이집</t>
        </is>
      </c>
      <c r="B924" s="5" t="inlineStr">
        <is>
          <t>어린이집</t>
        </is>
      </c>
      <c r="C924" s="5" t="inlineStr">
        <is>
          <t>민간</t>
        </is>
      </c>
      <c r="D924" s="5" t="inlineStr">
        <is>
          <t>부산진구</t>
        </is>
      </c>
      <c r="E924" s="5" t="inlineStr">
        <is>
          <t>부산광역시 부산진구 신천대로197번길 15 102-203(당감동, 서면2차봄여름가을겨울)</t>
        </is>
      </c>
      <c r="F924" s="5" t="inlineStr"/>
      <c r="G924" s="5" t="inlineStr">
        <is>
          <t>051-893-3592</t>
        </is>
      </c>
      <c r="H924" s="12">
        <f>어린이집!T545</f>
        <v/>
      </c>
      <c r="I924" s="5" t="inlineStr">
        <is>
          <t>만0세 6 / 만1세 20 / 만2세 20 / 기타(연령구분 없음) 4</t>
        </is>
      </c>
    </row>
    <row r="925">
      <c r="A925" s="5" t="inlineStr">
        <is>
          <t>부산광역시청어린이집</t>
        </is>
      </c>
      <c r="B925" s="5" t="inlineStr">
        <is>
          <t>어린이집</t>
        </is>
      </c>
      <c r="C925" s="5" t="inlineStr">
        <is>
          <t>직장</t>
        </is>
      </c>
      <c r="D925" s="5" t="inlineStr">
        <is>
          <t>부산진구</t>
        </is>
      </c>
      <c r="E925" s="5" t="inlineStr">
        <is>
          <t>부산광역시 부산진구 거제천로40번길 31 (양정동)</t>
        </is>
      </c>
      <c r="F925" s="11" t="inlineStr">
        <is>
          <t>http://www.bskidult.co.kr</t>
        </is>
      </c>
      <c r="G925" s="5" t="inlineStr">
        <is>
          <t>051-866-2918</t>
        </is>
      </c>
      <c r="H925" s="12">
        <f>어린이집!T546</f>
        <v/>
      </c>
      <c r="I925" s="5" t="inlineStr">
        <is>
          <t>만1세 15 / 만2세 20 / 만3세 29 / 만4세 28 / 만5세 28 / 영아혼합반 9 / 기타(연령구분 없음) 45</t>
        </is>
      </c>
    </row>
    <row r="926">
      <c r="A926" s="5" t="inlineStr">
        <is>
          <t>부산교통공사 휴메트로어린이집</t>
        </is>
      </c>
      <c r="B926" s="5" t="inlineStr">
        <is>
          <t>어린이집</t>
        </is>
      </c>
      <c r="C926" s="5" t="inlineStr">
        <is>
          <t>직장</t>
        </is>
      </c>
      <c r="D926" s="5" t="inlineStr">
        <is>
          <t>부산진구</t>
        </is>
      </c>
      <c r="E926" s="5" t="inlineStr">
        <is>
          <t>부산광역시 부산진구 중앙대로644번길 20 부산교통공사</t>
        </is>
      </c>
      <c r="F926" s="5" t="inlineStr"/>
      <c r="G926" s="5" t="inlineStr">
        <is>
          <t>051-636-0831</t>
        </is>
      </c>
      <c r="H926" s="12">
        <f>어린이집!T547</f>
        <v/>
      </c>
      <c r="I926" s="5" t="inlineStr">
        <is>
          <t>만1세 4 / 만2세 7 / 만3세 12 / 유아혼합반 11 / 기타(연령구분 없음) 13</t>
        </is>
      </c>
    </row>
    <row r="927">
      <c r="A927" s="5" t="inlineStr">
        <is>
          <t>부산백병원어린이집</t>
        </is>
      </c>
      <c r="B927" s="5" t="inlineStr">
        <is>
          <t>어린이집</t>
        </is>
      </c>
      <c r="C927" s="5" t="inlineStr">
        <is>
          <t>직장</t>
        </is>
      </c>
      <c r="D927" s="5" t="inlineStr">
        <is>
          <t>부산진구</t>
        </is>
      </c>
      <c r="E927" s="5" t="inlineStr">
        <is>
          <t>부산광역시 부산진구 엄광로 68 102동 103호(개금동, 벽산아파트)</t>
        </is>
      </c>
      <c r="F927" s="5" t="inlineStr"/>
      <c r="G927" s="5" t="inlineStr">
        <is>
          <t>051-897-6506</t>
        </is>
      </c>
      <c r="H927" s="12">
        <f>어린이집!T548</f>
        <v/>
      </c>
      <c r="I927" s="5" t="inlineStr">
        <is>
          <t>만0세 2 / 만1세 4 / 만2세 4 / 기타(연령구분 없음) 5</t>
        </is>
      </c>
    </row>
    <row r="928">
      <c r="A928" s="5" t="inlineStr">
        <is>
          <t>부산전포부영사랑으로어린이집</t>
        </is>
      </c>
      <c r="B928" s="5" t="inlineStr">
        <is>
          <t>어린이집</t>
        </is>
      </c>
      <c r="C928" s="5" t="inlineStr">
        <is>
          <t>민간</t>
        </is>
      </c>
      <c r="D928" s="5" t="inlineStr">
        <is>
          <t>부산진구</t>
        </is>
      </c>
      <c r="E928" s="5" t="inlineStr">
        <is>
          <t>부산광역시 부산진구 동성로 82 (전포동, 부영사랑으로 아파트)</t>
        </is>
      </c>
      <c r="F928" s="5" t="inlineStr"/>
      <c r="G928" s="5" t="inlineStr">
        <is>
          <t>051-925-5364</t>
        </is>
      </c>
      <c r="H928" s="12">
        <f>어린이집!T549</f>
        <v/>
      </c>
      <c r="I928" s="5" t="inlineStr">
        <is>
          <t>만0세 11 / 만1세 14 / 만2세 12 / 기타(연령구분 없음) 8</t>
        </is>
      </c>
    </row>
    <row r="929">
      <c r="A929" s="5" t="inlineStr">
        <is>
          <t>부산진구사회복지관어린이집</t>
        </is>
      </c>
      <c r="B929" s="5" t="inlineStr">
        <is>
          <t>어린이집</t>
        </is>
      </c>
      <c r="C929" s="5" t="inlineStr">
        <is>
          <t>국공립</t>
        </is>
      </c>
      <c r="D929" s="5" t="inlineStr">
        <is>
          <t>부산진구</t>
        </is>
      </c>
      <c r="E929" s="5" t="inlineStr">
        <is>
          <t>부산광역시 부산진구 복지로 117-12 부산진구사회복지관 내 (개금동)</t>
        </is>
      </c>
      <c r="F929" s="11" t="inlineStr">
        <is>
          <t>https://blog.naver.com/ywcajingu</t>
        </is>
      </c>
      <c r="G929" s="5" t="inlineStr">
        <is>
          <t>051-894-8487</t>
        </is>
      </c>
      <c r="H929" s="12">
        <f>어린이집!T550</f>
        <v/>
      </c>
      <c r="I929" s="5" t="inlineStr">
        <is>
          <t>만0세 6 / 만1세 19 / 만2세 12 / 만3세 12 / 유아혼합반 19 / 장애아반(특수) 9 / 기타(연령구분 없음) 16</t>
        </is>
      </c>
    </row>
    <row r="930">
      <c r="A930" s="5" t="inlineStr">
        <is>
          <t>부산진구청어린이집</t>
        </is>
      </c>
      <c r="B930" s="5" t="inlineStr">
        <is>
          <t>어린이집</t>
        </is>
      </c>
      <c r="C930" s="5" t="inlineStr">
        <is>
          <t>직장</t>
        </is>
      </c>
      <c r="D930" s="5" t="inlineStr">
        <is>
          <t>부산진구</t>
        </is>
      </c>
      <c r="E930" s="5" t="inlineStr">
        <is>
          <t>부산광역시 부산진구 시민공원로 30 부산진구청내 보육시설</t>
        </is>
      </c>
      <c r="F930" s="5" t="inlineStr"/>
      <c r="G930" s="5" t="inlineStr">
        <is>
          <t>051-802-4858</t>
        </is>
      </c>
      <c r="H930" s="12">
        <f>어린이집!T551</f>
        <v/>
      </c>
      <c r="I930" s="5" t="inlineStr">
        <is>
          <t>만0세 6 / 만1세 6 / 만2세 13 / 만3세 9 / 유아혼합반 20 / 기타(연령구분 없음) 33</t>
        </is>
      </c>
    </row>
    <row r="931">
      <c r="A931" s="5" t="inlineStr">
        <is>
          <t>부암제일어린이집</t>
        </is>
      </c>
      <c r="B931" s="5" t="inlineStr">
        <is>
          <t>어린이집</t>
        </is>
      </c>
      <c r="C931" s="5" t="inlineStr">
        <is>
          <t>법인·단체등</t>
        </is>
      </c>
      <c r="D931" s="5" t="inlineStr">
        <is>
          <t>부산진구</t>
        </is>
      </c>
      <c r="E931" s="5" t="inlineStr">
        <is>
          <t>부산광역시 부산진구 백양순환로110번길 41  (부암동)</t>
        </is>
      </c>
      <c r="F931" s="5" t="inlineStr"/>
      <c r="G931" s="5" t="inlineStr">
        <is>
          <t>051-817-2538</t>
        </is>
      </c>
      <c r="H931" s="12">
        <f>어린이집!T552</f>
        <v/>
      </c>
      <c r="I931" s="5" t="inlineStr">
        <is>
          <t>만0세 3 / 만1세 5 / 만2세 6 / 유아혼합반 11 / 기타(연령구분 없음) 4</t>
        </is>
      </c>
    </row>
    <row r="932">
      <c r="A932" s="5" t="inlineStr">
        <is>
          <t>뽀로로어린이집</t>
        </is>
      </c>
      <c r="B932" s="5" t="inlineStr">
        <is>
          <t>어린이집</t>
        </is>
      </c>
      <c r="C932" s="5" t="inlineStr">
        <is>
          <t>가정</t>
        </is>
      </c>
      <c r="D932" s="5" t="inlineStr">
        <is>
          <t>부산진구</t>
        </is>
      </c>
      <c r="E932" s="5" t="inlineStr">
        <is>
          <t>부산광역시 부산진구 백양관문로 7 개금주공2단지 215-104호(개금동)</t>
        </is>
      </c>
      <c r="F932" s="5" t="inlineStr"/>
      <c r="G932" s="5" t="inlineStr">
        <is>
          <t>051-894-4999</t>
        </is>
      </c>
      <c r="H932" s="12">
        <f>어린이집!T553</f>
        <v/>
      </c>
      <c r="I932" s="5" t="inlineStr">
        <is>
          <t>만0세 3 / 만2세 4 / 영아혼합반 2 / 기타(연령구분 없음) 9</t>
        </is>
      </c>
    </row>
    <row r="933">
      <c r="A933" s="5" t="inlineStr">
        <is>
          <t>사계절꾸미랑어린이집</t>
        </is>
      </c>
      <c r="B933" s="5" t="inlineStr">
        <is>
          <t>어린이집</t>
        </is>
      </c>
      <c r="C933" s="5" t="inlineStr">
        <is>
          <t>민간</t>
        </is>
      </c>
      <c r="D933" s="5" t="inlineStr">
        <is>
          <t>부산진구</t>
        </is>
      </c>
      <c r="E933" s="5" t="inlineStr">
        <is>
          <t>부산광역시 부산진구 가야대로 694 서면3차 봄여름가을겨울</t>
        </is>
      </c>
      <c r="F933" s="5" t="inlineStr"/>
      <c r="G933" s="5" t="inlineStr">
        <is>
          <t>051-710-6210</t>
        </is>
      </c>
      <c r="H933" s="12">
        <f>어린이집!T554</f>
        <v/>
      </c>
      <c r="I933" s="5" t="inlineStr">
        <is>
          <t>만0세 12 / 만1세 15 / 만2세 12 / 기타(연령구분 없음) 8</t>
        </is>
      </c>
    </row>
    <row r="934">
      <c r="A934" s="5" t="inlineStr">
        <is>
          <t>사랑의어린이집</t>
        </is>
      </c>
      <c r="B934" s="5" t="inlineStr">
        <is>
          <t>어린이집</t>
        </is>
      </c>
      <c r="C934" s="5" t="inlineStr">
        <is>
          <t>민간</t>
        </is>
      </c>
      <c r="D934" s="5" t="inlineStr">
        <is>
          <t>부산진구</t>
        </is>
      </c>
      <c r="E934" s="5" t="inlineStr">
        <is>
          <t>부산광역시 부산진구 백양산로53번길 125 백양뜨란채 관리동 내(당감동, 백양뜨란채)</t>
        </is>
      </c>
      <c r="F934" s="5" t="inlineStr"/>
      <c r="G934" s="5" t="inlineStr">
        <is>
          <t>051-893-1802</t>
        </is>
      </c>
      <c r="H934" s="12">
        <f>어린이집!T555</f>
        <v/>
      </c>
      <c r="I934" s="5" t="inlineStr">
        <is>
          <t>만0세 2 / 영아혼합반 5 / 기타(연령구분 없음) 7</t>
        </is>
      </c>
    </row>
    <row r="935">
      <c r="A935" s="5" t="inlineStr">
        <is>
          <t>삼정어린이집</t>
        </is>
      </c>
      <c r="B935" s="5" t="inlineStr">
        <is>
          <t>어린이집</t>
        </is>
      </c>
      <c r="C935" s="5" t="inlineStr">
        <is>
          <t>국공립</t>
        </is>
      </c>
      <c r="D935" s="5" t="inlineStr">
        <is>
          <t>부산진구</t>
        </is>
      </c>
      <c r="E935" s="5" t="inlineStr">
        <is>
          <t>부산광역시 부산진구 엄광로208번길 80-1</t>
        </is>
      </c>
      <c r="F935" s="11" t="inlineStr">
        <is>
          <t>http://cafe.daum.net/sjmkids</t>
        </is>
      </c>
      <c r="G935" s="5" t="inlineStr">
        <is>
          <t>051-895-5529</t>
        </is>
      </c>
      <c r="H935" s="12">
        <f>어린이집!T556</f>
        <v/>
      </c>
      <c r="I935" s="5" t="inlineStr">
        <is>
          <t>만0세 3 / 만1세 9 / 만2세 7 / 기타(연령구분 없음) 4</t>
        </is>
      </c>
    </row>
    <row r="936">
      <c r="A936" s="5" t="inlineStr">
        <is>
          <t>삼한골든뷰어린이집</t>
        </is>
      </c>
      <c r="B936" s="5" t="inlineStr">
        <is>
          <t>어린이집</t>
        </is>
      </c>
      <c r="C936" s="5" t="inlineStr">
        <is>
          <t>국공립</t>
        </is>
      </c>
      <c r="D936" s="5" t="inlineStr">
        <is>
          <t>부산진구</t>
        </is>
      </c>
      <c r="E936" s="5" t="inlineStr">
        <is>
          <t>부산광역시 부산진구 중앙대로 821 삼한골든뷰 센트럴파크</t>
        </is>
      </c>
      <c r="F936" s="5" t="inlineStr"/>
      <c r="G936" s="5" t="inlineStr">
        <is>
          <t>051-808-7942</t>
        </is>
      </c>
      <c r="H936" s="12">
        <f>어린이집!T557</f>
        <v/>
      </c>
      <c r="I936" s="5" t="inlineStr">
        <is>
          <t>만0세 8 / 만1세 19 / 만2세 21 / 기타(연령구분 없음) 5</t>
        </is>
      </c>
    </row>
    <row r="937">
      <c r="A937" s="5" t="inlineStr">
        <is>
          <t>새뜰영재어린이집</t>
        </is>
      </c>
      <c r="B937" s="5" t="inlineStr">
        <is>
          <t>어린이집</t>
        </is>
      </c>
      <c r="C937" s="5" t="inlineStr">
        <is>
          <t>가정</t>
        </is>
      </c>
      <c r="D937" s="5" t="inlineStr">
        <is>
          <t>부산진구</t>
        </is>
      </c>
      <c r="E937" s="5" t="inlineStr">
        <is>
          <t>부산광역시 부산진구 백양대로208번길 38-25 102동 103호(개금동, 우성아파트)</t>
        </is>
      </c>
      <c r="F937" s="11" t="inlineStr">
        <is>
          <t>http://yooya1004@hanmail.net</t>
        </is>
      </c>
      <c r="G937" s="5" t="inlineStr">
        <is>
          <t>051-896-6931</t>
        </is>
      </c>
      <c r="H937" s="12">
        <f>어린이집!T558</f>
        <v/>
      </c>
      <c r="I937" s="5" t="inlineStr">
        <is>
          <t>만0세 1 / 만1세 5 / 만2세 7 / 기타(연령구분 없음) 5</t>
        </is>
      </c>
    </row>
    <row r="938">
      <c r="A938" s="5" t="inlineStr">
        <is>
          <t>새롬비발디어린이집</t>
        </is>
      </c>
      <c r="B938" s="5" t="inlineStr">
        <is>
          <t>어린이집</t>
        </is>
      </c>
      <c r="C938" s="5" t="inlineStr">
        <is>
          <t>민간</t>
        </is>
      </c>
      <c r="D938" s="5" t="inlineStr">
        <is>
          <t>부산진구</t>
        </is>
      </c>
      <c r="E938" s="5" t="inlineStr">
        <is>
          <t>부산광역시 부산진구 전포대로 156 101동 103호(전포동, 한라비발디아파트)</t>
        </is>
      </c>
      <c r="F938" s="5" t="inlineStr"/>
      <c r="G938" s="5" t="inlineStr">
        <is>
          <t>051-809-8170</t>
        </is>
      </c>
      <c r="H938" s="12">
        <f>어린이집!T559</f>
        <v/>
      </c>
      <c r="I938" s="5" t="inlineStr">
        <is>
          <t>만0세 9 / 만1세 8 / 만2세 7 / 기타(연령구분 없음) 9</t>
        </is>
      </c>
    </row>
    <row r="939">
      <c r="A939" s="5" t="inlineStr">
        <is>
          <t>새한나어린이집</t>
        </is>
      </c>
      <c r="B939" s="5" t="inlineStr">
        <is>
          <t>어린이집</t>
        </is>
      </c>
      <c r="C939" s="5" t="inlineStr">
        <is>
          <t>민간</t>
        </is>
      </c>
      <c r="D939" s="5" t="inlineStr">
        <is>
          <t>부산진구</t>
        </is>
      </c>
      <c r="E939" s="5" t="inlineStr">
        <is>
          <t>부산광역시 부산진구 서면문화로53번길 49 (부전동)</t>
        </is>
      </c>
      <c r="F939" s="5" t="inlineStr"/>
      <c r="G939" s="5" t="inlineStr">
        <is>
          <t>051-802-7020</t>
        </is>
      </c>
      <c r="H939" s="12">
        <f>어린이집!T560</f>
        <v/>
      </c>
      <c r="I939" s="5" t="inlineStr">
        <is>
          <t>만0세 3 / 만1세 8 / 만2세 7 / 영아혼합반 2 / 기타(연령구분 없음) 3</t>
        </is>
      </c>
    </row>
    <row r="940">
      <c r="A940" s="5" t="inlineStr">
        <is>
          <t>서면다온어린이집</t>
        </is>
      </c>
      <c r="B940" s="5" t="inlineStr">
        <is>
          <t>어린이집</t>
        </is>
      </c>
      <c r="C940" s="5" t="inlineStr">
        <is>
          <t>민간</t>
        </is>
      </c>
      <c r="D940" s="5" t="inlineStr">
        <is>
          <t>부산진구</t>
        </is>
      </c>
      <c r="E940" s="5" t="inlineStr">
        <is>
          <t>부산광역시 부산진구 엄광로384번길 48</t>
        </is>
      </c>
      <c r="F940" s="5" t="inlineStr"/>
      <c r="G940" s="5" t="inlineStr">
        <is>
          <t>051-988-5885</t>
        </is>
      </c>
      <c r="H940" s="12">
        <f>어린이집!T561</f>
        <v/>
      </c>
      <c r="I940" s="5" t="inlineStr">
        <is>
          <t>만0세 12 / 영아혼합반 8 / 기타(연령구분 없음) 4</t>
        </is>
      </c>
    </row>
    <row r="941">
      <c r="A941" s="5" t="inlineStr">
        <is>
          <t>서면롯데캐슬엘루체어린이집</t>
        </is>
      </c>
      <c r="B941" s="5" t="inlineStr">
        <is>
          <t>어린이집</t>
        </is>
      </c>
      <c r="C941" s="5" t="inlineStr">
        <is>
          <t>국공립</t>
        </is>
      </c>
      <c r="D941" s="5" t="inlineStr">
        <is>
          <t>부산진구</t>
        </is>
      </c>
      <c r="E941" s="5" t="inlineStr">
        <is>
          <t>부산광역시 부산진구 신천대로126번길 42 서면롯데캐슬엘루체아파트</t>
        </is>
      </c>
      <c r="F941" s="5" t="inlineStr"/>
      <c r="G941" s="5" t="inlineStr">
        <is>
          <t>051-804-9461</t>
        </is>
      </c>
      <c r="H941" s="12">
        <f>어린이집!T562</f>
        <v/>
      </c>
      <c r="I941" s="5" t="inlineStr">
        <is>
          <t>만0세 8 / 만1세 20 / 만2세 14 / 기타(연령구분 없음) 20</t>
        </is>
      </c>
    </row>
    <row r="942">
      <c r="A942" s="5" t="inlineStr">
        <is>
          <t>서면비스타동원어린이집</t>
        </is>
      </c>
      <c r="B942" s="5" t="inlineStr">
        <is>
          <t>어린이집</t>
        </is>
      </c>
      <c r="C942" s="5" t="inlineStr">
        <is>
          <t>국공립</t>
        </is>
      </c>
      <c r="D942" s="5" t="inlineStr">
        <is>
          <t>부산진구</t>
        </is>
      </c>
      <c r="E942" s="5" t="inlineStr">
        <is>
          <t>부산광역시 부산진구 마철로 114 서면비스타동원아파트</t>
        </is>
      </c>
      <c r="F942" s="5" t="inlineStr"/>
      <c r="G942" s="5" t="inlineStr">
        <is>
          <t>051-897-4999</t>
        </is>
      </c>
      <c r="H942" s="12">
        <f>어린이집!T563</f>
        <v/>
      </c>
      <c r="I942" s="5" t="inlineStr">
        <is>
          <t>만0세 5 / 만1세 19 / 만2세 20</t>
        </is>
      </c>
    </row>
    <row r="943">
      <c r="A943" s="5" t="inlineStr">
        <is>
          <t>서면아이파크어린이집</t>
        </is>
      </c>
      <c r="B943" s="5" t="inlineStr">
        <is>
          <t>어린이집</t>
        </is>
      </c>
      <c r="C943" s="5" t="inlineStr">
        <is>
          <t>국공립</t>
        </is>
      </c>
      <c r="D943" s="5" t="inlineStr">
        <is>
          <t>부산진구</t>
        </is>
      </c>
      <c r="E943" s="5" t="inlineStr">
        <is>
          <t>부산광역시 부산진구 동성로 50 (전포동, 서면아이파크)</t>
        </is>
      </c>
      <c r="F943" s="5" t="inlineStr"/>
      <c r="G943" s="5" t="inlineStr">
        <is>
          <t>051-803-3462</t>
        </is>
      </c>
      <c r="H943" s="12">
        <f>어린이집!T564</f>
        <v/>
      </c>
      <c r="I943" s="5" t="inlineStr">
        <is>
          <t>만1세 13 / 만2세 24 / 만3세 15 / 기타(연령구분 없음) 7</t>
        </is>
      </c>
    </row>
    <row r="944">
      <c r="A944" s="5" t="inlineStr">
        <is>
          <t>성모어린이집</t>
        </is>
      </c>
      <c r="B944" s="5" t="inlineStr">
        <is>
          <t>어린이집</t>
        </is>
      </c>
      <c r="C944" s="5" t="inlineStr">
        <is>
          <t>가정</t>
        </is>
      </c>
      <c r="D944" s="5" t="inlineStr">
        <is>
          <t>부산진구</t>
        </is>
      </c>
      <c r="E944" s="5" t="inlineStr">
        <is>
          <t>부산광역시 부산진구 가야공원로38번길 88-1 (가야동)</t>
        </is>
      </c>
      <c r="F944" s="5" t="inlineStr"/>
      <c r="G944" s="5" t="inlineStr">
        <is>
          <t>051-894-6067</t>
        </is>
      </c>
      <c r="H944" s="12">
        <f>어린이집!T565</f>
        <v/>
      </c>
      <c r="I944" s="5" t="inlineStr">
        <is>
          <t>만0세 2 / 만1세 3 / 만2세 5 / 기타(연령구분 없음) 3</t>
        </is>
      </c>
    </row>
    <row r="945">
      <c r="A945" s="5" t="inlineStr">
        <is>
          <t>성지어린이집</t>
        </is>
      </c>
      <c r="B945" s="5" t="inlineStr">
        <is>
          <t>어린이집</t>
        </is>
      </c>
      <c r="C945" s="5" t="inlineStr">
        <is>
          <t>사회복지법인</t>
        </is>
      </c>
      <c r="D945" s="5" t="inlineStr">
        <is>
          <t>부산진구</t>
        </is>
      </c>
      <c r="E945" s="5" t="inlineStr">
        <is>
          <t>부산광역시 부산진구 백양산로 23 (당감동)</t>
        </is>
      </c>
      <c r="F945" s="5" t="inlineStr"/>
      <c r="G945" s="5" t="inlineStr">
        <is>
          <t>051-898-0803</t>
        </is>
      </c>
      <c r="H945" s="12">
        <f>어린이집!T566</f>
        <v/>
      </c>
      <c r="I945" s="5" t="inlineStr">
        <is>
          <t>만1세 15 / 만2세 35 / 만3세 49</t>
        </is>
      </c>
    </row>
    <row r="946">
      <c r="A946" s="5" t="inlineStr">
        <is>
          <t>숲속느티나무어린이집</t>
        </is>
      </c>
      <c r="B946" s="5" t="inlineStr">
        <is>
          <t>어린이집</t>
        </is>
      </c>
      <c r="C946" s="5" t="inlineStr">
        <is>
          <t>민간</t>
        </is>
      </c>
      <c r="D946" s="5" t="inlineStr">
        <is>
          <t>부산진구</t>
        </is>
      </c>
      <c r="E946" s="5" t="inlineStr">
        <is>
          <t>부산광역시 부산진구 동평로127번길 88-10  (부암동)</t>
        </is>
      </c>
      <c r="F946" s="5" t="inlineStr"/>
      <c r="G946" s="5" t="inlineStr">
        <is>
          <t>051-805-0033</t>
        </is>
      </c>
      <c r="H946" s="12">
        <f>어린이집!T567</f>
        <v/>
      </c>
      <c r="I946" s="5" t="inlineStr">
        <is>
          <t>만1세 15 / 만2세 14 / 영아혼합반 2 / 기타(연령구분 없음) 3</t>
        </is>
      </c>
    </row>
    <row r="947">
      <c r="A947" s="5" t="inlineStr">
        <is>
          <t>스윗홈어린이집</t>
        </is>
      </c>
      <c r="B947" s="5" t="inlineStr">
        <is>
          <t>어린이집</t>
        </is>
      </c>
      <c r="C947" s="5" t="inlineStr">
        <is>
          <t>민간</t>
        </is>
      </c>
      <c r="D947" s="5" t="inlineStr">
        <is>
          <t>부산진구</t>
        </is>
      </c>
      <c r="E947" s="5" t="inlineStr">
        <is>
          <t>부산광역시 부산진구 시민공원로 11 서면쌍용스윗닷홈SKY 101동 내(부암동)</t>
        </is>
      </c>
      <c r="F947" s="5" t="inlineStr"/>
      <c r="G947" s="5" t="inlineStr">
        <is>
          <t>051-807-3001</t>
        </is>
      </c>
      <c r="H947" s="12">
        <f>어린이집!T568</f>
        <v/>
      </c>
      <c r="I947" s="5" t="inlineStr">
        <is>
          <t>만0세 3 / 만1세 10 / 만2세 7 / 영아혼합반 5 / 기타(연령구분 없음) 5</t>
        </is>
      </c>
    </row>
    <row r="948">
      <c r="A948" s="5" t="inlineStr">
        <is>
          <t>시민공원비스타동원어린이집</t>
        </is>
      </c>
      <c r="B948" s="5" t="inlineStr">
        <is>
          <t>어린이집</t>
        </is>
      </c>
      <c r="C948" s="5" t="inlineStr">
        <is>
          <t>국공립</t>
        </is>
      </c>
      <c r="D948" s="5" t="inlineStr">
        <is>
          <t>부산진구</t>
        </is>
      </c>
      <c r="E948" s="5" t="inlineStr">
        <is>
          <t>부산광역시 부산진구 동평로 149 (부암동, 시민공원비스타동원어린이집)</t>
        </is>
      </c>
      <c r="F948" s="5" t="inlineStr"/>
      <c r="G948" s="5" t="inlineStr">
        <is>
          <t>051-991-5959</t>
        </is>
      </c>
      <c r="H948" s="12">
        <f>어린이집!T569</f>
        <v/>
      </c>
      <c r="I948" s="5" t="inlineStr">
        <is>
          <t>만0세 9 / 만1세 10 / 기타(연령구분 없음) 5</t>
        </is>
      </c>
    </row>
    <row r="949">
      <c r="A949" s="5" t="inlineStr">
        <is>
          <t>시민공원삼정더베스트어린이집</t>
        </is>
      </c>
      <c r="B949" s="5" t="inlineStr">
        <is>
          <t>어린이집</t>
        </is>
      </c>
      <c r="C949" s="5" t="inlineStr">
        <is>
          <t>민간</t>
        </is>
      </c>
      <c r="D949" s="5" t="inlineStr">
        <is>
          <t>부산진구</t>
        </is>
      </c>
      <c r="E949" s="5" t="inlineStr">
        <is>
          <t>부산광역시 부산진구 동평로 176 (부암동, 시민공원삼정그린코아더베스트)</t>
        </is>
      </c>
      <c r="F949" s="5" t="inlineStr"/>
      <c r="G949" s="5" t="inlineStr">
        <is>
          <t>051-817-1760</t>
        </is>
      </c>
      <c r="H949" s="12">
        <f>어린이집!T570</f>
        <v/>
      </c>
      <c r="I949" s="5" t="inlineStr">
        <is>
          <t>만0세 9 / 만1세 15 / 만2세 20 / 기타(연령구분 없음) 8</t>
        </is>
      </c>
    </row>
    <row r="950">
      <c r="A950" s="5" t="inlineStr">
        <is>
          <t>아기자람터어린이집</t>
        </is>
      </c>
      <c r="B950" s="5" t="inlineStr">
        <is>
          <t>어린이집</t>
        </is>
      </c>
      <c r="C950" s="5" t="inlineStr">
        <is>
          <t>가정</t>
        </is>
      </c>
      <c r="D950" s="5" t="inlineStr">
        <is>
          <t>부산진구</t>
        </is>
      </c>
      <c r="E950" s="5" t="inlineStr">
        <is>
          <t>부산광역시 부산진구 진남로 404 107호 (전포동, 대동아파트)</t>
        </is>
      </c>
      <c r="F950" s="11" t="inlineStr">
        <is>
          <t>http://cafe.daum.net/grace1990</t>
        </is>
      </c>
      <c r="G950" s="5" t="inlineStr">
        <is>
          <t>051-816-4383</t>
        </is>
      </c>
      <c r="H950" s="12">
        <f>어린이집!T571</f>
        <v/>
      </c>
      <c r="I950" s="5" t="inlineStr">
        <is>
          <t>영아혼합반 8 / 기타(연령구분 없음) 5</t>
        </is>
      </c>
    </row>
    <row r="951">
      <c r="A951" s="5" t="inlineStr">
        <is>
          <t>아르피나어린이집</t>
        </is>
      </c>
      <c r="B951" s="5" t="inlineStr">
        <is>
          <t>어린이집</t>
        </is>
      </c>
      <c r="C951" s="5" t="inlineStr">
        <is>
          <t>민간</t>
        </is>
      </c>
      <c r="D951" s="5" t="inlineStr">
        <is>
          <t>부산진구</t>
        </is>
      </c>
      <c r="E951" s="5" t="inlineStr">
        <is>
          <t>부산광역시 부산진구 백양산로 59 당감뜨란채아파트관리동 (부암동)</t>
        </is>
      </c>
      <c r="F951" s="5" t="inlineStr"/>
      <c r="G951" s="5" t="inlineStr">
        <is>
          <t>051-805-2255</t>
        </is>
      </c>
      <c r="H951" s="12">
        <f>어린이집!T572</f>
        <v/>
      </c>
      <c r="I951" s="5" t="inlineStr"/>
    </row>
    <row r="952">
      <c r="A952" s="5" t="inlineStr">
        <is>
          <t>아이마음어린이집</t>
        </is>
      </c>
      <c r="B952" s="5" t="inlineStr">
        <is>
          <t>어린이집</t>
        </is>
      </c>
      <c r="C952" s="5" t="inlineStr">
        <is>
          <t>가정</t>
        </is>
      </c>
      <c r="D952" s="5" t="inlineStr">
        <is>
          <t>부산진구</t>
        </is>
      </c>
      <c r="E952" s="5" t="inlineStr">
        <is>
          <t>부산광역시 부산진구 당감로17번길 90 115동 102호(당감동, 무궁화아파트)</t>
        </is>
      </c>
      <c r="F952" s="5" t="inlineStr"/>
      <c r="G952" s="5" t="inlineStr">
        <is>
          <t>051-897-2020</t>
        </is>
      </c>
      <c r="H952" s="12">
        <f>어린이집!T573</f>
        <v/>
      </c>
      <c r="I952" s="5" t="inlineStr">
        <is>
          <t>만2세 6 / 영아혼합반 4 / 기타(연령구분 없음) 2</t>
        </is>
      </c>
    </row>
    <row r="953">
      <c r="A953" s="5" t="inlineStr">
        <is>
          <t>아이맘어린이집</t>
        </is>
      </c>
      <c r="B953" s="5" t="inlineStr">
        <is>
          <t>어린이집</t>
        </is>
      </c>
      <c r="C953" s="5" t="inlineStr">
        <is>
          <t>가정</t>
        </is>
      </c>
      <c r="D953" s="5" t="inlineStr">
        <is>
          <t>부산진구</t>
        </is>
      </c>
      <c r="E953" s="5" t="inlineStr">
        <is>
          <t>부산광역시 부산진구 진남로 477 103동 103호 (전포동, 양정메트로하이츠)</t>
        </is>
      </c>
      <c r="F953" s="5" t="inlineStr"/>
      <c r="G953" s="5" t="inlineStr">
        <is>
          <t>051-807-5126</t>
        </is>
      </c>
      <c r="H953" s="12">
        <f>어린이집!T574</f>
        <v/>
      </c>
      <c r="I953" s="5" t="inlineStr">
        <is>
          <t>만0세 7 / 영아혼합반 7 / 기타(연령구분 없음) 4</t>
        </is>
      </c>
    </row>
    <row r="954">
      <c r="A954" s="5" t="inlineStr">
        <is>
          <t>아이숲어린이집</t>
        </is>
      </c>
      <c r="B954" s="5" t="inlineStr">
        <is>
          <t>어린이집</t>
        </is>
      </c>
      <c r="C954" s="5" t="inlineStr">
        <is>
          <t>가정</t>
        </is>
      </c>
      <c r="D954" s="5" t="inlineStr">
        <is>
          <t>부산진구</t>
        </is>
      </c>
      <c r="E954" s="5" t="inlineStr">
        <is>
          <t>부산광역시 부산진구 가야대로679번길 166 102동105호(가야동 화신타운아파트)</t>
        </is>
      </c>
      <c r="F954" s="5" t="inlineStr"/>
      <c r="G954" s="5" t="inlineStr">
        <is>
          <t>051-898-2250</t>
        </is>
      </c>
      <c r="H954" s="12">
        <f>어린이집!T575</f>
        <v/>
      </c>
      <c r="I954" s="5" t="inlineStr">
        <is>
          <t>만0세 5 / 만1세 7 / 만2세 6 / 기타(연령구분 없음) 4</t>
        </is>
      </c>
    </row>
    <row r="955">
      <c r="A955" s="5" t="inlineStr">
        <is>
          <t>아이편한어린이집</t>
        </is>
      </c>
      <c r="B955" s="5" t="inlineStr">
        <is>
          <t>어린이집</t>
        </is>
      </c>
      <c r="C955" s="5" t="inlineStr">
        <is>
          <t>국공립</t>
        </is>
      </c>
      <c r="D955" s="5" t="inlineStr">
        <is>
          <t>부산진구</t>
        </is>
      </c>
      <c r="E955" s="5" t="inlineStr">
        <is>
          <t>부산광역시 부산진구 신암로 133 e편한세상서면더센트럴</t>
        </is>
      </c>
      <c r="F955" s="5" t="inlineStr"/>
      <c r="G955" s="5" t="inlineStr">
        <is>
          <t>051-925-0505</t>
        </is>
      </c>
      <c r="H955" s="12">
        <f>어린이집!T576</f>
        <v/>
      </c>
      <c r="I955" s="5" t="inlineStr">
        <is>
          <t>만0세 6 / 만1세 20 / 만2세 20 / 기타(연령구분 없음) 10</t>
        </is>
      </c>
    </row>
    <row r="956">
      <c r="A956" s="5" t="inlineStr">
        <is>
          <t>양정2동어린이집</t>
        </is>
      </c>
      <c r="B956" s="5" t="inlineStr">
        <is>
          <t>어린이집</t>
        </is>
      </c>
      <c r="C956" s="5" t="inlineStr">
        <is>
          <t>국공립</t>
        </is>
      </c>
      <c r="D956" s="5" t="inlineStr">
        <is>
          <t>부산진구</t>
        </is>
      </c>
      <c r="E956" s="5" t="inlineStr">
        <is>
          <t>부산광역시 부산진구 연수로11번길 18-1 (양정동)</t>
        </is>
      </c>
      <c r="F956" s="5" t="inlineStr"/>
      <c r="G956" s="5" t="inlineStr">
        <is>
          <t>051-866-5335</t>
        </is>
      </c>
      <c r="H956" s="12">
        <f>어린이집!T577</f>
        <v/>
      </c>
      <c r="I956" s="5" t="inlineStr">
        <is>
          <t>만0세 20 / 만1세 26 / 만2세 6 / 기타(연령구분 없음) 8</t>
        </is>
      </c>
    </row>
    <row r="957">
      <c r="A957" s="5" t="inlineStr">
        <is>
          <t>양정삼성어린이집</t>
        </is>
      </c>
      <c r="B957" s="5" t="inlineStr">
        <is>
          <t>어린이집</t>
        </is>
      </c>
      <c r="C957" s="5" t="inlineStr">
        <is>
          <t>사회복지법인</t>
        </is>
      </c>
      <c r="D957" s="5" t="inlineStr">
        <is>
          <t>부산진구</t>
        </is>
      </c>
      <c r="E957" s="5" t="inlineStr">
        <is>
          <t>부산광역시 부산진구 연수로11번길 34  (양정동)</t>
        </is>
      </c>
      <c r="F957" s="5" t="inlineStr"/>
      <c r="G957" s="5" t="inlineStr">
        <is>
          <t>051-852-4233</t>
        </is>
      </c>
      <c r="H957" s="12">
        <f>어린이집!T578</f>
        <v/>
      </c>
      <c r="I957" s="5" t="inlineStr">
        <is>
          <t>만1세 15 / 만2세 19 / 만3세 23 / 만4세 15 / 만5세 21 / 기타(연령구분 없음) 20</t>
        </is>
      </c>
    </row>
    <row r="958">
      <c r="A958" s="5" t="inlineStr">
        <is>
          <t>양정소명어린이집</t>
        </is>
      </c>
      <c r="B958" s="5" t="inlineStr">
        <is>
          <t>어린이집</t>
        </is>
      </c>
      <c r="C958" s="5" t="inlineStr">
        <is>
          <t>국공립</t>
        </is>
      </c>
      <c r="D958" s="5" t="inlineStr">
        <is>
          <t>부산진구</t>
        </is>
      </c>
      <c r="E958" s="5" t="inlineStr">
        <is>
          <t>부산광역시 부산진구 양지로 24-17 (양정동)</t>
        </is>
      </c>
      <c r="F958" s="5" t="inlineStr"/>
      <c r="G958" s="5" t="inlineStr">
        <is>
          <t>051-865-7288</t>
        </is>
      </c>
      <c r="H958" s="12">
        <f>어린이집!T579</f>
        <v/>
      </c>
      <c r="I958" s="5" t="inlineStr">
        <is>
          <t>만1세 20 / 만2세 19</t>
        </is>
      </c>
    </row>
    <row r="959">
      <c r="A959" s="5" t="inlineStr">
        <is>
          <t>양정자이1단지어린이집</t>
        </is>
      </c>
      <c r="B959" s="5" t="inlineStr">
        <is>
          <t>어린이집</t>
        </is>
      </c>
      <c r="C959" s="5" t="inlineStr">
        <is>
          <t>국공립</t>
        </is>
      </c>
      <c r="D959" s="5" t="inlineStr">
        <is>
          <t>부산진구</t>
        </is>
      </c>
      <c r="E959" s="5" t="inlineStr">
        <is>
          <t>부산광역시 부산진구 연수로 38 양정자이더샵SKVIEW 관리동</t>
        </is>
      </c>
      <c r="F959" s="5" t="inlineStr"/>
      <c r="G959" s="5" t="inlineStr">
        <is>
          <t>051-926-1200</t>
        </is>
      </c>
      <c r="H959" s="12">
        <f>어린이집!T580</f>
        <v/>
      </c>
      <c r="I959" s="5" t="inlineStr">
        <is>
          <t>만0세 8 / 만1세 13 / 만2세 12 / 기타(연령구분 없음) 8</t>
        </is>
      </c>
    </row>
    <row r="960">
      <c r="A960" s="5" t="inlineStr">
        <is>
          <t>양정자이2단지어린이집</t>
        </is>
      </c>
      <c r="B960" s="5" t="inlineStr">
        <is>
          <t>어린이집</t>
        </is>
      </c>
      <c r="C960" s="5" t="inlineStr">
        <is>
          <t>국공립</t>
        </is>
      </c>
      <c r="D960" s="5" t="inlineStr">
        <is>
          <t>부산진구</t>
        </is>
      </c>
      <c r="E960" s="5" t="inlineStr">
        <is>
          <t>부산광역시 부산진구 진남로 554 양정자이더샵SKVIEW 2단지</t>
        </is>
      </c>
      <c r="F960" s="5" t="inlineStr"/>
      <c r="G960" s="5" t="inlineStr">
        <is>
          <t>051-982-2500</t>
        </is>
      </c>
      <c r="H960" s="12">
        <f>어린이집!T581</f>
        <v/>
      </c>
      <c r="I960" s="5" t="inlineStr">
        <is>
          <t>만0세 8 / 만1세 15 / 만2세 23 / 만3세 19 / 기타(연령구분 없음) 17</t>
        </is>
      </c>
    </row>
    <row r="961">
      <c r="A961" s="5" t="inlineStr">
        <is>
          <t>양정자이3단지어린이집</t>
        </is>
      </c>
      <c r="B961" s="5" t="inlineStr">
        <is>
          <t>어린이집</t>
        </is>
      </c>
      <c r="C961" s="5" t="inlineStr">
        <is>
          <t>국공립</t>
        </is>
      </c>
      <c r="D961" s="5" t="inlineStr">
        <is>
          <t>부산진구</t>
        </is>
      </c>
      <c r="E961" s="5" t="inlineStr">
        <is>
          <t>부산광역시 부산진구 진남로 552 양정자이더샵SKVIEW 3단지</t>
        </is>
      </c>
      <c r="F961" s="5" t="inlineStr"/>
      <c r="G961" s="5" t="inlineStr">
        <is>
          <t>051-929-1500</t>
        </is>
      </c>
      <c r="H961" s="12">
        <f>어린이집!T582</f>
        <v/>
      </c>
      <c r="I961" s="5" t="inlineStr">
        <is>
          <t>만0세 8 / 만1세 12 / 만2세 12 / 기타(연령구분 없음) 10</t>
        </is>
      </c>
    </row>
    <row r="962">
      <c r="A962" s="5" t="inlineStr">
        <is>
          <t>양정중앙어린이집</t>
        </is>
      </c>
      <c r="B962" s="5" t="inlineStr">
        <is>
          <t>어린이집</t>
        </is>
      </c>
      <c r="C962" s="5" t="inlineStr">
        <is>
          <t>국공립</t>
        </is>
      </c>
      <c r="D962" s="5" t="inlineStr">
        <is>
          <t>부산진구</t>
        </is>
      </c>
      <c r="E962" s="5" t="inlineStr">
        <is>
          <t>부산광역시 부산진구 양지로5번길 25 (양정동)</t>
        </is>
      </c>
      <c r="F962" s="5" t="inlineStr"/>
      <c r="G962" s="5" t="inlineStr">
        <is>
          <t>051-861-6800</t>
        </is>
      </c>
      <c r="H962" s="12">
        <f>어린이집!T583</f>
        <v/>
      </c>
      <c r="I962" s="5" t="inlineStr">
        <is>
          <t>만0세 7 / 만1세 10 / 만2세 12 / 기타(연령구분 없음) 6</t>
        </is>
      </c>
    </row>
    <row r="963">
      <c r="A963" s="5" t="inlineStr">
        <is>
          <t>양정포레힐즈스위첸어린이집</t>
        </is>
      </c>
      <c r="B963" s="5" t="inlineStr">
        <is>
          <t>어린이집</t>
        </is>
      </c>
      <c r="C963" s="5" t="inlineStr">
        <is>
          <t>국공립</t>
        </is>
      </c>
      <c r="D963" s="5" t="inlineStr">
        <is>
          <t>부산진구</t>
        </is>
      </c>
      <c r="E963" s="5" t="inlineStr">
        <is>
          <t>부산광역시 부산진구 양연로 36 양정포레힐즈스위첸아파트</t>
        </is>
      </c>
      <c r="F963" s="5" t="inlineStr"/>
      <c r="G963" s="5" t="inlineStr">
        <is>
          <t>051-862-7942</t>
        </is>
      </c>
      <c r="H963" s="12">
        <f>어린이집!T584</f>
        <v/>
      </c>
      <c r="I963" s="5" t="inlineStr">
        <is>
          <t>만0세 4 / 만1세 14 / 만2세 16 / 기타(연령구분 없음) 8</t>
        </is>
      </c>
    </row>
    <row r="964">
      <c r="A964" s="5" t="inlineStr">
        <is>
          <t>양정현대어린이집</t>
        </is>
      </c>
      <c r="B964" s="5" t="inlineStr">
        <is>
          <t>어린이집</t>
        </is>
      </c>
      <c r="C964" s="5" t="inlineStr">
        <is>
          <t>민간</t>
        </is>
      </c>
      <c r="D964" s="5" t="inlineStr">
        <is>
          <t>부산진구</t>
        </is>
      </c>
      <c r="E964" s="5" t="inlineStr">
        <is>
          <t>부산광역시 부산진구 범양로 90 (양정동)</t>
        </is>
      </c>
      <c r="F964" s="11" t="inlineStr">
        <is>
          <t>http://www.yjhd.co.kr</t>
        </is>
      </c>
      <c r="G964" s="5" t="inlineStr">
        <is>
          <t>051-852-4895</t>
        </is>
      </c>
      <c r="H964" s="12">
        <f>어린이집!T585</f>
        <v/>
      </c>
      <c r="I964" s="5" t="inlineStr">
        <is>
          <t>만0세 21 / 만1세 20 / 만2세 42 / 기타(연령구분 없음) 5</t>
        </is>
      </c>
    </row>
    <row r="965">
      <c r="A965" s="5" t="inlineStr">
        <is>
          <t>엄마어린이집</t>
        </is>
      </c>
      <c r="B965" s="5" t="inlineStr">
        <is>
          <t>어린이집</t>
        </is>
      </c>
      <c r="C965" s="5" t="inlineStr">
        <is>
          <t>가정</t>
        </is>
      </c>
      <c r="D965" s="5" t="inlineStr">
        <is>
          <t>부산진구</t>
        </is>
      </c>
      <c r="E965" s="5" t="inlineStr">
        <is>
          <t>부산광역시 부산진구 신천대로 279 나동101호 (부암동, 무지개럭키아파트)</t>
        </is>
      </c>
      <c r="F965" s="5" t="inlineStr"/>
      <c r="G965" s="5" t="inlineStr">
        <is>
          <t>051-818-3196</t>
        </is>
      </c>
      <c r="H965" s="12">
        <f>어린이집!T586</f>
        <v/>
      </c>
      <c r="I965" s="5" t="inlineStr">
        <is>
          <t>만0세 2 / 만1세 5 / 만2세 4 / 영아혼합반 2 / 기타(연령구분 없음) 4</t>
        </is>
      </c>
    </row>
    <row r="966">
      <c r="A966" s="5" t="inlineStr">
        <is>
          <t>엘리시안어린이집</t>
        </is>
      </c>
      <c r="B966" s="5" t="inlineStr">
        <is>
          <t>어린이집</t>
        </is>
      </c>
      <c r="C966" s="5" t="inlineStr">
        <is>
          <t>민간</t>
        </is>
      </c>
      <c r="D966" s="5" t="inlineStr">
        <is>
          <t>부산진구</t>
        </is>
      </c>
      <c r="E966" s="5" t="inlineStr">
        <is>
          <t>부산광역시 부산진구 만리산로 11 103동 (협성엘리시안아파트)</t>
        </is>
      </c>
      <c r="F966" s="5" t="inlineStr"/>
      <c r="G966" s="5" t="inlineStr">
        <is>
          <t>051-632-0978</t>
        </is>
      </c>
      <c r="H966" s="12">
        <f>어린이집!T587</f>
        <v/>
      </c>
      <c r="I966" s="5" t="inlineStr">
        <is>
          <t>만0세 9 / 만1세 20 / 만2세 17 / 기타(연령구분 없음) 5</t>
        </is>
      </c>
    </row>
    <row r="967">
      <c r="A967" s="5" t="inlineStr">
        <is>
          <t>엘림어린이집</t>
        </is>
      </c>
      <c r="B967" s="5" t="inlineStr">
        <is>
          <t>어린이집</t>
        </is>
      </c>
      <c r="C967" s="5" t="inlineStr">
        <is>
          <t>사회복지법인</t>
        </is>
      </c>
      <c r="D967" s="5" t="inlineStr">
        <is>
          <t>부산진구</t>
        </is>
      </c>
      <c r="E967" s="5" t="inlineStr">
        <is>
          <t>부산광역시 부산진구 진남로356번길 34-12 (전포동)</t>
        </is>
      </c>
      <c r="F967" s="5" t="inlineStr"/>
      <c r="G967" s="5" t="inlineStr">
        <is>
          <t>051-804-4520</t>
        </is>
      </c>
      <c r="H967" s="12">
        <f>어린이집!T588</f>
        <v/>
      </c>
      <c r="I967" s="5" t="inlineStr">
        <is>
          <t>만0세 15 / 만1세 5 / 만2세 7 / 유아혼합반 7 / 기타(연령구분 없음) 15</t>
        </is>
      </c>
    </row>
    <row r="968">
      <c r="A968" s="5" t="inlineStr">
        <is>
          <t>연지꿈동산어린이집</t>
        </is>
      </c>
      <c r="B968" s="5" t="inlineStr">
        <is>
          <t>어린이집</t>
        </is>
      </c>
      <c r="C968" s="5" t="inlineStr">
        <is>
          <t>국공립</t>
        </is>
      </c>
      <c r="D968" s="5" t="inlineStr">
        <is>
          <t>부산진구</t>
        </is>
      </c>
      <c r="E968" s="5" t="inlineStr">
        <is>
          <t>부산광역시 부산진구 성지로51번길 24 (연지동)</t>
        </is>
      </c>
      <c r="F968" s="5" t="inlineStr"/>
      <c r="G968" s="5" t="inlineStr">
        <is>
          <t>051-942-1004</t>
        </is>
      </c>
      <c r="H968" s="12">
        <f>어린이집!T589</f>
        <v/>
      </c>
      <c r="I968" s="5" t="inlineStr">
        <is>
          <t>만1세 15 / 만2세 19 / 만3세 12 / 만4세 11 / 만5세 13 / 장애아반(특수) 3 / 기타(연령구분 없음) 5</t>
        </is>
      </c>
    </row>
    <row r="969">
      <c r="A969" s="5" t="inlineStr">
        <is>
          <t>영림어린이집</t>
        </is>
      </c>
      <c r="B969" s="5" t="inlineStr">
        <is>
          <t>어린이집</t>
        </is>
      </c>
      <c r="C969" s="5" t="inlineStr">
        <is>
          <t>민간</t>
        </is>
      </c>
      <c r="D969" s="5" t="inlineStr">
        <is>
          <t>부산진구</t>
        </is>
      </c>
      <c r="E969" s="5" t="inlineStr">
        <is>
          <t>부산광역시 부산진구 가야대로454번길 52 (개금동)</t>
        </is>
      </c>
      <c r="F969" s="5" t="inlineStr"/>
      <c r="G969" s="5" t="inlineStr">
        <is>
          <t>051-891-6137</t>
        </is>
      </c>
      <c r="H969" s="12">
        <f>어린이집!T590</f>
        <v/>
      </c>
      <c r="I969" s="5" t="inlineStr">
        <is>
          <t>만0세 6 / 만1세 20 / 만2세 21 / 기타(연령구분 없음) 5</t>
        </is>
      </c>
    </row>
    <row r="970">
      <c r="A970" s="5" t="inlineStr">
        <is>
          <t>영재어린이집</t>
        </is>
      </c>
      <c r="B970" s="5" t="inlineStr">
        <is>
          <t>어린이집</t>
        </is>
      </c>
      <c r="C970" s="5" t="inlineStr">
        <is>
          <t>민간</t>
        </is>
      </c>
      <c r="D970" s="5" t="inlineStr">
        <is>
          <t>부산진구</t>
        </is>
      </c>
      <c r="E970" s="5" t="inlineStr">
        <is>
          <t>부산광역시 부산진구 중앙번영로 32 (범천동)</t>
        </is>
      </c>
      <c r="F970" s="5" t="inlineStr"/>
      <c r="G970" s="5" t="inlineStr">
        <is>
          <t>051-632-1027</t>
        </is>
      </c>
      <c r="H970" s="12">
        <f>어린이집!T591</f>
        <v/>
      </c>
      <c r="I970" s="5" t="inlineStr">
        <is>
          <t>만0세 6 / 만1세 25 / 만2세 18</t>
        </is>
      </c>
    </row>
    <row r="971">
      <c r="A971" s="5" t="inlineStr">
        <is>
          <t>예솔어린이집</t>
        </is>
      </c>
      <c r="B971" s="5" t="inlineStr">
        <is>
          <t>어린이집</t>
        </is>
      </c>
      <c r="C971" s="5" t="inlineStr">
        <is>
          <t>민간</t>
        </is>
      </c>
      <c r="D971" s="5" t="inlineStr">
        <is>
          <t>부산진구</t>
        </is>
      </c>
      <c r="E971" s="5" t="inlineStr">
        <is>
          <t>부산광역시 부산진구 엄광로 273 (가야동)</t>
        </is>
      </c>
      <c r="F971" s="11" t="inlineStr">
        <is>
          <t>http://cafe.daum.net/bsys1004</t>
        </is>
      </c>
      <c r="G971" s="5" t="inlineStr">
        <is>
          <t>051-895-4456</t>
        </is>
      </c>
      <c r="H971" s="12">
        <f>어린이집!T592</f>
        <v/>
      </c>
      <c r="I971" s="5" t="inlineStr">
        <is>
          <t>만0세 1 / 만1세 5 / 만2세 5 / 영아혼합반 2 / 유아혼합반 7 / 기타(연령구분 없음) 14</t>
        </is>
      </c>
    </row>
    <row r="972">
      <c r="A972" s="5" t="inlineStr">
        <is>
          <t>예이든어린이집</t>
        </is>
      </c>
      <c r="B972" s="5" t="inlineStr">
        <is>
          <t>어린이집</t>
        </is>
      </c>
      <c r="C972" s="5" t="inlineStr">
        <is>
          <t>가정</t>
        </is>
      </c>
      <c r="D972" s="5" t="inlineStr">
        <is>
          <t>부산진구</t>
        </is>
      </c>
      <c r="E972" s="5" t="inlineStr">
        <is>
          <t>부산광역시 부산진구 당감로17번길 10-11 1층 (당감동)</t>
        </is>
      </c>
      <c r="F972" s="5" t="inlineStr"/>
      <c r="G972" s="5" t="inlineStr">
        <is>
          <t>051-898-2117</t>
        </is>
      </c>
      <c r="H972" s="12">
        <f>어린이집!T593</f>
        <v/>
      </c>
      <c r="I972" s="5" t="inlineStr">
        <is>
          <t>만0세 6 / 만1세 3 / 만2세 4 / 기타(연령구분 없음) 3</t>
        </is>
      </c>
    </row>
    <row r="973">
      <c r="A973" s="5" t="inlineStr">
        <is>
          <t>왕자와공주어린이집</t>
        </is>
      </c>
      <c r="B973" s="5" t="inlineStr">
        <is>
          <t>어린이집</t>
        </is>
      </c>
      <c r="C973" s="5" t="inlineStr">
        <is>
          <t>가정</t>
        </is>
      </c>
      <c r="D973" s="5" t="inlineStr">
        <is>
          <t>부산진구</t>
        </is>
      </c>
      <c r="E973" s="5" t="inlineStr">
        <is>
          <t>부산광역시 부산진구 백양대로 302 202동 104호 (개금동, 신개금엘지1단지아파트)</t>
        </is>
      </c>
      <c r="F973" s="11" t="inlineStr">
        <is>
          <t>http://blog.naver.com/namok0722</t>
        </is>
      </c>
      <c r="G973" s="5" t="inlineStr">
        <is>
          <t>051-892-3938</t>
        </is>
      </c>
      <c r="H973" s="12">
        <f>어린이집!T594</f>
        <v/>
      </c>
      <c r="I973" s="5" t="inlineStr">
        <is>
          <t>만1세 4 / 영아혼합반 10 / 기타(연령구분 없음) 8</t>
        </is>
      </c>
    </row>
    <row r="974">
      <c r="A974" s="5" t="inlineStr">
        <is>
          <t>우리아이어린이집</t>
        </is>
      </c>
      <c r="B974" s="5" t="inlineStr">
        <is>
          <t>어린이집</t>
        </is>
      </c>
      <c r="C974" s="5" t="inlineStr">
        <is>
          <t>국공립</t>
        </is>
      </c>
      <c r="D974" s="5" t="inlineStr">
        <is>
          <t>부산진구</t>
        </is>
      </c>
      <c r="E974" s="5" t="inlineStr">
        <is>
          <t>부산광역시 부산진구 백양대로300번길 20 204동 102호(개금동,신개금엘지아파트)</t>
        </is>
      </c>
      <c r="F974" s="5" t="inlineStr"/>
      <c r="G974" s="5" t="inlineStr">
        <is>
          <t>051-892-2411</t>
        </is>
      </c>
      <c r="H974" s="12">
        <f>어린이집!T595</f>
        <v/>
      </c>
      <c r="I974" s="5" t="inlineStr">
        <is>
          <t>만0세 5 / 만1세 7 / 만2세 7 / 기타(연령구분 없음) 5</t>
        </is>
      </c>
    </row>
    <row r="975">
      <c r="A975" s="5" t="inlineStr">
        <is>
          <t>이솝어린이집</t>
        </is>
      </c>
      <c r="B975" s="5" t="inlineStr">
        <is>
          <t>어린이집</t>
        </is>
      </c>
      <c r="C975" s="5" t="inlineStr">
        <is>
          <t>민간</t>
        </is>
      </c>
      <c r="D975" s="5" t="inlineStr">
        <is>
          <t>부산진구</t>
        </is>
      </c>
      <c r="E975" s="5" t="inlineStr">
        <is>
          <t>부산광역시 부산진구 전포대로 294 102동 1층 보육시설 (전포동 ,서면한신아파트)</t>
        </is>
      </c>
      <c r="F975" s="5" t="inlineStr"/>
      <c r="G975" s="5" t="inlineStr">
        <is>
          <t>051-817-9436</t>
        </is>
      </c>
      <c r="H975" s="12">
        <f>어린이집!T596</f>
        <v/>
      </c>
      <c r="I975" s="5" t="inlineStr">
        <is>
          <t>만0세 9 / 만1세 9 / 만2세 6 / 영아혼합반 5 / 기타(연령구분 없음) 8</t>
        </is>
      </c>
    </row>
    <row r="976">
      <c r="A976" s="5" t="inlineStr">
        <is>
          <t>이진젠시티어린이집</t>
        </is>
      </c>
      <c r="B976" s="5" t="inlineStr">
        <is>
          <t>어린이집</t>
        </is>
      </c>
      <c r="C976" s="5" t="inlineStr">
        <is>
          <t>국공립</t>
        </is>
      </c>
      <c r="D976" s="5" t="inlineStr">
        <is>
          <t>부산진구</t>
        </is>
      </c>
      <c r="E976" s="5" t="inlineStr">
        <is>
          <t>부산광역시 부산진구 가야대로 497</t>
        </is>
      </c>
      <c r="F976" s="5" t="inlineStr"/>
      <c r="G976" s="5" t="inlineStr">
        <is>
          <t>051-893-7778</t>
        </is>
      </c>
      <c r="H976" s="12">
        <f>어린이집!T597</f>
        <v/>
      </c>
      <c r="I976" s="5" t="inlineStr">
        <is>
          <t>만0세 6 / 만1세 14 / 만2세 13 / 기타(연령구분 없음) 9</t>
        </is>
      </c>
    </row>
    <row r="977">
      <c r="A977" s="5" t="inlineStr">
        <is>
          <t>이편한세상시민공원어린이집</t>
        </is>
      </c>
      <c r="B977" s="5" t="inlineStr">
        <is>
          <t>어린이집</t>
        </is>
      </c>
      <c r="C977" s="5" t="inlineStr">
        <is>
          <t>국공립</t>
        </is>
      </c>
      <c r="D977" s="5" t="inlineStr">
        <is>
          <t>부산진구</t>
        </is>
      </c>
      <c r="E977" s="5" t="inlineStr">
        <is>
          <t>부산광역시 부산진구 진남로 455</t>
        </is>
      </c>
      <c r="F977" s="5" t="inlineStr"/>
      <c r="G977" s="5" t="inlineStr">
        <is>
          <t>051-808-2350</t>
        </is>
      </c>
      <c r="H977" s="12">
        <f>어린이집!T598</f>
        <v/>
      </c>
      <c r="I977" s="5" t="inlineStr">
        <is>
          <t>만1세 15 / 만2세 18 / 만3세 12 / 유아혼합반 12 / 장애아반(특수) 2 / 기타(연령구분 없음) 25</t>
        </is>
      </c>
    </row>
    <row r="978">
      <c r="A978" s="5" t="inlineStr">
        <is>
          <t>일신어린이집</t>
        </is>
      </c>
      <c r="B978" s="5" t="inlineStr">
        <is>
          <t>어린이집</t>
        </is>
      </c>
      <c r="C978" s="5" t="inlineStr">
        <is>
          <t>민간</t>
        </is>
      </c>
      <c r="D978" s="5" t="inlineStr">
        <is>
          <t>부산진구</t>
        </is>
      </c>
      <c r="E978" s="5" t="inlineStr">
        <is>
          <t>부산광역시 부산진구 전포대로246번길 36 (전포동)</t>
        </is>
      </c>
      <c r="F978" s="5" t="inlineStr"/>
      <c r="G978" s="5" t="inlineStr">
        <is>
          <t>051-809-5660</t>
        </is>
      </c>
      <c r="H978" s="12">
        <f>어린이집!T599</f>
        <v/>
      </c>
      <c r="I978" s="5" t="inlineStr">
        <is>
          <t>만0세 6 / 만1세 10 / 만2세 12 / 영아혼합반 3 / 유아혼합반 12 / 기타(연령구분 없음) 11</t>
        </is>
      </c>
    </row>
    <row r="979">
      <c r="A979" s="5" t="inlineStr">
        <is>
          <t>자이해뜨는어린이집</t>
        </is>
      </c>
      <c r="B979" s="5" t="inlineStr">
        <is>
          <t>어린이집</t>
        </is>
      </c>
      <c r="C979" s="5" t="inlineStr">
        <is>
          <t>민간</t>
        </is>
      </c>
      <c r="D979" s="5" t="inlineStr">
        <is>
          <t>부산진구</t>
        </is>
      </c>
      <c r="E979" s="5" t="inlineStr">
        <is>
          <t>부산광역시 부산진구 동평로183번길 67 자이1차아파트 104동 1층 관리동 (연지동)</t>
        </is>
      </c>
      <c r="F979" s="11" t="inlineStr">
        <is>
          <t>http://club.cyworld.com/lwsun6091</t>
        </is>
      </c>
      <c r="G979" s="5" t="inlineStr">
        <is>
          <t>051-802-1172</t>
        </is>
      </c>
      <c r="H979" s="12">
        <f>어린이집!T600</f>
        <v/>
      </c>
      <c r="I979" s="5" t="inlineStr">
        <is>
          <t>만0세 6 / 만1세 20 / 만2세 15 / 기타(연령구분 없음) 7</t>
        </is>
      </c>
    </row>
    <row r="980">
      <c r="A980" s="5" t="inlineStr">
        <is>
          <t>전포1동연수어린이집</t>
        </is>
      </c>
      <c r="B980" s="5" t="inlineStr">
        <is>
          <t>어린이집</t>
        </is>
      </c>
      <c r="C980" s="5" t="inlineStr">
        <is>
          <t>국공립</t>
        </is>
      </c>
      <c r="D980" s="5" t="inlineStr">
        <is>
          <t>부산진구</t>
        </is>
      </c>
      <c r="E980" s="5" t="inlineStr">
        <is>
          <t>부산광역시 부산진구 전포대로200번길 40 (전포동)</t>
        </is>
      </c>
      <c r="F980" s="5" t="inlineStr"/>
      <c r="G980" s="5" t="inlineStr">
        <is>
          <t>051-818-3678</t>
        </is>
      </c>
      <c r="H980" s="12">
        <f>어린이집!T601</f>
        <v/>
      </c>
      <c r="I980" s="5" t="inlineStr">
        <is>
          <t>만1세 15 / 만2세 21 / 만3세 16 / 만4세 9 / 만5세 11 / 기타(연령구분 없음) 13</t>
        </is>
      </c>
    </row>
    <row r="981">
      <c r="A981" s="5" t="inlineStr">
        <is>
          <t>전포꿈나라어린이집</t>
        </is>
      </c>
      <c r="B981" s="5" t="inlineStr">
        <is>
          <t>어린이집</t>
        </is>
      </c>
      <c r="C981" s="5" t="inlineStr">
        <is>
          <t>국공립</t>
        </is>
      </c>
      <c r="D981" s="5" t="inlineStr">
        <is>
          <t>부산진구</t>
        </is>
      </c>
      <c r="E981" s="5" t="inlineStr">
        <is>
          <t>부산광역시 부산진구 중앙대로 862 (전포동, 전포LH아파트)</t>
        </is>
      </c>
      <c r="F981" s="5" t="inlineStr"/>
      <c r="G981" s="5" t="inlineStr">
        <is>
          <t>051-808-1279</t>
        </is>
      </c>
      <c r="H981" s="12">
        <f>어린이집!T602</f>
        <v/>
      </c>
      <c r="I981" s="5" t="inlineStr">
        <is>
          <t>만1세 25 / 만2세 17 / 기타(연령구분 없음) 15</t>
        </is>
      </c>
    </row>
    <row r="982">
      <c r="A982" s="5" t="inlineStr">
        <is>
          <t>전포보람어린이집</t>
        </is>
      </c>
      <c r="B982" s="5" t="inlineStr">
        <is>
          <t>어린이집</t>
        </is>
      </c>
      <c r="C982" s="5" t="inlineStr">
        <is>
          <t>국공립</t>
        </is>
      </c>
      <c r="D982" s="5" t="inlineStr">
        <is>
          <t>부산진구</t>
        </is>
      </c>
      <c r="E982" s="5" t="inlineStr">
        <is>
          <t>부산광역시 부산진구 진남로 279  (전포동)</t>
        </is>
      </c>
      <c r="F982" s="5" t="inlineStr"/>
      <c r="G982" s="5" t="inlineStr">
        <is>
          <t>051-637-2594</t>
        </is>
      </c>
      <c r="H982" s="12">
        <f>어린이집!T603</f>
        <v/>
      </c>
      <c r="I982" s="5" t="inlineStr">
        <is>
          <t>만0세 8 / 만1세 14 / 만2세 20 / 유아혼합반 14 / 기타(연령구분 없음) 4</t>
        </is>
      </c>
    </row>
    <row r="983">
      <c r="A983" s="5" t="inlineStr">
        <is>
          <t>전포하나어린이집</t>
        </is>
      </c>
      <c r="B983" s="5" t="inlineStr">
        <is>
          <t>어린이집</t>
        </is>
      </c>
      <c r="C983" s="5" t="inlineStr">
        <is>
          <t>국공립</t>
        </is>
      </c>
      <c r="D983" s="5" t="inlineStr">
        <is>
          <t>부산진구</t>
        </is>
      </c>
      <c r="E983" s="5" t="inlineStr">
        <is>
          <t>부산광역시 부산진구 서전로58번길 145</t>
        </is>
      </c>
      <c r="F983" s="5" t="inlineStr"/>
      <c r="G983" s="5" t="inlineStr">
        <is>
          <t>051-808-4688</t>
        </is>
      </c>
      <c r="H983" s="12">
        <f>어린이집!T604</f>
        <v/>
      </c>
      <c r="I983" s="5" t="inlineStr">
        <is>
          <t>만1세 10 / 만2세 11 / 영아혼합반 6 / 기타(연령구분 없음) 5</t>
        </is>
      </c>
    </row>
    <row r="984">
      <c r="A984" s="5" t="inlineStr">
        <is>
          <t>지혜어린이집</t>
        </is>
      </c>
      <c r="B984" s="5" t="inlineStr">
        <is>
          <t>어린이집</t>
        </is>
      </c>
      <c r="C984" s="5" t="inlineStr">
        <is>
          <t>가정</t>
        </is>
      </c>
      <c r="D984" s="5" t="inlineStr">
        <is>
          <t>부산진구</t>
        </is>
      </c>
      <c r="E984" s="5" t="inlineStr">
        <is>
          <t>부산광역시 부산진구 백양관문로 10 303동 105호(당감동, 개금주공3단지아파트)</t>
        </is>
      </c>
      <c r="F984" s="11" t="inlineStr">
        <is>
          <t>http://http;///cafe.naver.co./jhyekids</t>
        </is>
      </c>
      <c r="G984" s="5" t="inlineStr">
        <is>
          <t>051-896-9138</t>
        </is>
      </c>
      <c r="H984" s="12">
        <f>어린이집!T605</f>
        <v/>
      </c>
      <c r="I984" s="5" t="inlineStr">
        <is>
          <t>영아혼합반 2</t>
        </is>
      </c>
    </row>
    <row r="985">
      <c r="A985" s="5" t="inlineStr">
        <is>
          <t>참좋은어린이집</t>
        </is>
      </c>
      <c r="B985" s="5" t="inlineStr">
        <is>
          <t>어린이집</t>
        </is>
      </c>
      <c r="C985" s="5" t="inlineStr">
        <is>
          <t>가정</t>
        </is>
      </c>
      <c r="D985" s="5" t="inlineStr">
        <is>
          <t>부산진구</t>
        </is>
      </c>
      <c r="E985" s="5" t="inlineStr">
        <is>
          <t>부산광역시 부산진구 동평로 352 108동 101호 (양정동, 현대아파트)</t>
        </is>
      </c>
      <c r="F985" s="5" t="inlineStr"/>
      <c r="G985" s="5" t="inlineStr">
        <is>
          <t>051-865-7621</t>
        </is>
      </c>
      <c r="H985" s="12">
        <f>어린이집!T606</f>
        <v/>
      </c>
      <c r="I985" s="5" t="inlineStr">
        <is>
          <t>만0세 8 / 만2세 4 / 영아혼합반 5 / 기타(연령구분 없음) 4</t>
        </is>
      </c>
    </row>
    <row r="986">
      <c r="A986" s="5" t="inlineStr">
        <is>
          <t>천사어린이집</t>
        </is>
      </c>
      <c r="B986" s="5" t="inlineStr">
        <is>
          <t>어린이집</t>
        </is>
      </c>
      <c r="C986" s="5" t="inlineStr">
        <is>
          <t>가정</t>
        </is>
      </c>
      <c r="D986" s="5" t="inlineStr">
        <is>
          <t>부산진구</t>
        </is>
      </c>
      <c r="E986" s="5" t="inlineStr">
        <is>
          <t>부산광역시 부산진구 전포대로171번길 13 116호(전포동, 한일유앤아이)</t>
        </is>
      </c>
      <c r="F986" s="5" t="inlineStr"/>
      <c r="G986" s="5" t="inlineStr">
        <is>
          <t>070-8638-1153</t>
        </is>
      </c>
      <c r="H986" s="12">
        <f>어린이집!T607</f>
        <v/>
      </c>
      <c r="I986" s="5" t="inlineStr">
        <is>
          <t>만0세 4 / 만1세 4 / 만2세 6 / 기타(연령구분 없음) 3</t>
        </is>
      </c>
    </row>
    <row r="987">
      <c r="A987" s="5" t="inlineStr">
        <is>
          <t>초예어린이집</t>
        </is>
      </c>
      <c r="B987" s="5" t="inlineStr">
        <is>
          <t>어린이집</t>
        </is>
      </c>
      <c r="C987" s="5" t="inlineStr">
        <is>
          <t>민간</t>
        </is>
      </c>
      <c r="D987" s="5" t="inlineStr">
        <is>
          <t>부산진구</t>
        </is>
      </c>
      <c r="E987" s="5" t="inlineStr">
        <is>
          <t>부산광역시 부산진구 월드컵대로449번길 44-6 (초읍동)</t>
        </is>
      </c>
      <c r="F987" s="11" t="inlineStr">
        <is>
          <t>http://dmsdud3927@naver.com</t>
        </is>
      </c>
      <c r="G987" s="5" t="inlineStr">
        <is>
          <t>051-803-7644</t>
        </is>
      </c>
      <c r="H987" s="12">
        <f>어린이집!T608</f>
        <v/>
      </c>
      <c r="I987" s="5" t="inlineStr">
        <is>
          <t>만0세 9 / 만1세 15 / 만2세 21 / 기타(연령구분 없음) 8</t>
        </is>
      </c>
    </row>
    <row r="988">
      <c r="A988" s="5" t="inlineStr">
        <is>
          <t>초원사랑어린이집</t>
        </is>
      </c>
      <c r="B988" s="5" t="inlineStr">
        <is>
          <t>어린이집</t>
        </is>
      </c>
      <c r="C988" s="5" t="inlineStr">
        <is>
          <t>민간</t>
        </is>
      </c>
      <c r="D988" s="5" t="inlineStr">
        <is>
          <t>부산진구</t>
        </is>
      </c>
      <c r="E988" s="5" t="inlineStr">
        <is>
          <t>부산광역시 부산진구 가야대로 635-20 태화현대아파트 1단지내 (당감동)</t>
        </is>
      </c>
      <c r="F988" s="5" t="inlineStr"/>
      <c r="G988" s="5" t="inlineStr">
        <is>
          <t>051-893-6900</t>
        </is>
      </c>
      <c r="H988" s="12">
        <f>어린이집!T609</f>
        <v/>
      </c>
      <c r="I988" s="5" t="inlineStr">
        <is>
          <t>만0세 3 / 만1세 10 / 만2세 13 / 만3세 10 / 기타(연령구분 없음) 5</t>
        </is>
      </c>
    </row>
    <row r="989">
      <c r="A989" s="5" t="inlineStr">
        <is>
          <t>초읍소현어린이집</t>
        </is>
      </c>
      <c r="B989" s="5" t="inlineStr">
        <is>
          <t>어린이집</t>
        </is>
      </c>
      <c r="C989" s="5" t="inlineStr">
        <is>
          <t>국공립</t>
        </is>
      </c>
      <c r="D989" s="5" t="inlineStr">
        <is>
          <t>부산진구</t>
        </is>
      </c>
      <c r="E989" s="5" t="inlineStr">
        <is>
          <t>부산광역시 부산진구 성지곡로 43-13 (초읍동)</t>
        </is>
      </c>
      <c r="F989" s="11" t="inlineStr">
        <is>
          <t>http://www.daum.net/sohyunkidgarden</t>
        </is>
      </c>
      <c r="G989" s="5" t="inlineStr">
        <is>
          <t>051-808-9363</t>
        </is>
      </c>
      <c r="H989" s="12">
        <f>어린이집!T610</f>
        <v/>
      </c>
      <c r="I989" s="5" t="inlineStr">
        <is>
          <t>만1세 10 / 만2세 7 / 만3세 16 / 유아혼합반 20 / 기타(연령구분 없음) 8</t>
        </is>
      </c>
    </row>
    <row r="990">
      <c r="A990" s="5" t="inlineStr">
        <is>
          <t>칸타빌어린이집</t>
        </is>
      </c>
      <c r="B990" s="5" t="inlineStr">
        <is>
          <t>어린이집</t>
        </is>
      </c>
      <c r="C990" s="5" t="inlineStr">
        <is>
          <t>민간</t>
        </is>
      </c>
      <c r="D990" s="5" t="inlineStr">
        <is>
          <t>부산진구</t>
        </is>
      </c>
      <c r="E990" s="5" t="inlineStr">
        <is>
          <t>부산광역시 부산진구 거제대로 26 대원칸타빌멤버스아파트 106동 관리동 (양정동)</t>
        </is>
      </c>
      <c r="F990" s="5" t="inlineStr"/>
      <c r="G990" s="5" t="inlineStr">
        <is>
          <t>051-900-8333</t>
        </is>
      </c>
      <c r="H990" s="12">
        <f>어린이집!T611</f>
        <v/>
      </c>
      <c r="I990" s="5" t="inlineStr">
        <is>
          <t>만0세 3 / 만1세 20 / 만2세 14 / 기타(연령구분 없음) 9</t>
        </is>
      </c>
    </row>
    <row r="991">
      <c r="A991" s="5" t="inlineStr">
        <is>
          <t>캥마쿵쿵어린이집</t>
        </is>
      </c>
      <c r="B991" s="5" t="inlineStr">
        <is>
          <t>어린이집</t>
        </is>
      </c>
      <c r="C991" s="5" t="inlineStr">
        <is>
          <t>협동</t>
        </is>
      </c>
      <c r="D991" s="5" t="inlineStr">
        <is>
          <t>부산진구</t>
        </is>
      </c>
      <c r="E991" s="5" t="inlineStr">
        <is>
          <t>부산광역시 부산진구 백양산로 70 공동주택관리동</t>
        </is>
      </c>
      <c r="F991" s="11" t="inlineStr">
        <is>
          <t>https://cafe.naver.com/kmkungkung</t>
        </is>
      </c>
      <c r="G991" s="5" t="inlineStr">
        <is>
          <t>051-803-0805</t>
        </is>
      </c>
      <c r="H991" s="12">
        <f>어린이집!T612</f>
        <v/>
      </c>
      <c r="I991" s="5" t="inlineStr">
        <is>
          <t>영아혼합반 4 / 유아혼합반 7 / 기타(연령구분 없음) 4</t>
        </is>
      </c>
    </row>
    <row r="992">
      <c r="A992" s="5" t="inlineStr">
        <is>
          <t>코레일부산어린이집</t>
        </is>
      </c>
      <c r="B992" s="5" t="inlineStr">
        <is>
          <t>어린이집</t>
        </is>
      </c>
      <c r="C992" s="5" t="inlineStr">
        <is>
          <t>직장</t>
        </is>
      </c>
      <c r="D992" s="5" t="inlineStr">
        <is>
          <t>부산진구</t>
        </is>
      </c>
      <c r="E992" s="5" t="inlineStr">
        <is>
          <t>부산광역시 부산진구 백양대로 49  (당감동)</t>
        </is>
      </c>
      <c r="F992" s="11" t="inlineStr">
        <is>
          <t>http://www.puruni.com/korailpusan</t>
        </is>
      </c>
      <c r="G992" s="5" t="inlineStr">
        <is>
          <t>051-896-3325</t>
        </is>
      </c>
      <c r="H992" s="12">
        <f>어린이집!T613</f>
        <v/>
      </c>
      <c r="I992" s="5" t="inlineStr">
        <is>
          <t>만1세 7 / 만2세 8 / 만3세 11 / 유아혼합반 3 / 기타(연령구분 없음) 22</t>
        </is>
      </c>
    </row>
    <row r="993">
      <c r="A993" s="5" t="inlineStr">
        <is>
          <t>키즈웰어린이집</t>
        </is>
      </c>
      <c r="B993" s="5" t="inlineStr">
        <is>
          <t>어린이집</t>
        </is>
      </c>
      <c r="C993" s="5" t="inlineStr">
        <is>
          <t>민간</t>
        </is>
      </c>
      <c r="D993" s="5" t="inlineStr">
        <is>
          <t>부산진구</t>
        </is>
      </c>
      <c r="E993" s="5" t="inlineStr">
        <is>
          <t>부산광역시 부산진구 초연로 11 연지동 연지자이2차아파트 관리동</t>
        </is>
      </c>
      <c r="F993" s="5" t="inlineStr"/>
      <c r="G993" s="5" t="inlineStr">
        <is>
          <t>051-816-3296</t>
        </is>
      </c>
      <c r="H993" s="12">
        <f>어린이집!T614</f>
        <v/>
      </c>
      <c r="I993" s="5" t="inlineStr">
        <is>
          <t>만0세 6 / 만1세 20 / 만2세 21 / 기타(연령구분 없음) 5</t>
        </is>
      </c>
    </row>
    <row r="994">
      <c r="A994" s="5" t="inlineStr">
        <is>
          <t>파크스위트어린이집</t>
        </is>
      </c>
      <c r="B994" s="5" t="inlineStr">
        <is>
          <t>어린이집</t>
        </is>
      </c>
      <c r="C994" s="5" t="inlineStr">
        <is>
          <t>국공립</t>
        </is>
      </c>
      <c r="D994" s="5" t="inlineStr">
        <is>
          <t>부산진구</t>
        </is>
      </c>
      <c r="E994" s="5" t="inlineStr">
        <is>
          <t>부산광역시 부산진구 동평로 162 312동 1층(부암동,서면동일파크스위트3차 아파트)</t>
        </is>
      </c>
      <c r="F994" s="5" t="inlineStr"/>
      <c r="G994" s="5" t="inlineStr">
        <is>
          <t>051-802-0368</t>
        </is>
      </c>
      <c r="H994" s="12">
        <f>어린이집!T615</f>
        <v/>
      </c>
      <c r="I994" s="5" t="inlineStr">
        <is>
          <t>만0세 4 / 만1세 28 / 만2세 14 / 기타(연령구분 없음) 5</t>
        </is>
      </c>
    </row>
    <row r="995">
      <c r="A995" s="5" t="inlineStr">
        <is>
          <t>포레나숲어린이집</t>
        </is>
      </c>
      <c r="B995" s="5" t="inlineStr">
        <is>
          <t>어린이집</t>
        </is>
      </c>
      <c r="C995" s="5" t="inlineStr">
        <is>
          <t>국공립</t>
        </is>
      </c>
      <c r="D995" s="5" t="inlineStr">
        <is>
          <t>부산진구</t>
        </is>
      </c>
      <c r="E995" s="5" t="inlineStr">
        <is>
          <t>부산광역시 부산진구 초연로 6 포레나부산초읍</t>
        </is>
      </c>
      <c r="F995" s="5" t="inlineStr"/>
      <c r="G995" s="5" t="inlineStr">
        <is>
          <t>051-710-1711</t>
        </is>
      </c>
      <c r="H995" s="12">
        <f>어린이집!T616</f>
        <v/>
      </c>
      <c r="I995" s="5" t="inlineStr">
        <is>
          <t>만1세 16 / 만2세 24</t>
        </is>
      </c>
    </row>
    <row r="996">
      <c r="A996" s="5" t="inlineStr">
        <is>
          <t>피터팬어린이집</t>
        </is>
      </c>
      <c r="B996" s="5" t="inlineStr">
        <is>
          <t>어린이집</t>
        </is>
      </c>
      <c r="C996" s="5" t="inlineStr">
        <is>
          <t>가정</t>
        </is>
      </c>
      <c r="D996" s="5" t="inlineStr">
        <is>
          <t>부산진구</t>
        </is>
      </c>
      <c r="E996" s="5" t="inlineStr">
        <is>
          <t>부산광역시 부산진구 백양관문로77번길 55 104동 108호(개금동, 동원화인아파트)</t>
        </is>
      </c>
      <c r="F996" s="5" t="inlineStr"/>
      <c r="G996" s="5" t="inlineStr">
        <is>
          <t>051-896-7131</t>
        </is>
      </c>
      <c r="H996" s="12">
        <f>어린이집!T617</f>
        <v/>
      </c>
      <c r="I996" s="5" t="inlineStr">
        <is>
          <t>만0세 3 / 만1세 4 / 만2세 10 / 기타(연령구분 없음) 3</t>
        </is>
      </c>
    </row>
    <row r="997">
      <c r="A997" s="5" t="inlineStr">
        <is>
          <t>하늘채포레스원어린이집</t>
        </is>
      </c>
      <c r="B997" s="5" t="inlineStr">
        <is>
          <t>어린이집</t>
        </is>
      </c>
      <c r="C997" s="5" t="inlineStr">
        <is>
          <t>국공립</t>
        </is>
      </c>
      <c r="D997" s="5" t="inlineStr">
        <is>
          <t>부산진구</t>
        </is>
      </c>
      <c r="E997" s="5" t="inlineStr">
        <is>
          <t>부산광역시 부산진구 성지로 117 초읍하늘채포레스원아파트</t>
        </is>
      </c>
      <c r="F997" s="5" t="inlineStr"/>
      <c r="G997" s="5" t="inlineStr">
        <is>
          <t>051-711-5901</t>
        </is>
      </c>
      <c r="H997" s="12">
        <f>어린이집!T618</f>
        <v/>
      </c>
      <c r="I997" s="5" t="inlineStr">
        <is>
          <t>만1세 22 / 만2세 27 / 만3세 8 / 기타(연령구분 없음) 17</t>
        </is>
      </c>
    </row>
    <row r="998">
      <c r="A998" s="5" t="inlineStr">
        <is>
          <t>한국어린이집</t>
        </is>
      </c>
      <c r="B998" s="5" t="inlineStr">
        <is>
          <t>어린이집</t>
        </is>
      </c>
      <c r="C998" s="5" t="inlineStr">
        <is>
          <t>민간</t>
        </is>
      </c>
      <c r="D998" s="5" t="inlineStr">
        <is>
          <t>부산진구</t>
        </is>
      </c>
      <c r="E998" s="5" t="inlineStr">
        <is>
          <t>부산광역시 부산진구 동평로94번길 39 (당감동)</t>
        </is>
      </c>
      <c r="F998" s="5" t="inlineStr"/>
      <c r="G998" s="5" t="inlineStr">
        <is>
          <t>051-898-0077</t>
        </is>
      </c>
      <c r="H998" s="12">
        <f>어린이집!T619</f>
        <v/>
      </c>
      <c r="I998" s="5" t="inlineStr">
        <is>
          <t>만0세 12 / 만1세 17 / 만2세 16 / 만3세 6 / 유아혼합반 11 / 기타(연령구분 없음) 5</t>
        </is>
      </c>
    </row>
    <row r="999">
      <c r="A999" s="5" t="inlineStr">
        <is>
          <t>한나어린이집</t>
        </is>
      </c>
      <c r="B999" s="5" t="inlineStr">
        <is>
          <t>어린이집</t>
        </is>
      </c>
      <c r="C999" s="5" t="inlineStr">
        <is>
          <t>민간</t>
        </is>
      </c>
      <c r="D999" s="5" t="inlineStr">
        <is>
          <t>부산진구</t>
        </is>
      </c>
      <c r="E999" s="5" t="inlineStr">
        <is>
          <t>부산광역시 부산진구 가야대로755번길 70 (부전동)</t>
        </is>
      </c>
      <c r="F999" s="11" t="inlineStr">
        <is>
          <t>http://http;//www.kmj830857@naver.com</t>
        </is>
      </c>
      <c r="G999" s="5" t="inlineStr">
        <is>
          <t>051-802-0020</t>
        </is>
      </c>
      <c r="H999" s="12">
        <f>어린이집!T620</f>
        <v/>
      </c>
      <c r="I999" s="5" t="inlineStr">
        <is>
          <t>만0세 10 / 만1세 13 / 만2세 14 / 만3세 17 / 유아혼합반 18 / 기타(연령구분 없음) 12</t>
        </is>
      </c>
    </row>
    <row r="1000">
      <c r="A1000" s="5" t="inlineStr">
        <is>
          <t>한솔어린이집</t>
        </is>
      </c>
      <c r="B1000" s="5" t="inlineStr">
        <is>
          <t>어린이집</t>
        </is>
      </c>
      <c r="C1000" s="5" t="inlineStr">
        <is>
          <t>민간</t>
        </is>
      </c>
      <c r="D1000" s="5" t="inlineStr">
        <is>
          <t>부산진구</t>
        </is>
      </c>
      <c r="E1000" s="5" t="inlineStr">
        <is>
          <t>부산광역시 부산진구 가야공원로40번길 10 (가야동)</t>
        </is>
      </c>
      <c r="F1000" s="5" t="inlineStr"/>
      <c r="G1000" s="5" t="inlineStr">
        <is>
          <t>051-893-0861</t>
        </is>
      </c>
      <c r="H1000" s="12">
        <f>어린이집!T621</f>
        <v/>
      </c>
      <c r="I1000" s="5" t="inlineStr">
        <is>
          <t>만0세 2 / 만2세 5 / 영아혼합반 2 / 기타(연령구분 없음) 6</t>
        </is>
      </c>
    </row>
    <row r="1001">
      <c r="A1001" s="5" t="inlineStr">
        <is>
          <t>해그림어린이집</t>
        </is>
      </c>
      <c r="B1001" s="5" t="inlineStr">
        <is>
          <t>어린이집</t>
        </is>
      </c>
      <c r="C1001" s="5" t="inlineStr">
        <is>
          <t>가정</t>
        </is>
      </c>
      <c r="D1001" s="5" t="inlineStr">
        <is>
          <t>부산진구</t>
        </is>
      </c>
      <c r="E1001" s="5" t="inlineStr">
        <is>
          <t>부산광역시 부산진구 복지로 70 개금2동 현대아이아파트 215동104호</t>
        </is>
      </c>
      <c r="F1001" s="5" t="inlineStr"/>
      <c r="G1001" s="5" t="inlineStr">
        <is>
          <t>051-898-3336</t>
        </is>
      </c>
      <c r="H1001" s="12">
        <f>어린이집!T622</f>
        <v/>
      </c>
      <c r="I1001" s="5" t="inlineStr">
        <is>
          <t>만0세 2 / 만1세 5 / 만2세 7 / 기타(연령구분 없음) 5</t>
        </is>
      </c>
    </row>
    <row r="1002">
      <c r="A1002" s="5" t="inlineStr">
        <is>
          <t>해바라기어린이집</t>
        </is>
      </c>
      <c r="B1002" s="5" t="inlineStr">
        <is>
          <t>어린이집</t>
        </is>
      </c>
      <c r="C1002" s="5" t="inlineStr">
        <is>
          <t>민간</t>
        </is>
      </c>
      <c r="D1002" s="5" t="inlineStr">
        <is>
          <t>부산진구</t>
        </is>
      </c>
      <c r="E1002" s="5" t="inlineStr">
        <is>
          <t>부산광역시 부산진구 개금본동로9번길 41 (개금동)</t>
        </is>
      </c>
      <c r="F1002" s="5" t="inlineStr"/>
      <c r="G1002" s="5" t="inlineStr">
        <is>
          <t>051-892-5400</t>
        </is>
      </c>
      <c r="H1002" s="12">
        <f>어린이집!T623</f>
        <v/>
      </c>
      <c r="I1002" s="5" t="inlineStr">
        <is>
          <t>만0세 7 / 만1세 14 / 만2세 20 / 만3세 17 / 기타(연령구분 없음) 5</t>
        </is>
      </c>
    </row>
    <row r="1003">
      <c r="A1003" s="5" t="inlineStr">
        <is>
          <t>해피아이어린이집</t>
        </is>
      </c>
      <c r="B1003" s="5" t="inlineStr">
        <is>
          <t>어린이집</t>
        </is>
      </c>
      <c r="C1003" s="5" t="inlineStr">
        <is>
          <t>민간</t>
        </is>
      </c>
      <c r="D1003" s="5" t="inlineStr">
        <is>
          <t>부산진구</t>
        </is>
      </c>
      <c r="E1003" s="5" t="inlineStr">
        <is>
          <t>부산광역시 부산진구 가야대로 702 서면e편한세상 관리동 (범천동)</t>
        </is>
      </c>
      <c r="F1003" s="5" t="inlineStr"/>
      <c r="G1003" s="5" t="inlineStr">
        <is>
          <t>051-819-6654</t>
        </is>
      </c>
      <c r="H1003" s="12">
        <f>어린이집!T624</f>
        <v/>
      </c>
      <c r="I1003" s="5" t="inlineStr">
        <is>
          <t>만0세 8 / 만1세 13 / 만2세 14 / 기타(연령구분 없음) 3</t>
        </is>
      </c>
    </row>
    <row r="1004">
      <c r="A1004" s="5" t="inlineStr">
        <is>
          <t>햇살나무어린이집</t>
        </is>
      </c>
      <c r="B1004" s="5" t="inlineStr">
        <is>
          <t>어린이집</t>
        </is>
      </c>
      <c r="C1004" s="5" t="inlineStr">
        <is>
          <t>가정</t>
        </is>
      </c>
      <c r="D1004" s="5" t="inlineStr">
        <is>
          <t>부산진구</t>
        </is>
      </c>
      <c r="E1004" s="5" t="inlineStr">
        <is>
          <t>부산광역시 부산진구 동평로291번길 30 103-103(연지, 화인연지)</t>
        </is>
      </c>
      <c r="F1004" s="5" t="inlineStr"/>
      <c r="G1004" s="5" t="inlineStr">
        <is>
          <t>051-924-0034</t>
        </is>
      </c>
      <c r="H1004" s="12">
        <f>어린이집!T625</f>
        <v/>
      </c>
      <c r="I1004" s="5" t="inlineStr">
        <is>
          <t>만0세 3 / 만1세 5 / 영아혼합반 5 / 기타(연령구분 없음) 3</t>
        </is>
      </c>
    </row>
    <row r="1005">
      <c r="A1005" s="5" t="inlineStr">
        <is>
          <t>햇살어린이집</t>
        </is>
      </c>
      <c r="B1005" s="5" t="inlineStr">
        <is>
          <t>어린이집</t>
        </is>
      </c>
      <c r="C1005" s="5" t="inlineStr">
        <is>
          <t>가정</t>
        </is>
      </c>
      <c r="D1005" s="5" t="inlineStr">
        <is>
          <t>부산진구</t>
        </is>
      </c>
      <c r="E1005" s="5" t="inlineStr">
        <is>
          <t>부산광역시 부산진구 백양관문로 104 8동 101호 (당감동, 국제백양아파트)</t>
        </is>
      </c>
      <c r="F1005" s="5" t="inlineStr"/>
      <c r="G1005" s="5" t="inlineStr">
        <is>
          <t>051-897-7127</t>
        </is>
      </c>
      <c r="H1005" s="12">
        <f>어린이집!T626</f>
        <v/>
      </c>
      <c r="I1005" s="5" t="inlineStr">
        <is>
          <t>만0세 1 / 만2세 5 / 기타(연령구분 없음) 5</t>
        </is>
      </c>
    </row>
    <row r="1006">
      <c r="A1006" s="5" t="inlineStr">
        <is>
          <t>행복한어린이집</t>
        </is>
      </c>
      <c r="B1006" s="5" t="inlineStr">
        <is>
          <t>어린이집</t>
        </is>
      </c>
      <c r="C1006" s="5" t="inlineStr">
        <is>
          <t>민간</t>
        </is>
      </c>
      <c r="D1006" s="5" t="inlineStr">
        <is>
          <t>부산진구</t>
        </is>
      </c>
      <c r="E1006" s="5" t="inlineStr">
        <is>
          <t>부산광역시 부산진구 가야대로668번길 13 (가야동)</t>
        </is>
      </c>
      <c r="F1006" s="5" t="inlineStr"/>
      <c r="G1006" s="5" t="inlineStr">
        <is>
          <t>051-891-3464</t>
        </is>
      </c>
      <c r="H1006" s="12">
        <f>어린이집!T627</f>
        <v/>
      </c>
      <c r="I1006" s="5" t="inlineStr">
        <is>
          <t>만0세 6 / 만1세 4 / 만2세 4 / 기타(연령구분 없음) 3</t>
        </is>
      </c>
    </row>
    <row r="1007">
      <c r="A1007" s="5" t="inlineStr">
        <is>
          <t>향기어린이집</t>
        </is>
      </c>
      <c r="B1007" s="5" t="inlineStr">
        <is>
          <t>어린이집</t>
        </is>
      </c>
      <c r="C1007" s="5" t="inlineStr">
        <is>
          <t>사회복지법인</t>
        </is>
      </c>
      <c r="D1007" s="5" t="inlineStr">
        <is>
          <t>부산진구</t>
        </is>
      </c>
      <c r="E1007" s="5" t="inlineStr">
        <is>
          <t>부산광역시 부산진구 백양대로136번길 37-20  (당감동)</t>
        </is>
      </c>
      <c r="F1007" s="11" t="inlineStr">
        <is>
          <t>http://cafe.naver.com/gidrl8952345</t>
        </is>
      </c>
      <c r="G1007" s="5" t="inlineStr">
        <is>
          <t>051-895-2345</t>
        </is>
      </c>
      <c r="H1007" s="12">
        <f>어린이집!T628</f>
        <v/>
      </c>
      <c r="I1007" s="5" t="inlineStr">
        <is>
          <t>장애아반(특수) 29 / 기타(연령구분 없음) 3</t>
        </is>
      </c>
    </row>
    <row r="1008">
      <c r="A1008" s="5" t="inlineStr">
        <is>
          <t>현대아이어린이집</t>
        </is>
      </c>
      <c r="B1008" s="5" t="inlineStr">
        <is>
          <t>어린이집</t>
        </is>
      </c>
      <c r="C1008" s="5" t="inlineStr">
        <is>
          <t>가정</t>
        </is>
      </c>
      <c r="D1008" s="5" t="inlineStr">
        <is>
          <t>부산진구</t>
        </is>
      </c>
      <c r="E1008" s="5" t="inlineStr">
        <is>
          <t>부산광역시 부산진구 복지로 70 207동 101호(개금동, 현대아이아파트)</t>
        </is>
      </c>
      <c r="F1008" s="5" t="inlineStr"/>
      <c r="G1008" s="5" t="inlineStr">
        <is>
          <t>051-897-6073</t>
        </is>
      </c>
      <c r="H1008" s="12">
        <f>어린이집!T629</f>
        <v/>
      </c>
      <c r="I1008" s="5" t="inlineStr">
        <is>
          <t>만0세 3 / 만1세 5 / 만2세 7 / 영아혼합반 4 / 기타(연령구분 없음) 5</t>
        </is>
      </c>
    </row>
    <row r="1009">
      <c r="A1009" s="5" t="inlineStr">
        <is>
          <t>화승어린이집</t>
        </is>
      </c>
      <c r="B1009" s="5" t="inlineStr">
        <is>
          <t>어린이집</t>
        </is>
      </c>
      <c r="C1009" s="5" t="inlineStr">
        <is>
          <t>민간</t>
        </is>
      </c>
      <c r="D1009" s="5" t="inlineStr">
        <is>
          <t>부산진구</t>
        </is>
      </c>
      <c r="E1009" s="5" t="inlineStr">
        <is>
          <t>부산광역시 부산진구 당감로 79 화승삼성아파트 관리동 내 (부암동)</t>
        </is>
      </c>
      <c r="F1009" s="5" t="inlineStr"/>
      <c r="G1009" s="5" t="inlineStr">
        <is>
          <t>051-819-3306</t>
        </is>
      </c>
      <c r="H1009" s="12">
        <f>어린이집!T630</f>
        <v/>
      </c>
      <c r="I1009" s="5" t="inlineStr">
        <is>
          <t>만1세 10 / 만2세 35</t>
        </is>
      </c>
    </row>
    <row r="1010">
      <c r="A1010" s="5" t="inlineStr">
        <is>
          <t>휴포레어린이집</t>
        </is>
      </c>
      <c r="B1010" s="5" t="inlineStr">
        <is>
          <t>어린이집</t>
        </is>
      </c>
      <c r="C1010" s="5" t="inlineStr">
        <is>
          <t>국공립</t>
        </is>
      </c>
      <c r="D1010" s="5" t="inlineStr">
        <is>
          <t>부산진구</t>
        </is>
      </c>
      <c r="E1010" s="5" t="inlineStr">
        <is>
          <t>부산광역시 부산진구 동평로 173 협성휴포레시티즌파크</t>
        </is>
      </c>
      <c r="F1010" s="5" t="inlineStr"/>
      <c r="G1010" s="5" t="inlineStr">
        <is>
          <t>051-807-0727</t>
        </is>
      </c>
      <c r="H1010" s="12">
        <f>어린이집!T631</f>
        <v/>
      </c>
      <c r="I1010" s="5" t="inlineStr">
        <is>
          <t>만0세 5 / 만1세 15 / 만2세 19 / 기타(연령구분 없음) 5</t>
        </is>
      </c>
    </row>
    <row r="1011">
      <c r="A1011" s="5" t="inlineStr">
        <is>
          <t>21세기어린이집</t>
        </is>
      </c>
      <c r="B1011" s="5" t="inlineStr">
        <is>
          <t>어린이집</t>
        </is>
      </c>
      <c r="C1011" s="5" t="inlineStr">
        <is>
          <t>민간</t>
        </is>
      </c>
      <c r="D1011" s="5" t="inlineStr">
        <is>
          <t>북구</t>
        </is>
      </c>
      <c r="E1011" s="5" t="inlineStr">
        <is>
          <t>부산광역시 북구 금곡대로330번길 20 (화명동)</t>
        </is>
      </c>
      <c r="F1011" s="5" t="inlineStr"/>
      <c r="G1011" s="5" t="inlineStr">
        <is>
          <t>051-343-5201</t>
        </is>
      </c>
      <c r="H1011" s="12">
        <f>어린이집!T632</f>
        <v/>
      </c>
      <c r="I1011" s="5" t="inlineStr">
        <is>
          <t>만2세 14 / 만3세 47 / 기타(연령구분 없음) 22</t>
        </is>
      </c>
    </row>
    <row r="1012">
      <c r="A1012" s="5" t="inlineStr">
        <is>
          <t>e편한세상 금정산어린이집</t>
        </is>
      </c>
      <c r="B1012" s="5" t="inlineStr">
        <is>
          <t>어린이집</t>
        </is>
      </c>
      <c r="C1012" s="5" t="inlineStr">
        <is>
          <t>국공립</t>
        </is>
      </c>
      <c r="D1012" s="5" t="inlineStr">
        <is>
          <t>북구</t>
        </is>
      </c>
      <c r="E1012" s="5" t="inlineStr">
        <is>
          <t>부산광역시 북구 상학로 36 관리동</t>
        </is>
      </c>
      <c r="F1012" s="5" t="inlineStr"/>
      <c r="G1012" s="5" t="inlineStr">
        <is>
          <t>051-989-2021</t>
        </is>
      </c>
      <c r="H1012" s="12">
        <f>어린이집!T633</f>
        <v/>
      </c>
      <c r="I1012" s="5" t="inlineStr">
        <is>
          <t>만1세 15 / 만2세 19 / 만3세 11 / 만4세 17 / 만5세 12 / 기타(연령구분 없음) 5</t>
        </is>
      </c>
    </row>
    <row r="1013">
      <c r="A1013" s="5" t="inlineStr">
        <is>
          <t>가빈어린이집</t>
        </is>
      </c>
      <c r="B1013" s="5" t="inlineStr">
        <is>
          <t>어린이집</t>
        </is>
      </c>
      <c r="C1013" s="5" t="inlineStr">
        <is>
          <t>민간</t>
        </is>
      </c>
      <c r="D1013" s="5" t="inlineStr">
        <is>
          <t>북구</t>
        </is>
      </c>
      <c r="E1013" s="5" t="inlineStr">
        <is>
          <t>부산광역시 북구 만덕3로 19-1 (만덕동)</t>
        </is>
      </c>
      <c r="F1013" s="5" t="inlineStr"/>
      <c r="G1013" s="5" t="inlineStr">
        <is>
          <t>051-333-0025</t>
        </is>
      </c>
      <c r="H1013" s="12">
        <f>어린이집!T634</f>
        <v/>
      </c>
      <c r="I1013" s="5" t="inlineStr">
        <is>
          <t>만0세 9 / 만1세 15 / 만2세 7 / 만3세 7 / 영아혼합반 8 / 유아혼합반 13 / 기타(연령구분 없음) 18</t>
        </is>
      </c>
    </row>
    <row r="1014">
      <c r="A1014" s="5" t="inlineStr">
        <is>
          <t>가온누리어린이집</t>
        </is>
      </c>
      <c r="B1014" s="5" t="inlineStr">
        <is>
          <t>어린이집</t>
        </is>
      </c>
      <c r="C1014" s="5" t="inlineStr">
        <is>
          <t>국공립</t>
        </is>
      </c>
      <c r="D1014" s="5" t="inlineStr">
        <is>
          <t>북구</t>
        </is>
      </c>
      <c r="E1014" s="5" t="inlineStr">
        <is>
          <t>부산광역시 북구 만덕1로104번가길 37</t>
        </is>
      </c>
      <c r="F1014" s="5" t="inlineStr"/>
      <c r="G1014" s="5" t="inlineStr">
        <is>
          <t>051-338-0027</t>
        </is>
      </c>
      <c r="H1014" s="12">
        <f>어린이집!T635</f>
        <v/>
      </c>
      <c r="I1014" s="5" t="inlineStr">
        <is>
          <t>만0세 6 / 만1세 15 / 만2세 20 / 기타(연령구분 없음) 5</t>
        </is>
      </c>
    </row>
    <row r="1015">
      <c r="A1015" s="5" t="inlineStr">
        <is>
          <t>거목어린이집</t>
        </is>
      </c>
      <c r="B1015" s="5" t="inlineStr">
        <is>
          <t>어린이집</t>
        </is>
      </c>
      <c r="C1015" s="5" t="inlineStr">
        <is>
          <t>가정</t>
        </is>
      </c>
      <c r="D1015" s="5" t="inlineStr">
        <is>
          <t>북구</t>
        </is>
      </c>
      <c r="E1015" s="5" t="inlineStr">
        <is>
          <t>부산광역시 북구 화명신도시로 194 112동 104호(금곡동, 화명한일유앤아이)</t>
        </is>
      </c>
      <c r="F1015" s="5" t="inlineStr"/>
      <c r="G1015" s="5" t="inlineStr">
        <is>
          <t>051-361-0025</t>
        </is>
      </c>
      <c r="H1015" s="12">
        <f>어린이집!T636</f>
        <v/>
      </c>
      <c r="I1015" s="5" t="inlineStr">
        <is>
          <t>만0세 4 / 영아혼합반 7 / 기타(연령구분 없음) 3</t>
        </is>
      </c>
    </row>
    <row r="1016">
      <c r="A1016" s="5" t="inlineStr">
        <is>
          <t>국제어린이집</t>
        </is>
      </c>
      <c r="B1016" s="5" t="inlineStr">
        <is>
          <t>어린이집</t>
        </is>
      </c>
      <c r="C1016" s="5" t="inlineStr">
        <is>
          <t>민간</t>
        </is>
      </c>
      <c r="D1016" s="5" t="inlineStr">
        <is>
          <t>북구</t>
        </is>
      </c>
      <c r="E1016" s="5" t="inlineStr">
        <is>
          <t>부산광역시 북구 시랑로106번길 5 (구포동)</t>
        </is>
      </c>
      <c r="F1016" s="11" t="inlineStr">
        <is>
          <t>http://cafe.daum.net/dream5009</t>
        </is>
      </c>
      <c r="G1016" s="5" t="inlineStr">
        <is>
          <t>051-331-5009</t>
        </is>
      </c>
      <c r="H1016" s="12">
        <f>어린이집!T637</f>
        <v/>
      </c>
      <c r="I1016" s="5" t="inlineStr">
        <is>
          <t>만0세 1 / 만3세 6 / 영아혼합반 2 / 유아혼합반 10 / 기타(연령구분 없음) 19</t>
        </is>
      </c>
    </row>
    <row r="1017">
      <c r="A1017" s="5" t="inlineStr">
        <is>
          <t>그린코아어린이집</t>
        </is>
      </c>
      <c r="B1017" s="5" t="inlineStr">
        <is>
          <t>어린이집</t>
        </is>
      </c>
      <c r="C1017" s="5" t="inlineStr">
        <is>
          <t>가정</t>
        </is>
      </c>
      <c r="D1017" s="5" t="inlineStr">
        <is>
          <t>북구</t>
        </is>
      </c>
      <c r="E1017" s="5" t="inlineStr">
        <is>
          <t>부산광역시 북구 덕천로234번길 41 105동 101호(만덕동, 그린코아)</t>
        </is>
      </c>
      <c r="F1017" s="5" t="inlineStr"/>
      <c r="G1017" s="5" t="inlineStr">
        <is>
          <t>051-332-7747</t>
        </is>
      </c>
      <c r="H1017" s="12">
        <f>어린이집!T638</f>
        <v/>
      </c>
      <c r="I1017" s="5" t="inlineStr">
        <is>
          <t>만0세 6 / 만1세 8 / 만2세 5 / 기타(연령구분 없음) 5</t>
        </is>
      </c>
    </row>
    <row r="1018">
      <c r="A1018" s="5" t="inlineStr">
        <is>
          <t>금빛어린이집</t>
        </is>
      </c>
      <c r="B1018" s="5" t="inlineStr">
        <is>
          <t>어린이집</t>
        </is>
      </c>
      <c r="C1018" s="5" t="inlineStr">
        <is>
          <t>가정</t>
        </is>
      </c>
      <c r="D1018" s="5" t="inlineStr">
        <is>
          <t>북구</t>
        </is>
      </c>
      <c r="E1018" s="5" t="inlineStr">
        <is>
          <t>부산광역시 북구 금곡대로 268 307동 104호(화명동, 대림타운)</t>
        </is>
      </c>
      <c r="F1018" s="5" t="inlineStr"/>
      <c r="G1018" s="5" t="inlineStr">
        <is>
          <t>051-342-9223</t>
        </is>
      </c>
      <c r="H1018" s="12">
        <f>어린이집!T639</f>
        <v/>
      </c>
      <c r="I1018" s="5" t="inlineStr">
        <is>
          <t>만1세 4 / 만2세 5 / 영아혼합반 2 / 기타(연령구분 없음) 3</t>
        </is>
      </c>
    </row>
    <row r="1019">
      <c r="A1019" s="5" t="inlineStr">
        <is>
          <t>금정산래디언트어린이집</t>
        </is>
      </c>
      <c r="B1019" s="5" t="inlineStr">
        <is>
          <t>어린이집</t>
        </is>
      </c>
      <c r="C1019" s="5" t="inlineStr">
        <is>
          <t>국공립</t>
        </is>
      </c>
      <c r="D1019" s="5" t="inlineStr">
        <is>
          <t>북구</t>
        </is>
      </c>
      <c r="E1019" s="5" t="inlineStr">
        <is>
          <t>부산광역시 북구 상학로 35 관리동(만덕동, 더 래디언트 금정산)</t>
        </is>
      </c>
      <c r="F1019" s="11" t="inlineStr">
        <is>
          <t>https://cafe.naver.com/newwellcitykids</t>
        </is>
      </c>
      <c r="G1019" s="5" t="inlineStr">
        <is>
          <t>051-338-8271</t>
        </is>
      </c>
      <c r="H1019" s="12">
        <f>어린이집!T640</f>
        <v/>
      </c>
      <c r="I1019" s="5" t="inlineStr">
        <is>
          <t>만0세 11 / 만1세 30 / 만2세 26</t>
        </is>
      </c>
    </row>
    <row r="1020">
      <c r="A1020" s="5" t="inlineStr">
        <is>
          <t>금창초등어린이집</t>
        </is>
      </c>
      <c r="B1020" s="5" t="inlineStr">
        <is>
          <t>어린이집</t>
        </is>
      </c>
      <c r="C1020" s="5" t="inlineStr">
        <is>
          <t>국공립</t>
        </is>
      </c>
      <c r="D1020" s="5" t="inlineStr">
        <is>
          <t>북구</t>
        </is>
      </c>
      <c r="E1020" s="5" t="inlineStr">
        <is>
          <t>부산광역시 북구 효열로235번길 14</t>
        </is>
      </c>
      <c r="F1020" s="11" t="inlineStr">
        <is>
          <t>https://www.instagram.com/goldwindow_2018</t>
        </is>
      </c>
      <c r="G1020" s="5" t="inlineStr">
        <is>
          <t>051-361-9918</t>
        </is>
      </c>
      <c r="H1020" s="12">
        <f>어린이집!T641</f>
        <v/>
      </c>
      <c r="I1020" s="5" t="inlineStr">
        <is>
          <t>만0세 5 / 만1세 10 / 만2세 10 / 유아혼합반 11 / 장애아반(특수) 2 / 기타(연령구분 없음) 5</t>
        </is>
      </c>
    </row>
    <row r="1021">
      <c r="A1021" s="5" t="inlineStr">
        <is>
          <t>꼬마대통령어린이집</t>
        </is>
      </c>
      <c r="B1021" s="5" t="inlineStr">
        <is>
          <t>어린이집</t>
        </is>
      </c>
      <c r="C1021" s="5" t="inlineStr">
        <is>
          <t>민간</t>
        </is>
      </c>
      <c r="D1021" s="5" t="inlineStr">
        <is>
          <t>북구</t>
        </is>
      </c>
      <c r="E1021" s="5" t="inlineStr">
        <is>
          <t>부산광역시 북구 산성로 68-15</t>
        </is>
      </c>
      <c r="F1021" s="5" t="inlineStr"/>
      <c r="G1021" s="5" t="inlineStr">
        <is>
          <t>051-363-6640</t>
        </is>
      </c>
      <c r="H1021" s="12">
        <f>어린이집!T642</f>
        <v/>
      </c>
      <c r="I1021" s="5" t="inlineStr">
        <is>
          <t>만2세 7 / 만3세 5 / 영아혼합반 5 / 기타(연령구분 없음) 3</t>
        </is>
      </c>
    </row>
    <row r="1022">
      <c r="A1022" s="5" t="inlineStr">
        <is>
          <t>꽃내음풀내음어린이집</t>
        </is>
      </c>
      <c r="B1022" s="5" t="inlineStr">
        <is>
          <t>어린이집</t>
        </is>
      </c>
      <c r="C1022" s="5" t="inlineStr">
        <is>
          <t>민간</t>
        </is>
      </c>
      <c r="D1022" s="5" t="inlineStr">
        <is>
          <t>북구</t>
        </is>
      </c>
      <c r="E1022" s="5" t="inlineStr">
        <is>
          <t>부산광역시 북구 금곡대로 166 롯데캐슬카이저 104동과 105동 사이</t>
        </is>
      </c>
      <c r="F1022" s="5" t="inlineStr"/>
      <c r="G1022" s="5" t="inlineStr">
        <is>
          <t>051-361-7007</t>
        </is>
      </c>
      <c r="H1022" s="12">
        <f>어린이집!T643</f>
        <v/>
      </c>
      <c r="I1022" s="5" t="inlineStr">
        <is>
          <t>만0세 5 / 만1세 24 / 만2세 15 / 기타(연령구분 없음) 5</t>
        </is>
      </c>
    </row>
    <row r="1023">
      <c r="A1023" s="5" t="inlineStr">
        <is>
          <t>꿈동산어린이집</t>
        </is>
      </c>
      <c r="B1023" s="5" t="inlineStr">
        <is>
          <t>어린이집</t>
        </is>
      </c>
      <c r="C1023" s="5" t="inlineStr">
        <is>
          <t>민간</t>
        </is>
      </c>
      <c r="D1023" s="5" t="inlineStr">
        <is>
          <t>북구</t>
        </is>
      </c>
      <c r="E1023" s="5" t="inlineStr">
        <is>
          <t>부산광역시 북구 덕천로 369 (만덕동)</t>
        </is>
      </c>
      <c r="F1023" s="5" t="inlineStr"/>
      <c r="G1023" s="5" t="inlineStr">
        <is>
          <t>051-335-6461</t>
        </is>
      </c>
      <c r="H1023" s="12">
        <f>어린이집!T644</f>
        <v/>
      </c>
      <c r="I1023" s="5" t="inlineStr">
        <is>
          <t>만1세 10 / 만2세 12 / 유아혼합반 100 / 기타(연령구분 없음) 18</t>
        </is>
      </c>
    </row>
    <row r="1024">
      <c r="A1024" s="5" t="inlineStr">
        <is>
          <t>나무와숲어린이집</t>
        </is>
      </c>
      <c r="B1024" s="5" t="inlineStr">
        <is>
          <t>어린이집</t>
        </is>
      </c>
      <c r="C1024" s="5" t="inlineStr">
        <is>
          <t>민간</t>
        </is>
      </c>
      <c r="D1024" s="5" t="inlineStr">
        <is>
          <t>북구</t>
        </is>
      </c>
      <c r="E1024" s="5" t="inlineStr">
        <is>
          <t>부산광역시 북구 화명신도시로 39 대림쌍용강변타운 관리동 1층  나무와 숲어린이집</t>
        </is>
      </c>
      <c r="F1024" s="5" t="inlineStr"/>
      <c r="G1024" s="5" t="inlineStr">
        <is>
          <t>051-361-6266</t>
        </is>
      </c>
      <c r="H1024" s="12">
        <f>어린이집!T645</f>
        <v/>
      </c>
      <c r="I1024" s="5" t="inlineStr">
        <is>
          <t>만0세 3 / 만1세 5 / 만2세 12 / 영아혼합반 8 / 기타(연령구분 없음) 5</t>
        </is>
      </c>
    </row>
    <row r="1025">
      <c r="A1025" s="5" t="inlineStr">
        <is>
          <t>너울가지어린이집</t>
        </is>
      </c>
      <c r="B1025" s="5" t="inlineStr">
        <is>
          <t>어린이집</t>
        </is>
      </c>
      <c r="C1025" s="5" t="inlineStr">
        <is>
          <t>가정</t>
        </is>
      </c>
      <c r="D1025" s="5" t="inlineStr">
        <is>
          <t>북구</t>
        </is>
      </c>
      <c r="E1025" s="5" t="inlineStr">
        <is>
          <t>부산광역시 북구 덕천로276번길 60 113동 102호(만덕동, 동문굿모닝힐)</t>
        </is>
      </c>
      <c r="F1025" s="11" t="inlineStr">
        <is>
          <t>http://cafe.naver.com/qkraltnr1117</t>
        </is>
      </c>
      <c r="G1025" s="5" t="inlineStr">
        <is>
          <t>051-332-1279</t>
        </is>
      </c>
      <c r="H1025" s="12">
        <f>어린이집!T646</f>
        <v/>
      </c>
      <c r="I1025" s="5" t="inlineStr">
        <is>
          <t>만0세 3 / 만1세 5 / 만2세 7 / 영아혼합반 2 / 기타(연령구분 없음) 7</t>
        </is>
      </c>
    </row>
    <row r="1026">
      <c r="A1026" s="5" t="inlineStr">
        <is>
          <t>노리숲어린이집</t>
        </is>
      </c>
      <c r="B1026" s="5" t="inlineStr">
        <is>
          <t>어린이집</t>
        </is>
      </c>
      <c r="C1026" s="5" t="inlineStr">
        <is>
          <t>민간</t>
        </is>
      </c>
      <c r="D1026" s="5" t="inlineStr">
        <is>
          <t>북구</t>
        </is>
      </c>
      <c r="E1026" s="5" t="inlineStr">
        <is>
          <t>부산광역시 북구 만덕3로16번길 11 4동 101호(만덕동, 벽산라인훼미리)</t>
        </is>
      </c>
      <c r="F1026" s="5" t="inlineStr"/>
      <c r="G1026" s="5" t="inlineStr">
        <is>
          <t>051-341-5001</t>
        </is>
      </c>
      <c r="H1026" s="12">
        <f>어린이집!T647</f>
        <v/>
      </c>
      <c r="I1026" s="5" t="inlineStr">
        <is>
          <t>만0세 3 / 만1세 5 / 만2세 14 / 영아혼합반 8 / 유아혼합반 13 / 기타(연령구분 없음) 8</t>
        </is>
      </c>
    </row>
    <row r="1027">
      <c r="A1027" s="5" t="inlineStr">
        <is>
          <t>노벨어린이집</t>
        </is>
      </c>
      <c r="B1027" s="5" t="inlineStr">
        <is>
          <t>어린이집</t>
        </is>
      </c>
      <c r="C1027" s="5" t="inlineStr">
        <is>
          <t>민간</t>
        </is>
      </c>
      <c r="D1027" s="5" t="inlineStr">
        <is>
          <t>북구</t>
        </is>
      </c>
      <c r="E1027" s="5" t="inlineStr">
        <is>
          <t>부산광역시 북구 만덕3로23번길 8 (만덕동)</t>
        </is>
      </c>
      <c r="F1027" s="11" t="inlineStr">
        <is>
          <t>http://cafe.daum.net/nobellkid</t>
        </is>
      </c>
      <c r="G1027" s="5" t="inlineStr">
        <is>
          <t>051-331-1959</t>
        </is>
      </c>
      <c r="H1027" s="12">
        <f>어린이집!T648</f>
        <v/>
      </c>
      <c r="I1027" s="5" t="inlineStr">
        <is>
          <t>만0세 5 / 만1세 8 / 만2세 6</t>
        </is>
      </c>
    </row>
    <row r="1028">
      <c r="A1028" s="5" t="inlineStr">
        <is>
          <t>누리봄어린이집</t>
        </is>
      </c>
      <c r="B1028" s="5" t="inlineStr">
        <is>
          <t>어린이집</t>
        </is>
      </c>
      <c r="C1028" s="5" t="inlineStr">
        <is>
          <t>민간</t>
        </is>
      </c>
      <c r="D1028" s="5" t="inlineStr">
        <is>
          <t>북구</t>
        </is>
      </c>
      <c r="E1028" s="5" t="inlineStr">
        <is>
          <t>부산광역시 북구 금곡대로 175 동원2차로얄듀크비스타 201동 관리동</t>
        </is>
      </c>
      <c r="F1028" s="5" t="inlineStr"/>
      <c r="G1028" s="5" t="inlineStr">
        <is>
          <t>051-343-5800</t>
        </is>
      </c>
      <c r="H1028" s="12">
        <f>어린이집!T649</f>
        <v/>
      </c>
      <c r="I1028" s="5" t="inlineStr">
        <is>
          <t>만0세 8 / 만1세 14 / 만2세 13 / 기타(연령구분 없음) 5</t>
        </is>
      </c>
    </row>
    <row r="1029">
      <c r="A1029" s="5" t="inlineStr">
        <is>
          <t>뉴아이사랑어린이집</t>
        </is>
      </c>
      <c r="B1029" s="5" t="inlineStr">
        <is>
          <t>어린이집</t>
        </is>
      </c>
      <c r="C1029" s="5" t="inlineStr">
        <is>
          <t>가정</t>
        </is>
      </c>
      <c r="D1029" s="5" t="inlineStr">
        <is>
          <t>북구</t>
        </is>
      </c>
      <c r="E1029" s="5" t="inlineStr">
        <is>
          <t>부산광역시 북구 화명신도시로 244 관리동 1층(금곡동, 화명리버빌2차)</t>
        </is>
      </c>
      <c r="F1029" s="5" t="inlineStr"/>
      <c r="G1029" s="5" t="inlineStr">
        <is>
          <t>051-334-2737</t>
        </is>
      </c>
      <c r="H1029" s="12">
        <f>어린이집!T650</f>
        <v/>
      </c>
      <c r="I1029" s="5" t="inlineStr">
        <is>
          <t>만0세 4 / 만1세 7 / 만2세 7 / 기타(연령구분 없음) 5</t>
        </is>
      </c>
    </row>
    <row r="1030">
      <c r="A1030" s="5" t="inlineStr">
        <is>
          <t>뉴웰시티생태어린이집</t>
        </is>
      </c>
      <c r="B1030" s="5" t="inlineStr">
        <is>
          <t>어린이집</t>
        </is>
      </c>
      <c r="C1030" s="5" t="inlineStr">
        <is>
          <t>가정</t>
        </is>
      </c>
      <c r="D1030" s="5" t="inlineStr">
        <is>
          <t>북구</t>
        </is>
      </c>
      <c r="E1030" s="5" t="inlineStr">
        <is>
          <t>부산광역시 북구 상학로 35 114동 103호(만덕동, 금정산LH뉴웰시티아파트)</t>
        </is>
      </c>
      <c r="F1030" s="5" t="inlineStr"/>
      <c r="G1030" s="5" t="inlineStr">
        <is>
          <t>051-334-8824</t>
        </is>
      </c>
      <c r="H1030" s="12">
        <f>어린이집!T651</f>
        <v/>
      </c>
      <c r="I1030" s="5" t="inlineStr">
        <is>
          <t>만0세 9 / 만1세 5 / 영아혼합반 3 / 기타(연령구분 없음) 3</t>
        </is>
      </c>
    </row>
    <row r="1031">
      <c r="A1031" s="5" t="inlineStr">
        <is>
          <t>늘푸른봄뜰어린이집</t>
        </is>
      </c>
      <c r="B1031" s="5" t="inlineStr">
        <is>
          <t>어린이집</t>
        </is>
      </c>
      <c r="C1031" s="5" t="inlineStr">
        <is>
          <t>가정</t>
        </is>
      </c>
      <c r="D1031" s="5" t="inlineStr">
        <is>
          <t>북구</t>
        </is>
      </c>
      <c r="E1031" s="5" t="inlineStr">
        <is>
          <t>부산광역시 북구 함박봉로140번길 21 주공아파트 관리동 (만덕동)</t>
        </is>
      </c>
      <c r="F1031" s="11" t="inlineStr">
        <is>
          <t>http://cafe.daum.net/bomground</t>
        </is>
      </c>
      <c r="G1031" s="5" t="inlineStr">
        <is>
          <t>051-332-8028</t>
        </is>
      </c>
      <c r="H1031" s="12">
        <f>어린이집!T652</f>
        <v/>
      </c>
      <c r="I1031" s="5" t="inlineStr">
        <is>
          <t>만2세 6 / 영아혼합반 3 / 기타(연령구분 없음) 2</t>
        </is>
      </c>
    </row>
    <row r="1032">
      <c r="A1032" s="5" t="inlineStr">
        <is>
          <t>늘푸른어린이집</t>
        </is>
      </c>
      <c r="B1032" s="5" t="inlineStr">
        <is>
          <t>어린이집</t>
        </is>
      </c>
      <c r="C1032" s="5" t="inlineStr">
        <is>
          <t>민간</t>
        </is>
      </c>
      <c r="D1032" s="5" t="inlineStr">
        <is>
          <t>북구</t>
        </is>
      </c>
      <c r="E1032" s="5" t="inlineStr">
        <is>
          <t>부산광역시 북구 화명신도시로 194 화명한일유앤아이관리동내1층</t>
        </is>
      </c>
      <c r="F1032" s="5" t="inlineStr"/>
      <c r="G1032" s="5" t="inlineStr">
        <is>
          <t>051-364-3011</t>
        </is>
      </c>
      <c r="H1032" s="12">
        <f>어린이집!T653</f>
        <v/>
      </c>
      <c r="I1032" s="5" t="inlineStr">
        <is>
          <t>만0세 6 / 만1세 15 / 만2세 7 / 기타(연령구분 없음) 5</t>
        </is>
      </c>
    </row>
    <row r="1033">
      <c r="A1033" s="5" t="inlineStr">
        <is>
          <t>다모아어린이집</t>
        </is>
      </c>
      <c r="B1033" s="5" t="inlineStr">
        <is>
          <t>어린이집</t>
        </is>
      </c>
      <c r="C1033" s="5" t="inlineStr">
        <is>
          <t>가정</t>
        </is>
      </c>
      <c r="D1033" s="5" t="inlineStr">
        <is>
          <t>북구</t>
        </is>
      </c>
      <c r="E1033" s="5" t="inlineStr">
        <is>
          <t>부산광역시 북구 금곡대로 222 105동 101호(화명동, 동원로얄듀크)</t>
        </is>
      </c>
      <c r="F1033" s="5" t="inlineStr"/>
      <c r="G1033" s="5" t="inlineStr">
        <is>
          <t>051-363-6800</t>
        </is>
      </c>
      <c r="H1033" s="12">
        <f>어린이집!T654</f>
        <v/>
      </c>
      <c r="I1033" s="5" t="inlineStr">
        <is>
          <t>만0세 3 / 만1세 8 / 만2세 7 / 기타(연령구분 없음) 9</t>
        </is>
      </c>
    </row>
    <row r="1034">
      <c r="A1034" s="5" t="inlineStr">
        <is>
          <t>다사랑어린이집</t>
        </is>
      </c>
      <c r="B1034" s="5" t="inlineStr">
        <is>
          <t>어린이집</t>
        </is>
      </c>
      <c r="C1034" s="5" t="inlineStr">
        <is>
          <t>가정</t>
        </is>
      </c>
      <c r="D1034" s="5" t="inlineStr">
        <is>
          <t>북구</t>
        </is>
      </c>
      <c r="E1034" s="5" t="inlineStr">
        <is>
          <t>부산광역시 북구 효열로 265 105동 106호(금곡동, 벽산삼협한솔)</t>
        </is>
      </c>
      <c r="F1034" s="5" t="inlineStr"/>
      <c r="G1034" s="5" t="inlineStr">
        <is>
          <t>051-937-3625</t>
        </is>
      </c>
      <c r="H1034" s="12">
        <f>어린이집!T655</f>
        <v/>
      </c>
      <c r="I1034" s="5" t="inlineStr">
        <is>
          <t>만0세 2 / 만1세 5 / 영아혼합반 3 / 기타(연령구분 없음) 3</t>
        </is>
      </c>
    </row>
    <row r="1035">
      <c r="A1035" s="5" t="inlineStr">
        <is>
          <t>다윗어린이집</t>
        </is>
      </c>
      <c r="B1035" s="5" t="inlineStr">
        <is>
          <t>어린이집</t>
        </is>
      </c>
      <c r="C1035" s="5" t="inlineStr">
        <is>
          <t>가정</t>
        </is>
      </c>
      <c r="D1035" s="5" t="inlineStr">
        <is>
          <t>북구</t>
        </is>
      </c>
      <c r="E1035" s="5" t="inlineStr">
        <is>
          <t>부산광역시 북구 금곡대로 166 505동 101호,(화명동,화명롯데캐슬카이저)</t>
        </is>
      </c>
      <c r="F1035" s="5" t="inlineStr"/>
      <c r="G1035" s="5" t="inlineStr">
        <is>
          <t>051-361-3787</t>
        </is>
      </c>
      <c r="H1035" s="12">
        <f>어린이집!T656</f>
        <v/>
      </c>
      <c r="I1035" s="5" t="inlineStr">
        <is>
          <t>만0세 7 / 만1세 8 / 만2세 5 / 기타(연령구분 없음) 3</t>
        </is>
      </c>
    </row>
    <row r="1036">
      <c r="A1036" s="5" t="inlineStr">
        <is>
          <t>덕천포레나2차어린이집</t>
        </is>
      </c>
      <c r="B1036" s="5" t="inlineStr">
        <is>
          <t>어린이집</t>
        </is>
      </c>
      <c r="C1036" s="5" t="inlineStr">
        <is>
          <t>국공립</t>
        </is>
      </c>
      <c r="D1036" s="5" t="inlineStr">
        <is>
          <t>북구</t>
        </is>
      </c>
      <c r="E1036" s="5" t="inlineStr">
        <is>
          <t>부산광역시 북구 만덕대로 101 관리동 어린이집(덕천동, 포레나 부산덕천2차)</t>
        </is>
      </c>
      <c r="F1036" s="5" t="inlineStr"/>
      <c r="G1036" s="5" t="inlineStr">
        <is>
          <t>051-710-1022</t>
        </is>
      </c>
      <c r="H1036" s="12">
        <f>어린이집!T657</f>
        <v/>
      </c>
      <c r="I1036" s="5" t="inlineStr">
        <is>
          <t>만0세 6 / 만1세 15 / 만2세 14 / 기타(연령구분 없음) 4</t>
        </is>
      </c>
    </row>
    <row r="1037">
      <c r="A1037" s="5" t="inlineStr">
        <is>
          <t>덕천포레나어린이집</t>
        </is>
      </c>
      <c r="B1037" s="5" t="inlineStr">
        <is>
          <t>어린이집</t>
        </is>
      </c>
      <c r="C1037" s="5" t="inlineStr">
        <is>
          <t>국공립</t>
        </is>
      </c>
      <c r="D1037" s="5" t="inlineStr">
        <is>
          <t>북구</t>
        </is>
      </c>
      <c r="E1037" s="5" t="inlineStr">
        <is>
          <t>부산광역시 북구 만덕대로 81 , 관리동 어린이집(덕천동, 포레나부산덕천)</t>
        </is>
      </c>
      <c r="F1037" s="5" t="inlineStr"/>
      <c r="G1037" s="5" t="inlineStr">
        <is>
          <t>051-333-8004</t>
        </is>
      </c>
      <c r="H1037" s="12">
        <f>어린이집!T658</f>
        <v/>
      </c>
      <c r="I1037" s="5" t="inlineStr">
        <is>
          <t>만0세 9 / 만1세 15 / 만2세 13 / 기타(연령구분 없음) 23</t>
        </is>
      </c>
    </row>
    <row r="1038">
      <c r="A1038" s="5" t="inlineStr">
        <is>
          <t>도담어린이집</t>
        </is>
      </c>
      <c r="B1038" s="5" t="inlineStr">
        <is>
          <t>어린이집</t>
        </is>
      </c>
      <c r="C1038" s="5" t="inlineStr">
        <is>
          <t>가정</t>
        </is>
      </c>
      <c r="D1038" s="5" t="inlineStr">
        <is>
          <t>북구</t>
        </is>
      </c>
      <c r="E1038" s="5" t="inlineStr">
        <is>
          <t>부산광역시 북구 학사로17번길 31 103동 101호(화명동, 수정강변타운)</t>
        </is>
      </c>
      <c r="F1038" s="5" t="inlineStr"/>
      <c r="G1038" s="5" t="inlineStr">
        <is>
          <t>051-338-4898</t>
        </is>
      </c>
      <c r="H1038" s="12">
        <f>어린이집!T659</f>
        <v/>
      </c>
      <c r="I1038" s="5" t="inlineStr">
        <is>
          <t>만0세 2 / 영아혼합반 10 / 기타(연령구분 없음) 3</t>
        </is>
      </c>
    </row>
    <row r="1039">
      <c r="A1039" s="5" t="inlineStr">
        <is>
          <t>도림어린이집</t>
        </is>
      </c>
      <c r="B1039" s="5" t="inlineStr">
        <is>
          <t>어린이집</t>
        </is>
      </c>
      <c r="C1039" s="5" t="inlineStr">
        <is>
          <t>가정</t>
        </is>
      </c>
      <c r="D1039" s="5" t="inlineStr">
        <is>
          <t>북구</t>
        </is>
      </c>
      <c r="E1039" s="5" t="inlineStr">
        <is>
          <t>부산광역시 북구 화명신도시로 39 710동 103호(화명동, 대림쌍용강변타운)</t>
        </is>
      </c>
      <c r="F1039" s="5" t="inlineStr"/>
      <c r="G1039" s="5" t="inlineStr">
        <is>
          <t>051-361-2661</t>
        </is>
      </c>
      <c r="H1039" s="12">
        <f>어린이집!T660</f>
        <v/>
      </c>
      <c r="I1039" s="5" t="inlineStr">
        <is>
          <t>만0세 7 / 만1세 3 / 영아혼합반 5 / 기타(연령구분 없음) 3</t>
        </is>
      </c>
    </row>
    <row r="1040">
      <c r="A1040" s="5" t="inlineStr">
        <is>
          <t>동그라미어린이집</t>
        </is>
      </c>
      <c r="B1040" s="5" t="inlineStr">
        <is>
          <t>어린이집</t>
        </is>
      </c>
      <c r="C1040" s="5" t="inlineStr">
        <is>
          <t>가정</t>
        </is>
      </c>
      <c r="D1040" s="5" t="inlineStr">
        <is>
          <t>북구</t>
        </is>
      </c>
      <c r="E1040" s="5" t="inlineStr">
        <is>
          <t>부산광역시 북구 화명신도시로 156 103동 101호(화명동, 롯데낙천대)</t>
        </is>
      </c>
      <c r="F1040" s="5" t="inlineStr"/>
      <c r="G1040" s="5" t="inlineStr">
        <is>
          <t>051-365-1256</t>
        </is>
      </c>
      <c r="H1040" s="12">
        <f>어린이집!T661</f>
        <v/>
      </c>
      <c r="I1040" s="5" t="inlineStr">
        <is>
          <t>만0세 2 / 만1세 4 / 만2세 7 / 영아혼합반 2 / 기타(연령구분 없음) 4</t>
        </is>
      </c>
    </row>
    <row r="1041">
      <c r="A1041" s="5" t="inlineStr">
        <is>
          <t>동문다안어린이집</t>
        </is>
      </c>
      <c r="B1041" s="5" t="inlineStr">
        <is>
          <t>어린이집</t>
        </is>
      </c>
      <c r="C1041" s="5" t="inlineStr">
        <is>
          <t>민간</t>
        </is>
      </c>
      <c r="D1041" s="5" t="inlineStr">
        <is>
          <t>북구</t>
        </is>
      </c>
      <c r="E1041" s="5" t="inlineStr">
        <is>
          <t>부산광역시 북구 덕천로276번길 60 동문굿모닝힐 1차 아파트 관리동</t>
        </is>
      </c>
      <c r="F1041" s="5" t="inlineStr"/>
      <c r="G1041" s="5" t="inlineStr">
        <is>
          <t>051-341-3007</t>
        </is>
      </c>
      <c r="H1041" s="12">
        <f>어린이집!T662</f>
        <v/>
      </c>
      <c r="I1041" s="5" t="inlineStr">
        <is>
          <t>만0세 8 / 만1세 15 / 만2세 21 / 기타(연령구분 없음) 5</t>
        </is>
      </c>
    </row>
    <row r="1042">
      <c r="A1042" s="5" t="inlineStr">
        <is>
          <t>동문다임어린이집</t>
        </is>
      </c>
      <c r="B1042" s="5" t="inlineStr">
        <is>
          <t>어린이집</t>
        </is>
      </c>
      <c r="C1042" s="5" t="inlineStr">
        <is>
          <t>민간</t>
        </is>
      </c>
      <c r="D1042" s="5" t="inlineStr">
        <is>
          <t>북구</t>
        </is>
      </c>
      <c r="E1042" s="5" t="inlineStr">
        <is>
          <t>부산광역시 북구 덕천로276번길 85 동문굿모닝힐 2차 아파트 관리동</t>
        </is>
      </c>
      <c r="F1042" s="5" t="inlineStr"/>
      <c r="G1042" s="5" t="inlineStr">
        <is>
          <t>051-343-3007</t>
        </is>
      </c>
      <c r="H1042" s="12">
        <f>어린이집!T663</f>
        <v/>
      </c>
      <c r="I1042" s="5" t="inlineStr">
        <is>
          <t>만0세 4 / 만1세 4 / 만2세 4 / 영아혼합반 2 / 기타(연령구분 없음) 3</t>
        </is>
      </c>
    </row>
    <row r="1043">
      <c r="A1043" s="5" t="inlineStr">
        <is>
          <t>동문스마일어린이집</t>
        </is>
      </c>
      <c r="B1043" s="5" t="inlineStr">
        <is>
          <t>어린이집</t>
        </is>
      </c>
      <c r="C1043" s="5" t="inlineStr">
        <is>
          <t>가정</t>
        </is>
      </c>
      <c r="D1043" s="5" t="inlineStr">
        <is>
          <t>북구</t>
        </is>
      </c>
      <c r="E1043" s="5" t="inlineStr">
        <is>
          <t>부산광역시 북구 덕천로276번길 60 109동 102호(만덕동, 동문굿모닝힐)</t>
        </is>
      </c>
      <c r="F1043" s="5" t="inlineStr"/>
      <c r="G1043" s="5" t="inlineStr">
        <is>
          <t>051-343-1577</t>
        </is>
      </c>
      <c r="H1043" s="12">
        <f>어린이집!T664</f>
        <v/>
      </c>
      <c r="I1043" s="5" t="inlineStr">
        <is>
          <t>만0세 4 / 만1세 5 / 만2세 6 / 영아혼합반 5 / 기타(연령구분 없음) 5</t>
        </is>
      </c>
    </row>
    <row r="1044">
      <c r="A1044" s="5" t="inlineStr">
        <is>
          <t>동문예쁜어린이집</t>
        </is>
      </c>
      <c r="B1044" s="5" t="inlineStr">
        <is>
          <t>어린이집</t>
        </is>
      </c>
      <c r="C1044" s="5" t="inlineStr">
        <is>
          <t>가정</t>
        </is>
      </c>
      <c r="D1044" s="5" t="inlineStr">
        <is>
          <t>북구</t>
        </is>
      </c>
      <c r="E1044" s="5" t="inlineStr">
        <is>
          <t>부산광역시 북구 덕천로276번길 60 107동 103호(만덕동, 동문굿모닝힐)</t>
        </is>
      </c>
      <c r="F1044" s="5" t="inlineStr"/>
      <c r="G1044" s="5" t="inlineStr">
        <is>
          <t>051-991-1191</t>
        </is>
      </c>
      <c r="H1044" s="12">
        <f>어린이집!T665</f>
        <v/>
      </c>
      <c r="I1044" s="5" t="inlineStr">
        <is>
          <t>만0세 2 / 만1세 9 / 만2세 7 / 기타(연령구분 없음) 5</t>
        </is>
      </c>
    </row>
    <row r="1045">
      <c r="A1045" s="5" t="inlineStr">
        <is>
          <t>동원금샘어린이집</t>
        </is>
      </c>
      <c r="B1045" s="5" t="inlineStr">
        <is>
          <t>어린이집</t>
        </is>
      </c>
      <c r="C1045" s="5" t="inlineStr">
        <is>
          <t>민간</t>
        </is>
      </c>
      <c r="D1045" s="5" t="inlineStr">
        <is>
          <t>북구</t>
        </is>
      </c>
      <c r="E1045" s="5" t="inlineStr">
        <is>
          <t>부산광역시 북구 금곡대로 222 동원로얄듀크아파트단지내  101동 앞</t>
        </is>
      </c>
      <c r="F1045" s="5" t="inlineStr"/>
      <c r="G1045" s="5" t="inlineStr">
        <is>
          <t>051-338-3558</t>
        </is>
      </c>
      <c r="H1045" s="12">
        <f>어린이집!T666</f>
        <v/>
      </c>
      <c r="I1045" s="5" t="inlineStr">
        <is>
          <t>만0세 12 / 만1세 18 / 만2세 15 / 기타(연령구분 없음) 5</t>
        </is>
      </c>
    </row>
    <row r="1046">
      <c r="A1046" s="5" t="inlineStr">
        <is>
          <t>동원비스타어린이집</t>
        </is>
      </c>
      <c r="B1046" s="5" t="inlineStr">
        <is>
          <t>어린이집</t>
        </is>
      </c>
      <c r="C1046" s="5" t="inlineStr">
        <is>
          <t>민간</t>
        </is>
      </c>
      <c r="D1046" s="5" t="inlineStr">
        <is>
          <t>북구</t>
        </is>
      </c>
      <c r="E1046" s="5" t="inlineStr">
        <is>
          <t>부산광역시 북구 낙동대로1738번길 10 구포동원로얄듀크비스타 관리동</t>
        </is>
      </c>
      <c r="F1046" s="5" t="inlineStr"/>
      <c r="G1046" s="5" t="inlineStr">
        <is>
          <t>051-332-3320</t>
        </is>
      </c>
      <c r="H1046" s="12">
        <f>어린이집!T667</f>
        <v/>
      </c>
      <c r="I1046" s="5" t="inlineStr">
        <is>
          <t>만0세 6 / 만1세 3 / 만2세 10 / 영아혼합반 9 / 기타(연령구분 없음) 10</t>
        </is>
      </c>
    </row>
    <row r="1047">
      <c r="A1047" s="5" t="inlineStr">
        <is>
          <t>동원어린이집</t>
        </is>
      </c>
      <c r="B1047" s="5" t="inlineStr">
        <is>
          <t>어린이집</t>
        </is>
      </c>
      <c r="C1047" s="5" t="inlineStr">
        <is>
          <t>가정</t>
        </is>
      </c>
      <c r="D1047" s="5" t="inlineStr">
        <is>
          <t>북구</t>
        </is>
      </c>
      <c r="E1047" s="5" t="inlineStr">
        <is>
          <t>부산광역시 북구 덕천로234번길 7 101동 103호(만덕동, 동원)</t>
        </is>
      </c>
      <c r="F1047" s="5" t="inlineStr"/>
      <c r="G1047" s="5" t="inlineStr">
        <is>
          <t>051-333-6624</t>
        </is>
      </c>
      <c r="H1047" s="12">
        <f>어린이집!T668</f>
        <v/>
      </c>
      <c r="I1047" s="5" t="inlineStr">
        <is>
          <t>만0세 4 / 영아혼합반 3 / 기타(연령구분 없음) 3</t>
        </is>
      </c>
    </row>
    <row r="1048">
      <c r="A1048" s="5" t="inlineStr">
        <is>
          <t>드림아이어린이집</t>
        </is>
      </c>
      <c r="B1048" s="5" t="inlineStr">
        <is>
          <t>어린이집</t>
        </is>
      </c>
      <c r="C1048" s="5" t="inlineStr">
        <is>
          <t>가정</t>
        </is>
      </c>
      <c r="D1048" s="5" t="inlineStr">
        <is>
          <t>북구</t>
        </is>
      </c>
      <c r="E1048" s="5" t="inlineStr">
        <is>
          <t>부산광역시 북구 금곡대로 166 103동 103호(화명동, 롯데캐슬카이저)</t>
        </is>
      </c>
      <c r="F1048" s="5" t="inlineStr"/>
      <c r="G1048" s="5" t="inlineStr">
        <is>
          <t>051-900-9800</t>
        </is>
      </c>
      <c r="H1048" s="12">
        <f>어린이집!T669</f>
        <v/>
      </c>
      <c r="I1048" s="5" t="inlineStr">
        <is>
          <t>만0세 3 / 만1세 9 / 만2세 6 / 기타(연령구분 없음) 5</t>
        </is>
      </c>
    </row>
    <row r="1049">
      <c r="A1049" s="5" t="inlineStr">
        <is>
          <t>또하나어린이집</t>
        </is>
      </c>
      <c r="B1049" s="5" t="inlineStr">
        <is>
          <t>어린이집</t>
        </is>
      </c>
      <c r="C1049" s="5" t="inlineStr">
        <is>
          <t>가정</t>
        </is>
      </c>
      <c r="D1049" s="5" t="inlineStr">
        <is>
          <t>북구</t>
        </is>
      </c>
      <c r="E1049" s="5" t="inlineStr">
        <is>
          <t>부산광역시 북구 덕천로234번길 5 102동 109호(만덕동, 동원)</t>
        </is>
      </c>
      <c r="F1049" s="5" t="inlineStr"/>
      <c r="G1049" s="5" t="inlineStr">
        <is>
          <t>051-334-5006</t>
        </is>
      </c>
      <c r="H1049" s="12">
        <f>어린이집!T670</f>
        <v/>
      </c>
      <c r="I1049" s="5" t="inlineStr"/>
    </row>
    <row r="1050">
      <c r="A1050" s="5" t="inlineStr">
        <is>
          <t>리틀카이저어린이집</t>
        </is>
      </c>
      <c r="B1050" s="5" t="inlineStr">
        <is>
          <t>어린이집</t>
        </is>
      </c>
      <c r="C1050" s="5" t="inlineStr">
        <is>
          <t>가정</t>
        </is>
      </c>
      <c r="D1050" s="5" t="inlineStr">
        <is>
          <t>북구</t>
        </is>
      </c>
      <c r="E1050" s="5" t="inlineStr">
        <is>
          <t>부산광역시 북구 금곡대로 166  506동 104호(화명동,화명롯데캐슬카이저)</t>
        </is>
      </c>
      <c r="F1050" s="11" t="inlineStr">
        <is>
          <t>http://cafe.daum.net/Littlekaiser</t>
        </is>
      </c>
      <c r="G1050" s="5" t="inlineStr">
        <is>
          <t>051-903-6665</t>
        </is>
      </c>
      <c r="H1050" s="12">
        <f>어린이집!T671</f>
        <v/>
      </c>
      <c r="I1050" s="5" t="inlineStr">
        <is>
          <t>만0세 2 / 만1세 10 / 만2세 8 / 기타(연령구분 없음) 4</t>
        </is>
      </c>
    </row>
    <row r="1051">
      <c r="A1051" s="5" t="inlineStr">
        <is>
          <t>만덕1어린이집</t>
        </is>
      </c>
      <c r="B1051" s="5" t="inlineStr">
        <is>
          <t>어린이집</t>
        </is>
      </c>
      <c r="C1051" s="5" t="inlineStr">
        <is>
          <t>국공립</t>
        </is>
      </c>
      <c r="D1051" s="5" t="inlineStr">
        <is>
          <t>북구</t>
        </is>
      </c>
      <c r="E1051" s="5" t="inlineStr">
        <is>
          <t>부산광역시 북구 상학산복길 316 (만덕동)</t>
        </is>
      </c>
      <c r="F1051" s="11" t="inlineStr">
        <is>
          <t>http://cafe.naver.com/mdchild81</t>
        </is>
      </c>
      <c r="G1051" s="5" t="inlineStr">
        <is>
          <t>051-332-8133</t>
        </is>
      </c>
      <c r="H1051" s="12">
        <f>어린이집!T672</f>
        <v/>
      </c>
      <c r="I1051" s="5" t="inlineStr">
        <is>
          <t>만1세 15 / 만2세 20 / 만3세 15 / 만4세 14 / 만5세 29 / 장애아반(특수) 2 / 기타(연령구분 없음) 15</t>
        </is>
      </c>
    </row>
    <row r="1052">
      <c r="A1052" s="5" t="inlineStr">
        <is>
          <t>모아또래 어린이집</t>
        </is>
      </c>
      <c r="B1052" s="5" t="inlineStr">
        <is>
          <t>어린이집</t>
        </is>
      </c>
      <c r="C1052" s="5" t="inlineStr">
        <is>
          <t>가정</t>
        </is>
      </c>
      <c r="D1052" s="5" t="inlineStr">
        <is>
          <t>북구</t>
        </is>
      </c>
      <c r="E1052" s="5" t="inlineStr">
        <is>
          <t>부산광역시 북구 만덕1로 25-12 102동 101호(만덕동, 만덕주공2단지아파트)</t>
        </is>
      </c>
      <c r="F1052" s="5" t="inlineStr"/>
      <c r="G1052" s="5" t="inlineStr">
        <is>
          <t>051-342-0396</t>
        </is>
      </c>
      <c r="H1052" s="12">
        <f>어린이집!T673</f>
        <v/>
      </c>
      <c r="I1052" s="5" t="inlineStr">
        <is>
          <t>만0세 9 / 만1세 8 / 기타(연령구분 없음) 4</t>
        </is>
      </c>
    </row>
    <row r="1053">
      <c r="A1053" s="5" t="inlineStr">
        <is>
          <t>미래어린이집</t>
        </is>
      </c>
      <c r="B1053" s="5" t="inlineStr">
        <is>
          <t>어린이집</t>
        </is>
      </c>
      <c r="C1053" s="5" t="inlineStr">
        <is>
          <t>사회복지법인</t>
        </is>
      </c>
      <c r="D1053" s="5" t="inlineStr">
        <is>
          <t>북구</t>
        </is>
      </c>
      <c r="E1053" s="5" t="inlineStr">
        <is>
          <t>부산광역시 북구 산성로65번길 6-4</t>
        </is>
      </c>
      <c r="F1053" s="11" t="inlineStr">
        <is>
          <t>http://miraeart.or.kr</t>
        </is>
      </c>
      <c r="G1053" s="5" t="inlineStr">
        <is>
          <t>051-341-1515</t>
        </is>
      </c>
      <c r="H1053" s="12">
        <f>어린이집!T674</f>
        <v/>
      </c>
      <c r="I1053" s="5" t="inlineStr">
        <is>
          <t>만0세 3 / 만1세 4 / 영아혼합반 5 / 유아혼합반 12 / 기타(연령구분 없음) 3</t>
        </is>
      </c>
    </row>
    <row r="1054">
      <c r="A1054" s="5" t="inlineStr">
        <is>
          <t>미소가득어린이집</t>
        </is>
      </c>
      <c r="B1054" s="5" t="inlineStr">
        <is>
          <t>어린이집</t>
        </is>
      </c>
      <c r="C1054" s="5" t="inlineStr">
        <is>
          <t>가정</t>
        </is>
      </c>
      <c r="D1054" s="5" t="inlineStr">
        <is>
          <t>북구</t>
        </is>
      </c>
      <c r="E1054" s="5" t="inlineStr">
        <is>
          <t>부산광역시 북구 덕천로234번길 34 207동 104호(만덕동, 럭키2단지아파트)</t>
        </is>
      </c>
      <c r="F1054" s="5" t="inlineStr"/>
      <c r="G1054" s="5" t="inlineStr">
        <is>
          <t>051-331-1057</t>
        </is>
      </c>
      <c r="H1054" s="12">
        <f>어린이집!T675</f>
        <v/>
      </c>
      <c r="I1054" s="5" t="inlineStr">
        <is>
          <t>만0세 5 / 만1세 5 / 만2세 7 / 기타(연령구분 없음) 4</t>
        </is>
      </c>
    </row>
    <row r="1055">
      <c r="A1055" s="5" t="inlineStr">
        <is>
          <t>반도유보라어린이집</t>
        </is>
      </c>
      <c r="B1055" s="5" t="inlineStr">
        <is>
          <t>어린이집</t>
        </is>
      </c>
      <c r="C1055" s="5" t="inlineStr">
        <is>
          <t>국공립</t>
        </is>
      </c>
      <c r="D1055" s="5" t="inlineStr">
        <is>
          <t>북구</t>
        </is>
      </c>
      <c r="E1055" s="5" t="inlineStr">
        <is>
          <t>부산광역시 북구 백양대로 1136 구포동,리버파크반도유보라아파트</t>
        </is>
      </c>
      <c r="F1055" s="5" t="inlineStr"/>
      <c r="G1055" s="5" t="inlineStr">
        <is>
          <t>051-341-2547</t>
        </is>
      </c>
      <c r="H1055" s="12">
        <f>어린이집!T676</f>
        <v/>
      </c>
      <c r="I1055" s="5" t="inlineStr">
        <is>
          <t>만0세 5 / 만1세 19 / 만2세 12 / 기타(연령구분 없음) 15</t>
        </is>
      </c>
    </row>
    <row r="1056">
      <c r="A1056" s="5" t="inlineStr">
        <is>
          <t>백조명문어린이집</t>
        </is>
      </c>
      <c r="B1056" s="5" t="inlineStr">
        <is>
          <t>어린이집</t>
        </is>
      </c>
      <c r="C1056" s="5" t="inlineStr">
        <is>
          <t>민간</t>
        </is>
      </c>
      <c r="D1056" s="5" t="inlineStr">
        <is>
          <t>북구</t>
        </is>
      </c>
      <c r="E1056" s="5" t="inlineStr">
        <is>
          <t>부산광역시 북구 효열로 39 (금곡동)</t>
        </is>
      </c>
      <c r="F1056" s="5" t="inlineStr"/>
      <c r="G1056" s="5" t="inlineStr">
        <is>
          <t>051-361-5877</t>
        </is>
      </c>
      <c r="H1056" s="12">
        <f>어린이집!T677</f>
        <v/>
      </c>
      <c r="I1056" s="5" t="inlineStr">
        <is>
          <t>만0세 4 / 만2세 7 / 영아혼합반 13 / 기타(연령구분 없음) 5</t>
        </is>
      </c>
    </row>
    <row r="1057">
      <c r="A1057" s="5" t="inlineStr">
        <is>
          <t>백조사랑어린이집</t>
        </is>
      </c>
      <c r="B1057" s="5" t="inlineStr">
        <is>
          <t>어린이집</t>
        </is>
      </c>
      <c r="C1057" s="5" t="inlineStr">
        <is>
          <t>가정</t>
        </is>
      </c>
      <c r="D1057" s="5" t="inlineStr">
        <is>
          <t>북구</t>
        </is>
      </c>
      <c r="E1057" s="5" t="inlineStr">
        <is>
          <t>부산광역시 북구 시랑로 158 1동 109호(구포동,백조그린타운)</t>
        </is>
      </c>
      <c r="F1057" s="5" t="inlineStr"/>
      <c r="G1057" s="5" t="inlineStr">
        <is>
          <t>051-336-5009</t>
        </is>
      </c>
      <c r="H1057" s="12">
        <f>어린이집!T678</f>
        <v/>
      </c>
      <c r="I1057" s="5" t="inlineStr">
        <is>
          <t>만2세 6 / 영아혼합반 6 / 기타(연령구분 없음) 20</t>
        </is>
      </c>
    </row>
    <row r="1058">
      <c r="A1058" s="5" t="inlineStr">
        <is>
          <t>베베 어린이집</t>
        </is>
      </c>
      <c r="B1058" s="5" t="inlineStr">
        <is>
          <t>어린이집</t>
        </is>
      </c>
      <c r="C1058" s="5" t="inlineStr">
        <is>
          <t>민간</t>
        </is>
      </c>
      <c r="D1058" s="5" t="inlineStr">
        <is>
          <t>북구</t>
        </is>
      </c>
      <c r="E1058" s="5" t="inlineStr">
        <is>
          <t>부산광역시 북구 만덕대로155번길 15 삼정그린코아 아파트 관리동</t>
        </is>
      </c>
      <c r="F1058" s="5" t="inlineStr"/>
      <c r="G1058" s="5" t="inlineStr">
        <is>
          <t>051-331-1941</t>
        </is>
      </c>
      <c r="H1058" s="12">
        <f>어린이집!T679</f>
        <v/>
      </c>
      <c r="I1058" s="5" t="inlineStr">
        <is>
          <t>만0세 9 / 만1세 13 / 만2세 6 / 영아혼합반 5 / 기타(연령구분 없음) 5</t>
        </is>
      </c>
    </row>
    <row r="1059">
      <c r="A1059" s="5" t="inlineStr">
        <is>
          <t>베스티움에코포레어린이집</t>
        </is>
      </c>
      <c r="B1059" s="5" t="inlineStr">
        <is>
          <t>어린이집</t>
        </is>
      </c>
      <c r="C1059" s="5" t="inlineStr">
        <is>
          <t>국공립</t>
        </is>
      </c>
      <c r="D1059" s="5" t="inlineStr">
        <is>
          <t>북구</t>
        </is>
      </c>
      <c r="E1059" s="5" t="inlineStr">
        <is>
          <t>부산광역시 북구 상리로 86 관리동어린이집(만덕동, 백양산베스티움에코포레)</t>
        </is>
      </c>
      <c r="F1059" s="5" t="inlineStr"/>
      <c r="G1059" s="5" t="inlineStr">
        <is>
          <t>051-991-3004</t>
        </is>
      </c>
      <c r="H1059" s="12">
        <f>어린이집!T680</f>
        <v/>
      </c>
      <c r="I1059" s="5" t="inlineStr">
        <is>
          <t>만0세 6 / 만1세 10 / 만2세 10 / 기타(연령구분 없음) 15</t>
        </is>
      </c>
    </row>
    <row r="1060">
      <c r="A1060" s="5" t="inlineStr">
        <is>
          <t>벽산블루밍어린이집</t>
        </is>
      </c>
      <c r="B1060" s="5" t="inlineStr">
        <is>
          <t>어린이집</t>
        </is>
      </c>
      <c r="C1060" s="5" t="inlineStr">
        <is>
          <t>가정</t>
        </is>
      </c>
      <c r="D1060" s="5" t="inlineStr">
        <is>
          <t>북구</t>
        </is>
      </c>
      <c r="E1060" s="5" t="inlineStr">
        <is>
          <t>부산광역시 북구 양달로9번길 21</t>
        </is>
      </c>
      <c r="F1060" s="5" t="inlineStr"/>
      <c r="G1060" s="5" t="inlineStr">
        <is>
          <t>051-362-8316</t>
        </is>
      </c>
      <c r="H1060" s="12">
        <f>어린이집!T681</f>
        <v/>
      </c>
      <c r="I1060" s="5" t="inlineStr">
        <is>
          <t>만2세 5 / 영아혼합반 3 / 기타(연령구분 없음) 3</t>
        </is>
      </c>
    </row>
    <row r="1061">
      <c r="A1061" s="5" t="inlineStr">
        <is>
          <t>부민병원어린이집</t>
        </is>
      </c>
      <c r="B1061" s="5" t="inlineStr">
        <is>
          <t>어린이집</t>
        </is>
      </c>
      <c r="C1061" s="5" t="inlineStr">
        <is>
          <t>직장</t>
        </is>
      </c>
      <c r="D1061" s="5" t="inlineStr">
        <is>
          <t>북구</t>
        </is>
      </c>
      <c r="E1061" s="5" t="inlineStr">
        <is>
          <t>부산광역시 북구 의성로95번길 11</t>
        </is>
      </c>
      <c r="F1061" s="5" t="inlineStr"/>
      <c r="G1061" s="5" t="inlineStr">
        <is>
          <t>051-333-3507</t>
        </is>
      </c>
      <c r="H1061" s="12">
        <f>어린이집!T682</f>
        <v/>
      </c>
      <c r="I1061" s="5" t="inlineStr">
        <is>
          <t>영아혼합반 6</t>
        </is>
      </c>
    </row>
    <row r="1062">
      <c r="A1062" s="5" t="inlineStr">
        <is>
          <t>부산북부경찰서어린이집</t>
        </is>
      </c>
      <c r="B1062" s="5" t="inlineStr">
        <is>
          <t>어린이집</t>
        </is>
      </c>
      <c r="C1062" s="5" t="inlineStr">
        <is>
          <t>직장</t>
        </is>
      </c>
      <c r="D1062" s="5" t="inlineStr">
        <is>
          <t>북구</t>
        </is>
      </c>
      <c r="E1062" s="5" t="inlineStr">
        <is>
          <t>부산광역시 북구 모분재로15번길 57</t>
        </is>
      </c>
      <c r="F1062" s="11" t="inlineStr">
        <is>
          <t>https://hansol-bsbbpolice.kidsnote.ac</t>
        </is>
      </c>
      <c r="G1062" s="5" t="inlineStr">
        <is>
          <t>051-338-7775</t>
        </is>
      </c>
      <c r="H1062" s="12">
        <f>어린이집!T683</f>
        <v/>
      </c>
      <c r="I1062" s="5" t="inlineStr">
        <is>
          <t>만0세 6 / 만1세 14 / 만2세 8 / 만3세 8 / 기타(연령구분 없음) 23</t>
        </is>
      </c>
    </row>
    <row r="1063">
      <c r="A1063" s="5" t="inlineStr">
        <is>
          <t>브레인어린이집</t>
        </is>
      </c>
      <c r="B1063" s="5" t="inlineStr">
        <is>
          <t>어린이집</t>
        </is>
      </c>
      <c r="C1063" s="5" t="inlineStr">
        <is>
          <t>가정</t>
        </is>
      </c>
      <c r="D1063" s="5" t="inlineStr">
        <is>
          <t>북구</t>
        </is>
      </c>
      <c r="E1063" s="5" t="inlineStr">
        <is>
          <t>부산광역시 북구 화명신도시로 100 209동 104호(화명동, 코오롱하늘채2차아파트)</t>
        </is>
      </c>
      <c r="F1063" s="5" t="inlineStr"/>
      <c r="G1063" s="5" t="inlineStr">
        <is>
          <t>051-365-1115</t>
        </is>
      </c>
      <c r="H1063" s="12">
        <f>어린이집!T684</f>
        <v/>
      </c>
      <c r="I1063" s="5" t="inlineStr">
        <is>
          <t>만0세 1 / 만2세 6 / 영아혼합반 2 / 기타(연령구분 없음) 5</t>
        </is>
      </c>
    </row>
    <row r="1064">
      <c r="A1064" s="5" t="inlineStr">
        <is>
          <t>빛고운어린이집</t>
        </is>
      </c>
      <c r="B1064" s="5" t="inlineStr">
        <is>
          <t>어린이집</t>
        </is>
      </c>
      <c r="C1064" s="5" t="inlineStr">
        <is>
          <t>민간</t>
        </is>
      </c>
      <c r="D1064" s="5" t="inlineStr">
        <is>
          <t>북구</t>
        </is>
      </c>
      <c r="E1064" s="5" t="inlineStr">
        <is>
          <t>부산광역시 북구 화명신도시로 209 관리동내 (금곡동. 화명뜨란채아파트)</t>
        </is>
      </c>
      <c r="F1064" s="11" t="inlineStr">
        <is>
          <t>http://goun5559@hanmail.net</t>
        </is>
      </c>
      <c r="G1064" s="5" t="inlineStr">
        <is>
          <t>051-363-5559</t>
        </is>
      </c>
      <c r="H1064" s="12">
        <f>어린이집!T685</f>
        <v/>
      </c>
      <c r="I1064" s="5" t="inlineStr">
        <is>
          <t>만0세 9 / 만1세 9 / 만2세 7 / 만3세 7 / 기타(연령구분 없음) 3</t>
        </is>
      </c>
    </row>
    <row r="1065">
      <c r="A1065" s="5" t="inlineStr">
        <is>
          <t>사과나무어린이집</t>
        </is>
      </c>
      <c r="B1065" s="5" t="inlineStr">
        <is>
          <t>어린이집</t>
        </is>
      </c>
      <c r="C1065" s="5" t="inlineStr">
        <is>
          <t>가정</t>
        </is>
      </c>
      <c r="D1065" s="5" t="inlineStr">
        <is>
          <t>북구</t>
        </is>
      </c>
      <c r="E1065" s="5" t="inlineStr">
        <is>
          <t>부산광역시 북구 화명신도시로 39 715동 103호(화명동, 대림쌍용강변타운)</t>
        </is>
      </c>
      <c r="F1065" s="11" t="inlineStr">
        <is>
          <t>http://bek2474hanmail.net</t>
        </is>
      </c>
      <c r="G1065" s="5" t="inlineStr">
        <is>
          <t>070-8639-0365</t>
        </is>
      </c>
      <c r="H1065" s="12">
        <f>어린이집!T686</f>
        <v/>
      </c>
      <c r="I1065" s="5" t="inlineStr">
        <is>
          <t>만0세 2 / 영아혼합반 3 / 기타(연령구분 없음) 2</t>
        </is>
      </c>
    </row>
    <row r="1066">
      <c r="A1066" s="5" t="inlineStr">
        <is>
          <t>사랑나무어린이집</t>
        </is>
      </c>
      <c r="B1066" s="5" t="inlineStr">
        <is>
          <t>어린이집</t>
        </is>
      </c>
      <c r="C1066" s="5" t="inlineStr">
        <is>
          <t>민간</t>
        </is>
      </c>
      <c r="D1066" s="5" t="inlineStr">
        <is>
          <t>북구</t>
        </is>
      </c>
      <c r="E1066" s="5" t="inlineStr">
        <is>
          <t>부산광역시 북구 학사로17번길 31 수정강변타운아파트 관리동</t>
        </is>
      </c>
      <c r="F1066" s="5" t="inlineStr"/>
      <c r="G1066" s="5" t="inlineStr">
        <is>
          <t>051-364-1255</t>
        </is>
      </c>
      <c r="H1066" s="12">
        <f>어린이집!T687</f>
        <v/>
      </c>
      <c r="I1066" s="5" t="inlineStr">
        <is>
          <t>만0세 5 / 만1세 19 / 만2세 12 / 유아혼합반 7 / 기타(연령구분 없음) 3</t>
        </is>
      </c>
    </row>
    <row r="1067">
      <c r="A1067" s="5" t="inlineStr">
        <is>
          <t>산새소리어린이집</t>
        </is>
      </c>
      <c r="B1067" s="5" t="inlineStr">
        <is>
          <t>어린이집</t>
        </is>
      </c>
      <c r="C1067" s="5" t="inlineStr">
        <is>
          <t>민간</t>
        </is>
      </c>
      <c r="D1067" s="5" t="inlineStr">
        <is>
          <t>북구</t>
        </is>
      </c>
      <c r="E1067" s="5" t="inlineStr">
        <is>
          <t>부산광역시 북구 만덕1로104번길 46 (덕천동)</t>
        </is>
      </c>
      <c r="F1067" s="11" t="inlineStr">
        <is>
          <t>http://cafe.daum.net/sansae001</t>
        </is>
      </c>
      <c r="G1067" s="5" t="inlineStr">
        <is>
          <t>051-334-8339</t>
        </is>
      </c>
      <c r="H1067" s="12">
        <f>어린이집!T688</f>
        <v/>
      </c>
      <c r="I1067" s="5" t="inlineStr">
        <is>
          <t>만0세 8 / 만1세 30 / 만2세 17 / 만3세 31 / 만4세 21 / 유아혼합반 17 / 기타(연령구분 없음) 24</t>
        </is>
      </c>
    </row>
    <row r="1068">
      <c r="A1068" s="5" t="inlineStr">
        <is>
          <t>삼정어린이집</t>
        </is>
      </c>
      <c r="B1068" s="5" t="inlineStr">
        <is>
          <t>어린이집</t>
        </is>
      </c>
      <c r="C1068" s="5" t="inlineStr">
        <is>
          <t>민간</t>
        </is>
      </c>
      <c r="D1068" s="5" t="inlineStr">
        <is>
          <t>북구</t>
        </is>
      </c>
      <c r="E1068" s="5" t="inlineStr">
        <is>
          <t>부산광역시 북구 백양대로1016번길 10 삼정그린코아 관리동1층</t>
        </is>
      </c>
      <c r="F1068" s="5" t="inlineStr"/>
      <c r="G1068" s="5" t="inlineStr">
        <is>
          <t>051-342-0529</t>
        </is>
      </c>
      <c r="H1068" s="12">
        <f>어린이집!T689</f>
        <v/>
      </c>
      <c r="I1068" s="5" t="inlineStr">
        <is>
          <t>만1세 5 / 영아혼합반 6 / 기타(연령구분 없음) 3</t>
        </is>
      </c>
    </row>
    <row r="1069">
      <c r="A1069" s="5" t="inlineStr">
        <is>
          <t>삼한어린이집</t>
        </is>
      </c>
      <c r="B1069" s="5" t="inlineStr">
        <is>
          <t>어린이집</t>
        </is>
      </c>
      <c r="C1069" s="5" t="inlineStr">
        <is>
          <t>가정</t>
        </is>
      </c>
      <c r="D1069" s="5" t="inlineStr">
        <is>
          <t>북구</t>
        </is>
      </c>
      <c r="E1069" s="5" t="inlineStr">
        <is>
          <t>부산광역시 북구 화명대로 97-10 104동 102호(화명동, 삼한힐파크)</t>
        </is>
      </c>
      <c r="F1069" s="5" t="inlineStr"/>
      <c r="G1069" s="5" t="inlineStr">
        <is>
          <t>051-363-3493</t>
        </is>
      </c>
      <c r="H1069" s="12">
        <f>어린이집!T690</f>
        <v/>
      </c>
      <c r="I1069" s="5" t="inlineStr">
        <is>
          <t>만0세 3 / 만1세 5 / 만2세 7 / 영아혼합반 3 / 기타(연령구분 없음) 5</t>
        </is>
      </c>
    </row>
    <row r="1070">
      <c r="A1070" s="5" t="inlineStr">
        <is>
          <t>새들어린이집</t>
        </is>
      </c>
      <c r="B1070" s="5" t="inlineStr">
        <is>
          <t>어린이집</t>
        </is>
      </c>
      <c r="C1070" s="5" t="inlineStr">
        <is>
          <t>가정</t>
        </is>
      </c>
      <c r="D1070" s="5" t="inlineStr">
        <is>
          <t>북구</t>
        </is>
      </c>
      <c r="E1070" s="5" t="inlineStr">
        <is>
          <t>부산광역시 북구 의성로128번길 26-1</t>
        </is>
      </c>
      <c r="F1070" s="5" t="inlineStr"/>
      <c r="G1070" s="5" t="inlineStr">
        <is>
          <t>051-343-5606</t>
        </is>
      </c>
      <c r="H1070" s="12">
        <f>어린이집!T691</f>
        <v/>
      </c>
      <c r="I1070" s="5" t="inlineStr">
        <is>
          <t>만2세 6 / 영아혼합반 2 / 기타(연령구분 없음) 5</t>
        </is>
      </c>
    </row>
    <row r="1071">
      <c r="A1071" s="5" t="inlineStr">
        <is>
          <t>샘터어린이집</t>
        </is>
      </c>
      <c r="B1071" s="5" t="inlineStr">
        <is>
          <t>어린이집</t>
        </is>
      </c>
      <c r="C1071" s="5" t="inlineStr">
        <is>
          <t>사회복지법인</t>
        </is>
      </c>
      <c r="D1071" s="5" t="inlineStr">
        <is>
          <t>북구</t>
        </is>
      </c>
      <c r="E1071" s="5" t="inlineStr">
        <is>
          <t>부산광역시 북구 시랑로114번길 45 (구포동)</t>
        </is>
      </c>
      <c r="F1071" s="11" t="inlineStr">
        <is>
          <t>http://www.saemteo.kg.kr.</t>
        </is>
      </c>
      <c r="G1071" s="5" t="inlineStr">
        <is>
          <t>051-336-0114</t>
        </is>
      </c>
      <c r="H1071" s="12">
        <f>어린이집!T692</f>
        <v/>
      </c>
      <c r="I1071" s="5" t="inlineStr">
        <is>
          <t>장애아반(특수) 23</t>
        </is>
      </c>
    </row>
    <row r="1072">
      <c r="A1072" s="5" t="inlineStr">
        <is>
          <t>서광자연어린이집</t>
        </is>
      </c>
      <c r="B1072" s="5" t="inlineStr">
        <is>
          <t>어린이집</t>
        </is>
      </c>
      <c r="C1072" s="5" t="inlineStr">
        <is>
          <t>민간</t>
        </is>
      </c>
      <c r="D1072" s="5" t="inlineStr">
        <is>
          <t>북구</t>
        </is>
      </c>
      <c r="E1072" s="5" t="inlineStr">
        <is>
          <t>부산광역시 북구 덕천로381번길 41 (만덕동)</t>
        </is>
      </c>
      <c r="F1072" s="5" t="inlineStr"/>
      <c r="G1072" s="5" t="inlineStr">
        <is>
          <t>051-335-8868</t>
        </is>
      </c>
      <c r="H1072" s="12">
        <f>어린이집!T693</f>
        <v/>
      </c>
      <c r="I1072" s="5" t="inlineStr">
        <is>
          <t>만2세 25 / 만3세 45 / 만4세 55 / 만5세 39 / 기타(연령구분 없음) 73</t>
        </is>
      </c>
    </row>
    <row r="1073">
      <c r="A1073" s="5" t="inlineStr">
        <is>
          <t>수정캐슬어린이집</t>
        </is>
      </c>
      <c r="B1073" s="5" t="inlineStr">
        <is>
          <t>어린이집</t>
        </is>
      </c>
      <c r="C1073" s="5" t="inlineStr">
        <is>
          <t>민간</t>
        </is>
      </c>
      <c r="D1073" s="5" t="inlineStr">
        <is>
          <t>북구</t>
        </is>
      </c>
      <c r="E1073" s="5" t="inlineStr">
        <is>
          <t>부산광역시 북구 화명대로94번길 104 수정캐슬어린이집</t>
        </is>
      </c>
      <c r="F1073" s="5" t="inlineStr"/>
      <c r="G1073" s="5" t="inlineStr">
        <is>
          <t>051-365-2336</t>
        </is>
      </c>
      <c r="H1073" s="12">
        <f>어린이집!T694</f>
        <v/>
      </c>
      <c r="I1073" s="5" t="inlineStr">
        <is>
          <t>만0세 8 / 만1세 14 / 만2세 28 / 영아혼합반 5</t>
        </is>
      </c>
    </row>
    <row r="1074">
      <c r="A1074" s="5" t="inlineStr">
        <is>
          <t>숲소리어린이집</t>
        </is>
      </c>
      <c r="B1074" s="5" t="inlineStr">
        <is>
          <t>어린이집</t>
        </is>
      </c>
      <c r="C1074" s="5" t="inlineStr">
        <is>
          <t>민간</t>
        </is>
      </c>
      <c r="D1074" s="5" t="inlineStr">
        <is>
          <t>북구</t>
        </is>
      </c>
      <c r="E1074" s="5" t="inlineStr">
        <is>
          <t>부산광역시 북구 효열로 135 동원역삼정그린코아아파트 107동</t>
        </is>
      </c>
      <c r="F1074" s="5" t="inlineStr"/>
      <c r="G1074" s="5" t="inlineStr">
        <is>
          <t>051-365-0070</t>
        </is>
      </c>
      <c r="H1074" s="12">
        <f>어린이집!T695</f>
        <v/>
      </c>
      <c r="I1074" s="5" t="inlineStr">
        <is>
          <t>만0세 3 / 만1세 9 / 만2세 7 / 기타(연령구분 없음) 2</t>
        </is>
      </c>
    </row>
    <row r="1075">
      <c r="A1075" s="5" t="inlineStr">
        <is>
          <t>숲속경남어린이집</t>
        </is>
      </c>
      <c r="B1075" s="5" t="inlineStr">
        <is>
          <t>어린이집</t>
        </is>
      </c>
      <c r="C1075" s="5" t="inlineStr">
        <is>
          <t>민간</t>
        </is>
      </c>
      <c r="D1075" s="5" t="inlineStr">
        <is>
          <t>북구</t>
        </is>
      </c>
      <c r="E1075" s="5" t="inlineStr">
        <is>
          <t>부산광역시 북구 대천천길 37 경남아너스빌 관리사무소 1층 숲속경남어린이집</t>
        </is>
      </c>
      <c r="F1075" s="5" t="inlineStr"/>
      <c r="G1075" s="5" t="inlineStr">
        <is>
          <t>051-362-7750</t>
        </is>
      </c>
      <c r="H1075" s="12">
        <f>어린이집!T696</f>
        <v/>
      </c>
      <c r="I1075" s="5" t="inlineStr">
        <is>
          <t>만0세 5 / 만1세 8 / 만2세 5 / 영아혼합반 5 / 기타(연령구분 없음) 5</t>
        </is>
      </c>
    </row>
    <row r="1076">
      <c r="A1076" s="5" t="inlineStr">
        <is>
          <t>신대성어린이집</t>
        </is>
      </c>
      <c r="B1076" s="5" t="inlineStr">
        <is>
          <t>어린이집</t>
        </is>
      </c>
      <c r="C1076" s="5" t="inlineStr">
        <is>
          <t>민간</t>
        </is>
      </c>
      <c r="D1076" s="5" t="inlineStr">
        <is>
          <t>북구</t>
        </is>
      </c>
      <c r="E1076" s="5" t="inlineStr">
        <is>
          <t>부산광역시 북구 구남언덕로 14 (구포동)</t>
        </is>
      </c>
      <c r="F1076" s="11" t="inlineStr">
        <is>
          <t>http://cafe.naver.com</t>
        </is>
      </c>
      <c r="G1076" s="5" t="inlineStr">
        <is>
          <t>051-337-6679</t>
        </is>
      </c>
      <c r="H1076" s="12">
        <f>어린이집!T697</f>
        <v/>
      </c>
      <c r="I1076" s="5" t="inlineStr">
        <is>
          <t>만0세 3 / 만1세 13 / 만2세 12 / 만3세 10 / 유아혼합반 13 / 기타(연령구분 없음) 53</t>
        </is>
      </c>
    </row>
    <row r="1077">
      <c r="A1077" s="5" t="inlineStr">
        <is>
          <t>쌍용앙팡어린이집</t>
        </is>
      </c>
      <c r="B1077" s="5" t="inlineStr">
        <is>
          <t>어린이집</t>
        </is>
      </c>
      <c r="C1077" s="5" t="inlineStr">
        <is>
          <t>민간</t>
        </is>
      </c>
      <c r="D1077" s="5" t="inlineStr">
        <is>
          <t>북구</t>
        </is>
      </c>
      <c r="E1077" s="5" t="inlineStr">
        <is>
          <t>부산광역시 북구 만덕3로 49 쌍용스윗닷홈 관리동 (만덕동)</t>
        </is>
      </c>
      <c r="F1077" s="5" t="inlineStr"/>
      <c r="G1077" s="5" t="inlineStr">
        <is>
          <t>051-341-6656</t>
        </is>
      </c>
      <c r="H1077" s="12">
        <f>어린이집!T698</f>
        <v/>
      </c>
      <c r="I1077" s="5" t="inlineStr">
        <is>
          <t>만0세 5 / 만1세 9 / 만2세 7 / 기타(연령구분 없음) 3</t>
        </is>
      </c>
    </row>
    <row r="1078">
      <c r="A1078" s="5" t="inlineStr">
        <is>
          <t>아기꿈어린이집</t>
        </is>
      </c>
      <c r="B1078" s="5" t="inlineStr">
        <is>
          <t>어린이집</t>
        </is>
      </c>
      <c r="C1078" s="5" t="inlineStr">
        <is>
          <t>가정</t>
        </is>
      </c>
      <c r="D1078" s="5" t="inlineStr">
        <is>
          <t>북구</t>
        </is>
      </c>
      <c r="E1078" s="5" t="inlineStr">
        <is>
          <t>부산광역시 북구 덕천로276번길 60 108동 105호(만덕동, 백양디이스트)</t>
        </is>
      </c>
      <c r="F1078" s="5" t="inlineStr"/>
      <c r="G1078" s="5" t="inlineStr">
        <is>
          <t>051-331-2838</t>
        </is>
      </c>
      <c r="H1078" s="12">
        <f>어린이집!T699</f>
        <v/>
      </c>
      <c r="I1078" s="5" t="inlineStr">
        <is>
          <t>만1세 5 / 영아혼합반 9 / 기타(연령구분 없음) 13</t>
        </is>
      </c>
    </row>
    <row r="1079">
      <c r="A1079" s="5" t="inlineStr">
        <is>
          <t>아람어린이집</t>
        </is>
      </c>
      <c r="B1079" s="5" t="inlineStr">
        <is>
          <t>어린이집</t>
        </is>
      </c>
      <c r="C1079" s="5" t="inlineStr">
        <is>
          <t>민간</t>
        </is>
      </c>
      <c r="D1079" s="5" t="inlineStr">
        <is>
          <t>북구</t>
        </is>
      </c>
      <c r="E1079" s="5" t="inlineStr">
        <is>
          <t>부산광역시 북구 함박봉로 22 덕천동 롯데아파트 보육시설</t>
        </is>
      </c>
      <c r="F1079" s="5" t="inlineStr"/>
      <c r="G1079" s="5" t="inlineStr">
        <is>
          <t>051-338-8749</t>
        </is>
      </c>
      <c r="H1079" s="12">
        <f>어린이집!T700</f>
        <v/>
      </c>
      <c r="I1079" s="5" t="inlineStr">
        <is>
          <t>만0세 2 / 만1세 8 / 만2세 12</t>
        </is>
      </c>
    </row>
    <row r="1080">
      <c r="A1080" s="5" t="inlineStr">
        <is>
          <t>아이꿈영재스쿨어린이집</t>
        </is>
      </c>
      <c r="B1080" s="5" t="inlineStr">
        <is>
          <t>어린이집</t>
        </is>
      </c>
      <c r="C1080" s="5" t="inlineStr">
        <is>
          <t>가정</t>
        </is>
      </c>
      <c r="D1080" s="5" t="inlineStr">
        <is>
          <t>북구</t>
        </is>
      </c>
      <c r="E1080" s="5" t="inlineStr">
        <is>
          <t>부산광역시 북구 금곡대로 228 105동 103호(화명동,동원로얄듀크아파트)</t>
        </is>
      </c>
      <c r="F1080" s="5" t="inlineStr"/>
      <c r="G1080" s="5" t="inlineStr">
        <is>
          <t>051-335-3236</t>
        </is>
      </c>
      <c r="H1080" s="12">
        <f>어린이집!T701</f>
        <v/>
      </c>
      <c r="I1080" s="5" t="inlineStr">
        <is>
          <t>만0세 1 / 영아혼합반 1 / 기타(연령구분 없음) 2</t>
        </is>
      </c>
    </row>
    <row r="1081">
      <c r="A1081" s="5" t="inlineStr">
        <is>
          <t>아이동산어린이집</t>
        </is>
      </c>
      <c r="B1081" s="5" t="inlineStr">
        <is>
          <t>어린이집</t>
        </is>
      </c>
      <c r="C1081" s="5" t="inlineStr">
        <is>
          <t>가정</t>
        </is>
      </c>
      <c r="D1081" s="5" t="inlineStr">
        <is>
          <t>북구</t>
        </is>
      </c>
      <c r="E1081" s="5" t="inlineStr">
        <is>
          <t>부산광역시 북구 만덕대로155번길 15 101동 102호(덕천동, 덕천삼정그린코아)</t>
        </is>
      </c>
      <c r="F1081" s="5" t="inlineStr"/>
      <c r="G1081" s="5" t="inlineStr">
        <is>
          <t>051-332-6461</t>
        </is>
      </c>
      <c r="H1081" s="12">
        <f>어린이집!T702</f>
        <v/>
      </c>
      <c r="I1081" s="5" t="inlineStr">
        <is>
          <t>만0세 6 / 만1세 8 / 만2세 6 / 기타(연령구분 없음) 5</t>
        </is>
      </c>
    </row>
    <row r="1082">
      <c r="A1082" s="5" t="inlineStr">
        <is>
          <t>아이랑어린이집</t>
        </is>
      </c>
      <c r="B1082" s="5" t="inlineStr">
        <is>
          <t>어린이집</t>
        </is>
      </c>
      <c r="C1082" s="5" t="inlineStr">
        <is>
          <t>가정</t>
        </is>
      </c>
      <c r="D1082" s="5" t="inlineStr">
        <is>
          <t>북구</t>
        </is>
      </c>
      <c r="E1082" s="5" t="inlineStr">
        <is>
          <t>부산광역시 북구 금곡대로 268 401동 101호(화명동, 대림타운)</t>
        </is>
      </c>
      <c r="F1082" s="5" t="inlineStr"/>
      <c r="G1082" s="5" t="inlineStr">
        <is>
          <t>051-363-3939</t>
        </is>
      </c>
      <c r="H1082" s="12">
        <f>어린이집!T703</f>
        <v/>
      </c>
      <c r="I1082" s="5" t="inlineStr">
        <is>
          <t>만0세 6 / 만1세 5 / 만2세 5 / 영아혼합반 3 / 기타(연령구분 없음) 5</t>
        </is>
      </c>
    </row>
    <row r="1083">
      <c r="A1083" s="5" t="inlineStr">
        <is>
          <t>아이맘어린이집</t>
        </is>
      </c>
      <c r="B1083" s="5" t="inlineStr">
        <is>
          <t>어린이집</t>
        </is>
      </c>
      <c r="C1083" s="5" t="inlineStr">
        <is>
          <t>가정</t>
        </is>
      </c>
      <c r="D1083" s="5" t="inlineStr">
        <is>
          <t>북구</t>
        </is>
      </c>
      <c r="E1083" s="5" t="inlineStr">
        <is>
          <t>부산광역시 북구 덕천로276번길 60 102동 103호(만덕동, 동문굿모닝힐)</t>
        </is>
      </c>
      <c r="F1083" s="5" t="inlineStr"/>
      <c r="G1083" s="5" t="inlineStr">
        <is>
          <t>051-337-3040</t>
        </is>
      </c>
      <c r="H1083" s="12">
        <f>어린이집!T704</f>
        <v/>
      </c>
      <c r="I1083" s="5" t="inlineStr">
        <is>
          <t>만0세 3 / 만1세 8 / 만2세 4 / 기타(연령구분 없음) 4</t>
        </is>
      </c>
    </row>
    <row r="1084">
      <c r="A1084" s="5" t="inlineStr">
        <is>
          <t>아이사랑어린이집</t>
        </is>
      </c>
      <c r="B1084" s="5" t="inlineStr">
        <is>
          <t>어린이집</t>
        </is>
      </c>
      <c r="C1084" s="5" t="inlineStr">
        <is>
          <t>가정</t>
        </is>
      </c>
      <c r="D1084" s="5" t="inlineStr">
        <is>
          <t>북구</t>
        </is>
      </c>
      <c r="E1084" s="5" t="inlineStr">
        <is>
          <t>부산광역시 북구 덕천로259번길 30 101동 109호(만덕동, 대성타워)</t>
        </is>
      </c>
      <c r="F1084" s="5" t="inlineStr"/>
      <c r="G1084" s="5" t="inlineStr">
        <is>
          <t>051-363-7608</t>
        </is>
      </c>
      <c r="H1084" s="12">
        <f>어린이집!T705</f>
        <v/>
      </c>
      <c r="I1084" s="5" t="inlineStr">
        <is>
          <t>만0세 6 / 만1세 8 / 만2세 5 / 기타(연령구분 없음) 5</t>
        </is>
      </c>
    </row>
    <row r="1085">
      <c r="A1085" s="5" t="inlineStr">
        <is>
          <t>아이캐슬어린이집</t>
        </is>
      </c>
      <c r="B1085" s="5" t="inlineStr">
        <is>
          <t>어린이집</t>
        </is>
      </c>
      <c r="C1085" s="5" t="inlineStr">
        <is>
          <t>가정</t>
        </is>
      </c>
      <c r="D1085" s="5" t="inlineStr">
        <is>
          <t>북구</t>
        </is>
      </c>
      <c r="E1085" s="5" t="inlineStr">
        <is>
          <t>부산광역시 북구 금곡대로 166 101동 103호(화명동,화명롯데캐슬카이저)</t>
        </is>
      </c>
      <c r="F1085" s="5" t="inlineStr"/>
      <c r="G1085" s="5" t="inlineStr">
        <is>
          <t>051-904-0760</t>
        </is>
      </c>
      <c r="H1085" s="12">
        <f>어린이집!T706</f>
        <v/>
      </c>
      <c r="I1085" s="5" t="inlineStr">
        <is>
          <t>만0세 4 / 만1세 10 / 만2세 6 / 기타(연령구분 없음) 5</t>
        </is>
      </c>
    </row>
    <row r="1086">
      <c r="A1086" s="5" t="inlineStr">
        <is>
          <t>예담어린이집</t>
        </is>
      </c>
      <c r="B1086" s="5" t="inlineStr">
        <is>
          <t>어린이집</t>
        </is>
      </c>
      <c r="C1086" s="5" t="inlineStr">
        <is>
          <t>민간</t>
        </is>
      </c>
      <c r="D1086" s="5" t="inlineStr">
        <is>
          <t>북구</t>
        </is>
      </c>
      <c r="E1086" s="5" t="inlineStr">
        <is>
          <t>부산광역시 북구 팽나무로 48-1</t>
        </is>
      </c>
      <c r="F1086" s="5" t="inlineStr"/>
      <c r="G1086" s="5" t="inlineStr">
        <is>
          <t>051-335-0509</t>
        </is>
      </c>
      <c r="H1086" s="12">
        <f>어린이집!T707</f>
        <v/>
      </c>
      <c r="I1086" s="5" t="inlineStr">
        <is>
          <t>만1세 5 / 만2세 6 / 만3세 19 / 영아혼합반 3 / 유아혼합반 32 / 기타(연령구분 없음) 23</t>
        </is>
      </c>
    </row>
    <row r="1087">
      <c r="A1087" s="5" t="inlineStr">
        <is>
          <t>예인어린이집</t>
        </is>
      </c>
      <c r="B1087" s="5" t="inlineStr">
        <is>
          <t>어린이집</t>
        </is>
      </c>
      <c r="C1087" s="5" t="inlineStr">
        <is>
          <t>사회복지법인</t>
        </is>
      </c>
      <c r="D1087" s="5" t="inlineStr">
        <is>
          <t>북구</t>
        </is>
      </c>
      <c r="E1087" s="5" t="inlineStr">
        <is>
          <t>부산광역시 북구 낙동북로772번길 18 (구포동)</t>
        </is>
      </c>
      <c r="F1087" s="5" t="inlineStr"/>
      <c r="G1087" s="5" t="inlineStr">
        <is>
          <t>051-333-7613</t>
        </is>
      </c>
      <c r="H1087" s="12">
        <f>어린이집!T708</f>
        <v/>
      </c>
      <c r="I1087" s="5" t="inlineStr">
        <is>
          <t>만0세 8 / 만1세 15 / 만2세 21 / 영아혼합반 3 / 기타(연령구분 없음) 5</t>
        </is>
      </c>
    </row>
    <row r="1088">
      <c r="A1088" s="5" t="inlineStr">
        <is>
          <t>오감발달어린이집</t>
        </is>
      </c>
      <c r="B1088" s="5" t="inlineStr">
        <is>
          <t>어린이집</t>
        </is>
      </c>
      <c r="C1088" s="5" t="inlineStr">
        <is>
          <t>가정</t>
        </is>
      </c>
      <c r="D1088" s="5" t="inlineStr">
        <is>
          <t>북구</t>
        </is>
      </c>
      <c r="E1088" s="5" t="inlineStr">
        <is>
          <t>부산광역시 북구 덕천로276번길 60 116동 102호(만덕동, 동문굿모닝힐)</t>
        </is>
      </c>
      <c r="F1088" s="5" t="inlineStr"/>
      <c r="G1088" s="5" t="inlineStr">
        <is>
          <t>051-335-7009</t>
        </is>
      </c>
      <c r="H1088" s="12">
        <f>어린이집!T709</f>
        <v/>
      </c>
      <c r="I1088" s="5" t="inlineStr">
        <is>
          <t>만0세 2 / 만1세 10 / 만2세 6</t>
        </is>
      </c>
    </row>
    <row r="1089">
      <c r="A1089" s="5" t="inlineStr">
        <is>
          <t>우리동네어린이집</t>
        </is>
      </c>
      <c r="B1089" s="5" t="inlineStr">
        <is>
          <t>어린이집</t>
        </is>
      </c>
      <c r="C1089" s="5" t="inlineStr">
        <is>
          <t>가정</t>
        </is>
      </c>
      <c r="D1089" s="5" t="inlineStr">
        <is>
          <t>북구</t>
        </is>
      </c>
      <c r="E1089" s="5" t="inlineStr">
        <is>
          <t>부산광역시 북구 덕천로234번길 34 205동 104호(만덕동, 럭키2단지아파트)</t>
        </is>
      </c>
      <c r="F1089" s="5" t="inlineStr"/>
      <c r="G1089" s="5" t="inlineStr">
        <is>
          <t>051-338-1963</t>
        </is>
      </c>
      <c r="H1089" s="12">
        <f>어린이집!T710</f>
        <v/>
      </c>
      <c r="I1089" s="5" t="inlineStr">
        <is>
          <t>만0세 2 / 만1세 3 / 만2세 4 / 기타(연령구분 없음) 5</t>
        </is>
      </c>
    </row>
    <row r="1090">
      <c r="A1090" s="5" t="inlineStr">
        <is>
          <t>유림아츠어린이집</t>
        </is>
      </c>
      <c r="B1090" s="5" t="inlineStr">
        <is>
          <t>어린이집</t>
        </is>
      </c>
      <c r="C1090" s="5" t="inlineStr">
        <is>
          <t>민간</t>
        </is>
      </c>
      <c r="D1090" s="5" t="inlineStr">
        <is>
          <t>북구</t>
        </is>
      </c>
      <c r="E1090" s="5" t="inlineStr">
        <is>
          <t>부산광역시 북구 낙동북로 737 유림노르웨이숲 아파트  관리동 유림아츠어린이집</t>
        </is>
      </c>
      <c r="F1090" s="11" t="inlineStr">
        <is>
          <t>http://jangsh0410@hanmail.net</t>
        </is>
      </c>
      <c r="G1090" s="5" t="inlineStr">
        <is>
          <t>051-335-0410</t>
        </is>
      </c>
      <c r="H1090" s="12">
        <f>어린이집!T711</f>
        <v/>
      </c>
      <c r="I1090" s="5" t="inlineStr">
        <is>
          <t>만0세 3 / 만1세 3 / 영아혼합반 4 / 유아혼합반 6</t>
        </is>
      </c>
    </row>
    <row r="1091">
      <c r="A1091" s="5" t="inlineStr">
        <is>
          <t>율리꿈나무어린이집</t>
        </is>
      </c>
      <c r="B1091" s="5" t="inlineStr">
        <is>
          <t>어린이집</t>
        </is>
      </c>
      <c r="C1091" s="5" t="inlineStr">
        <is>
          <t>민간</t>
        </is>
      </c>
      <c r="D1091" s="5" t="inlineStr">
        <is>
          <t>북구</t>
        </is>
      </c>
      <c r="E1091" s="5" t="inlineStr">
        <is>
          <t>부산광역시 북구 효열로 1 율리벽산블루밍 1단지 아파트 내 관리동 어린이집</t>
        </is>
      </c>
      <c r="F1091" s="5" t="inlineStr"/>
      <c r="G1091" s="5" t="inlineStr">
        <is>
          <t>051-363-8090</t>
        </is>
      </c>
      <c r="H1091" s="12">
        <f>어린이집!T712</f>
        <v/>
      </c>
      <c r="I1091" s="5" t="inlineStr">
        <is>
          <t>만0세 5 / 만1세 3 / 만2세 7 / 기타(연령구분 없음) 5</t>
        </is>
      </c>
    </row>
    <row r="1092">
      <c r="A1092" s="5" t="inlineStr">
        <is>
          <t>은하수황토어린이집</t>
        </is>
      </c>
      <c r="B1092" s="5" t="inlineStr">
        <is>
          <t>어린이집</t>
        </is>
      </c>
      <c r="C1092" s="5" t="inlineStr">
        <is>
          <t>민간</t>
        </is>
      </c>
      <c r="D1092" s="5" t="inlineStr">
        <is>
          <t>북구</t>
        </is>
      </c>
      <c r="E1092" s="5" t="inlineStr">
        <is>
          <t>부산광역시 북구 만덕대로290번길 38-7 (만덕동)</t>
        </is>
      </c>
      <c r="F1092" s="5" t="inlineStr"/>
      <c r="G1092" s="5" t="inlineStr">
        <is>
          <t>051-331-3553</t>
        </is>
      </c>
      <c r="H1092" s="12">
        <f>어린이집!T713</f>
        <v/>
      </c>
      <c r="I1092" s="5" t="inlineStr">
        <is>
          <t>만0세 3 / 만1세 2 / 만2세 7 / 유아혼합반 4 / 기타(연령구분 없음) 11</t>
        </is>
      </c>
    </row>
    <row r="1093">
      <c r="A1093" s="5" t="inlineStr">
        <is>
          <t>장선어린이집</t>
        </is>
      </c>
      <c r="B1093" s="5" t="inlineStr">
        <is>
          <t>어린이집</t>
        </is>
      </c>
      <c r="C1093" s="5" t="inlineStr">
        <is>
          <t>사회복지법인</t>
        </is>
      </c>
      <c r="D1093" s="5" t="inlineStr">
        <is>
          <t>북구</t>
        </is>
      </c>
      <c r="E1093" s="5" t="inlineStr">
        <is>
          <t>부산광역시 북구 시랑로114번길 45 (구포동)</t>
        </is>
      </c>
      <c r="F1093" s="11" t="inlineStr">
        <is>
          <t>http://jangsun.kg.kr</t>
        </is>
      </c>
      <c r="G1093" s="5" t="inlineStr">
        <is>
          <t>051-332-4966</t>
        </is>
      </c>
      <c r="H1093" s="12">
        <f>어린이집!T714</f>
        <v/>
      </c>
      <c r="I1093" s="5" t="inlineStr">
        <is>
          <t>만1세 4 / 만2세 7 / 유아혼합반 10 / 기타(연령구분 없음) 5</t>
        </is>
      </c>
    </row>
    <row r="1094">
      <c r="A1094" s="5" t="inlineStr">
        <is>
          <t>쿵쿵어린이집</t>
        </is>
      </c>
      <c r="B1094" s="5" t="inlineStr">
        <is>
          <t>어린이집</t>
        </is>
      </c>
      <c r="C1094" s="5" t="inlineStr">
        <is>
          <t>협동</t>
        </is>
      </c>
      <c r="D1094" s="5" t="inlineStr">
        <is>
          <t>북구</t>
        </is>
      </c>
      <c r="E1094" s="5" t="inlineStr">
        <is>
          <t>부산광역시 북구 산성로65번길 16 (화명동)</t>
        </is>
      </c>
      <c r="F1094" s="11" t="inlineStr">
        <is>
          <t>https://kungkungkids.modoo.at/</t>
        </is>
      </c>
      <c r="G1094" s="5" t="inlineStr">
        <is>
          <t>051-342-2595</t>
        </is>
      </c>
      <c r="H1094" s="12">
        <f>어린이집!T715</f>
        <v/>
      </c>
      <c r="I1094" s="5" t="inlineStr">
        <is>
          <t>만2세 4 / 영아혼합반 4 / 유아혼합반 12 / 기타(연령구분 없음) 12</t>
        </is>
      </c>
    </row>
    <row r="1095">
      <c r="A1095" s="5" t="inlineStr">
        <is>
          <t>크레용어린이집</t>
        </is>
      </c>
      <c r="B1095" s="5" t="inlineStr">
        <is>
          <t>어린이집</t>
        </is>
      </c>
      <c r="C1095" s="5" t="inlineStr">
        <is>
          <t>가정</t>
        </is>
      </c>
      <c r="D1095" s="5" t="inlineStr">
        <is>
          <t>북구</t>
        </is>
      </c>
      <c r="E1095" s="5" t="inlineStr">
        <is>
          <t>부산광역시 북구 화명신도시로 156 105동 103호 (화명동,롯데낙천대)</t>
        </is>
      </c>
      <c r="F1095" s="5" t="inlineStr"/>
      <c r="G1095" s="5" t="inlineStr">
        <is>
          <t>051-361-4622</t>
        </is>
      </c>
      <c r="H1095" s="12">
        <f>어린이집!T716</f>
        <v/>
      </c>
      <c r="I1095" s="5" t="inlineStr">
        <is>
          <t>만0세 4 / 만1세 8 / 만2세 7 / 기타(연령구분 없음) 6</t>
        </is>
      </c>
    </row>
    <row r="1096">
      <c r="A1096" s="5" t="inlineStr">
        <is>
          <t>키즈킹덤어린이집</t>
        </is>
      </c>
      <c r="B1096" s="5" t="inlineStr">
        <is>
          <t>어린이집</t>
        </is>
      </c>
      <c r="C1096" s="5" t="inlineStr">
        <is>
          <t>민간</t>
        </is>
      </c>
      <c r="D1096" s="5" t="inlineStr">
        <is>
          <t>북구</t>
        </is>
      </c>
      <c r="E1096" s="5" t="inlineStr">
        <is>
          <t>부산광역시 북구 산성로 71 (화명동)</t>
        </is>
      </c>
      <c r="F1096" s="5" t="inlineStr"/>
      <c r="G1096" s="5" t="inlineStr">
        <is>
          <t>051-361-9446</t>
        </is>
      </c>
      <c r="H1096" s="12">
        <f>어린이집!T717</f>
        <v/>
      </c>
      <c r="I1096" s="5" t="inlineStr">
        <is>
          <t>만1세 3 / 만2세 4 / 유아혼합반 19 / 기타(연령구분 없음) 18</t>
        </is>
      </c>
    </row>
    <row r="1097">
      <c r="A1097" s="5" t="inlineStr">
        <is>
          <t>태경어린이집</t>
        </is>
      </c>
      <c r="B1097" s="5" t="inlineStr">
        <is>
          <t>어린이집</t>
        </is>
      </c>
      <c r="C1097" s="5" t="inlineStr">
        <is>
          <t>가정</t>
        </is>
      </c>
      <c r="D1097" s="5" t="inlineStr">
        <is>
          <t>북구</t>
        </is>
      </c>
      <c r="E1097" s="5" t="inlineStr">
        <is>
          <t>부산광역시 북구 시랑로138번길 8 1동 103호(구포동, 태경)</t>
        </is>
      </c>
      <c r="F1097" s="11" t="inlineStr">
        <is>
          <t>http://cafe.daum.net/taekyung77</t>
        </is>
      </c>
      <c r="G1097" s="5" t="inlineStr">
        <is>
          <t>051-331-1242</t>
        </is>
      </c>
      <c r="H1097" s="12">
        <f>어린이집!T718</f>
        <v/>
      </c>
      <c r="I1097" s="5" t="inlineStr">
        <is>
          <t>만1세 7 / 만2세 5 / 영아혼합반 2 / 기타(연령구분 없음) 5</t>
        </is>
      </c>
    </row>
    <row r="1098">
      <c r="A1098" s="5" t="inlineStr">
        <is>
          <t>푸르메어린이집</t>
        </is>
      </c>
      <c r="B1098" s="5" t="inlineStr">
        <is>
          <t>어린이집</t>
        </is>
      </c>
      <c r="C1098" s="5" t="inlineStr">
        <is>
          <t>민간</t>
        </is>
      </c>
      <c r="D1098" s="5" t="inlineStr">
        <is>
          <t>북구</t>
        </is>
      </c>
      <c r="E1098" s="5" t="inlineStr">
        <is>
          <t>부산광역시 북구 금곡대로 166 화명롯데캐슬카이저 506동 뒷편</t>
        </is>
      </c>
      <c r="F1098" s="5" t="inlineStr"/>
      <c r="G1098" s="5" t="inlineStr">
        <is>
          <t>051-361-3554</t>
        </is>
      </c>
      <c r="H1098" s="12">
        <f>어린이집!T719</f>
        <v/>
      </c>
      <c r="I1098" s="5" t="inlineStr">
        <is>
          <t>만0세 6 / 만1세 23 / 만2세 21 / 기타(연령구분 없음) 5</t>
        </is>
      </c>
    </row>
    <row r="1099">
      <c r="A1099" s="5" t="inlineStr">
        <is>
          <t>푸른숲미래어린이집</t>
        </is>
      </c>
      <c r="B1099" s="5" t="inlineStr">
        <is>
          <t>어린이집</t>
        </is>
      </c>
      <c r="C1099" s="5" t="inlineStr">
        <is>
          <t>가정</t>
        </is>
      </c>
      <c r="D1099" s="5" t="inlineStr">
        <is>
          <t>북구</t>
        </is>
      </c>
      <c r="E1099" s="5" t="inlineStr">
        <is>
          <t>부산광역시 북구 금곡대로 264-1 408동 104호(화명동, 대림타운)</t>
        </is>
      </c>
      <c r="F1099" s="11" t="inlineStr">
        <is>
          <t>http://beakminhee@hanmail.net</t>
        </is>
      </c>
      <c r="G1099" s="5" t="inlineStr">
        <is>
          <t>051-331-3679</t>
        </is>
      </c>
      <c r="H1099" s="12">
        <f>어린이집!T720</f>
        <v/>
      </c>
      <c r="I1099" s="5" t="inlineStr">
        <is>
          <t>만0세 4 / 만2세 7 / 영아혼합반 2 / 기타(연령구분 없음) 5</t>
        </is>
      </c>
    </row>
    <row r="1100">
      <c r="A1100" s="5" t="inlineStr">
        <is>
          <t>푸른초원어린이집</t>
        </is>
      </c>
      <c r="B1100" s="5" t="inlineStr">
        <is>
          <t>어린이집</t>
        </is>
      </c>
      <c r="C1100" s="5" t="inlineStr">
        <is>
          <t>민간</t>
        </is>
      </c>
      <c r="D1100" s="5" t="inlineStr">
        <is>
          <t>북구</t>
        </is>
      </c>
      <c r="E1100" s="5" t="inlineStr">
        <is>
          <t>부산광역시 북구 화명신도시로 156 롯데낙천대아파트 관리동 (화명동)</t>
        </is>
      </c>
      <c r="F1100" s="5" t="inlineStr"/>
      <c r="G1100" s="5" t="inlineStr">
        <is>
          <t>051-363-0077</t>
        </is>
      </c>
      <c r="H1100" s="12">
        <f>어린이집!T721</f>
        <v/>
      </c>
      <c r="I1100" s="5" t="inlineStr">
        <is>
          <t>만0세 6 / 만1세 9 / 만2세 10 / 기타(연령구분 없음) 5</t>
        </is>
      </c>
    </row>
    <row r="1101">
      <c r="A1101" s="5" t="inlineStr">
        <is>
          <t>하늘채리틀베어어린이집</t>
        </is>
      </c>
      <c r="B1101" s="5" t="inlineStr">
        <is>
          <t>어린이집</t>
        </is>
      </c>
      <c r="C1101" s="5" t="inlineStr">
        <is>
          <t>가정</t>
        </is>
      </c>
      <c r="D1101" s="5" t="inlineStr">
        <is>
          <t>북구</t>
        </is>
      </c>
      <c r="E1101" s="5" t="inlineStr">
        <is>
          <t>부산광역시 북구 화명신도시로 100 코오롱하늘채 관리동 1층</t>
        </is>
      </c>
      <c r="F1101" s="5" t="inlineStr"/>
      <c r="G1101" s="5" t="inlineStr">
        <is>
          <t>051-362-1970</t>
        </is>
      </c>
      <c r="H1101" s="12">
        <f>어린이집!T722</f>
        <v/>
      </c>
      <c r="I1101" s="5" t="inlineStr">
        <is>
          <t>만0세 3 / 만1세 10 / 만2세 7 / 기타(연령구분 없음) 4</t>
        </is>
      </c>
    </row>
    <row r="1102">
      <c r="A1102" s="5" t="inlineStr">
        <is>
          <t>하늘채봄봄어린이집</t>
        </is>
      </c>
      <c r="B1102" s="5" t="inlineStr">
        <is>
          <t>어린이집</t>
        </is>
      </c>
      <c r="C1102" s="5" t="inlineStr">
        <is>
          <t>민간</t>
        </is>
      </c>
      <c r="D1102" s="5" t="inlineStr">
        <is>
          <t>북구</t>
        </is>
      </c>
      <c r="E1102" s="5" t="inlineStr">
        <is>
          <t>부산광역시 북구 화명신도시로 70 코오롱하늘채아파트 관리동 (화명동)</t>
        </is>
      </c>
      <c r="F1102" s="5" t="inlineStr"/>
      <c r="G1102" s="5" t="inlineStr">
        <is>
          <t>051-363-6658</t>
        </is>
      </c>
      <c r="H1102" s="12">
        <f>어린이집!T723</f>
        <v/>
      </c>
      <c r="I1102" s="5" t="inlineStr">
        <is>
          <t>만0세 3 / 만1세 8 / 만2세 7 / 기타(연령구분 없음) 4</t>
        </is>
      </c>
    </row>
    <row r="1103">
      <c r="A1103" s="5" t="inlineStr">
        <is>
          <t>한솔어린이집</t>
        </is>
      </c>
      <c r="B1103" s="5" t="inlineStr">
        <is>
          <t>어린이집</t>
        </is>
      </c>
      <c r="C1103" s="5" t="inlineStr">
        <is>
          <t>사회복지법인</t>
        </is>
      </c>
      <c r="D1103" s="5" t="inlineStr">
        <is>
          <t>북구</t>
        </is>
      </c>
      <c r="E1103" s="5" t="inlineStr">
        <is>
          <t>부산광역시 북구 상학산복길 159 (만덕동)</t>
        </is>
      </c>
      <c r="F1103" s="11" t="inlineStr">
        <is>
          <t>https://cafe.daum.net/hansol3653838</t>
        </is>
      </c>
      <c r="G1103" s="5" t="inlineStr">
        <is>
          <t>051-365-3838</t>
        </is>
      </c>
      <c r="H1103" s="12">
        <f>어린이집!T724</f>
        <v/>
      </c>
      <c r="I1103" s="5" t="inlineStr">
        <is>
          <t>장애아반(특수) 31</t>
        </is>
      </c>
    </row>
    <row r="1104">
      <c r="A1104" s="5" t="inlineStr">
        <is>
          <t>해나루어린이집</t>
        </is>
      </c>
      <c r="B1104" s="5" t="inlineStr">
        <is>
          <t>어린이집</t>
        </is>
      </c>
      <c r="C1104" s="5" t="inlineStr">
        <is>
          <t>민간</t>
        </is>
      </c>
      <c r="D1104" s="5" t="inlineStr">
        <is>
          <t>북구</t>
        </is>
      </c>
      <c r="E1104" s="5" t="inlineStr">
        <is>
          <t>부산광역시 북구 금곡대로470번길 29 신화명리버뷰아파트 관리동</t>
        </is>
      </c>
      <c r="F1104" s="5" t="inlineStr"/>
      <c r="G1104" s="5" t="inlineStr">
        <is>
          <t>051-365-2006</t>
        </is>
      </c>
      <c r="H1104" s="12">
        <f>어린이집!T725</f>
        <v/>
      </c>
      <c r="I1104" s="5" t="inlineStr">
        <is>
          <t>만0세 6 / 만1세 5 / 만2세 11 / 영아혼합반 8 / 기타(연령구분 없음) 4</t>
        </is>
      </c>
    </row>
    <row r="1105">
      <c r="A1105" s="5" t="inlineStr">
        <is>
          <t>해와달어린이집</t>
        </is>
      </c>
      <c r="B1105" s="5" t="inlineStr">
        <is>
          <t>어린이집</t>
        </is>
      </c>
      <c r="C1105" s="5" t="inlineStr">
        <is>
          <t>가정</t>
        </is>
      </c>
      <c r="D1105" s="5" t="inlineStr">
        <is>
          <t>북구</t>
        </is>
      </c>
      <c r="E1105" s="5" t="inlineStr">
        <is>
          <t>부산광역시 북구 금곡대로 268 405동 104호(화명동, 대림타운)</t>
        </is>
      </c>
      <c r="F1105" s="5" t="inlineStr"/>
      <c r="G1105" s="5" t="inlineStr">
        <is>
          <t>051-363-8674</t>
        </is>
      </c>
      <c r="H1105" s="12">
        <f>어린이집!T726</f>
        <v/>
      </c>
      <c r="I1105" s="5" t="inlineStr">
        <is>
          <t>만0세 8 / 만1세 5 / 만2세 7 / 기타(연령구분 없음) 5</t>
        </is>
      </c>
    </row>
    <row r="1106">
      <c r="A1106" s="5" t="inlineStr">
        <is>
          <t>해인어린이집</t>
        </is>
      </c>
      <c r="B1106" s="5" t="inlineStr">
        <is>
          <t>어린이집</t>
        </is>
      </c>
      <c r="C1106" s="5" t="inlineStr">
        <is>
          <t>민간</t>
        </is>
      </c>
      <c r="D1106" s="5" t="inlineStr">
        <is>
          <t>북구</t>
        </is>
      </c>
      <c r="E1106" s="5" t="inlineStr">
        <is>
          <t>부산광역시 북구 모분재로105번길 15 (구포동)</t>
        </is>
      </c>
      <c r="F1106" s="11" t="inlineStr">
        <is>
          <t>http://cafe.naver.com/haein8677</t>
        </is>
      </c>
      <c r="G1106" s="5" t="inlineStr">
        <is>
          <t>051-334-8677</t>
        </is>
      </c>
      <c r="H1106" s="12">
        <f>어린이집!T727</f>
        <v/>
      </c>
      <c r="I1106" s="5" t="inlineStr">
        <is>
          <t>만0세 6 / 만1세 10 / 만2세 7 / 만3세 9 / 만4세 11 / 만5세 12 / 영아혼합반 5 / 기타(연령구분 없음) 27</t>
        </is>
      </c>
    </row>
    <row r="1107">
      <c r="A1107" s="5" t="inlineStr">
        <is>
          <t>햇살가득한어린이집</t>
        </is>
      </c>
      <c r="B1107" s="5" t="inlineStr">
        <is>
          <t>어린이집</t>
        </is>
      </c>
      <c r="C1107" s="5" t="inlineStr">
        <is>
          <t>민간</t>
        </is>
      </c>
      <c r="D1107" s="5" t="inlineStr">
        <is>
          <t>북구</t>
        </is>
      </c>
      <c r="E1107" s="5" t="inlineStr">
        <is>
          <t>부산광역시 북구 덕천로52번길 25 (덕천동)</t>
        </is>
      </c>
      <c r="F1107" s="11" t="inlineStr">
        <is>
          <t>http://cafe.daum.net/sunfullkid</t>
        </is>
      </c>
      <c r="G1107" s="5" t="inlineStr">
        <is>
          <t>051-332-9740</t>
        </is>
      </c>
      <c r="H1107" s="12">
        <f>어린이집!T728</f>
        <v/>
      </c>
      <c r="I1107" s="5" t="inlineStr">
        <is>
          <t>만0세 6 / 만1세 9 / 만2세 19 / 만4세 9 / 만5세 11 / 유아혼합반 8 / 기타(연령구분 없음) 28</t>
        </is>
      </c>
    </row>
    <row r="1108">
      <c r="A1108" s="5" t="inlineStr">
        <is>
          <t>햇살마루어린이집</t>
        </is>
      </c>
      <c r="B1108" s="5" t="inlineStr">
        <is>
          <t>어린이집</t>
        </is>
      </c>
      <c r="C1108" s="5" t="inlineStr">
        <is>
          <t>가정</t>
        </is>
      </c>
      <c r="D1108" s="5" t="inlineStr">
        <is>
          <t>북구</t>
        </is>
      </c>
      <c r="E1108" s="5" t="inlineStr">
        <is>
          <t>부산광역시 북구 금곡대로 166 505동 102호 (화명동, 화명롯데캐슬카이저)</t>
        </is>
      </c>
      <c r="F1108" s="5" t="inlineStr"/>
      <c r="G1108" s="5" t="inlineStr">
        <is>
          <t>051-364-1213</t>
        </is>
      </c>
      <c r="H1108" s="12">
        <f>어린이집!T729</f>
        <v/>
      </c>
      <c r="I1108" s="5" t="inlineStr">
        <is>
          <t>만0세 6 / 만1세 3 / 만2세 6 / 영아혼합반 5 / 기타(연령구분 없음) 5</t>
        </is>
      </c>
    </row>
    <row r="1109">
      <c r="A1109" s="5" t="inlineStr">
        <is>
          <t>행복한어린이집</t>
        </is>
      </c>
      <c r="B1109" s="5" t="inlineStr">
        <is>
          <t>어린이집</t>
        </is>
      </c>
      <c r="C1109" s="5" t="inlineStr">
        <is>
          <t>가정</t>
        </is>
      </c>
      <c r="D1109" s="5" t="inlineStr">
        <is>
          <t>북구</t>
        </is>
      </c>
      <c r="E1109" s="5" t="inlineStr">
        <is>
          <t>부산광역시 북구 화명신도시로 100 201동 106호(화명동, 코오롱하늘채아파트)</t>
        </is>
      </c>
      <c r="F1109" s="11" t="inlineStr">
        <is>
          <t>http://(2013.9.1)대표자변경</t>
        </is>
      </c>
      <c r="G1109" s="5" t="inlineStr">
        <is>
          <t>051-335-8025</t>
        </is>
      </c>
      <c r="H1109" s="12">
        <f>어린이집!T730</f>
        <v/>
      </c>
      <c r="I1109" s="5" t="inlineStr">
        <is>
          <t>만0세 5 / 만1세 5 / 만2세 6 / 기타(연령구분 없음) 5</t>
        </is>
      </c>
    </row>
    <row r="1110">
      <c r="A1110" s="5" t="inlineStr">
        <is>
          <t>현대아이꿈터어린이집</t>
        </is>
      </c>
      <c r="B1110" s="5" t="inlineStr">
        <is>
          <t>어린이집</t>
        </is>
      </c>
      <c r="C1110" s="5" t="inlineStr">
        <is>
          <t>민간</t>
        </is>
      </c>
      <c r="D1110" s="5" t="inlineStr">
        <is>
          <t>북구</t>
        </is>
      </c>
      <c r="E1110" s="5" t="inlineStr">
        <is>
          <t>부산광역시 북구 화명신도시로 48 현대2차아파트 관리동</t>
        </is>
      </c>
      <c r="F1110" s="5" t="inlineStr"/>
      <c r="G1110" s="5" t="inlineStr">
        <is>
          <t>051-363-9994</t>
        </is>
      </c>
      <c r="H1110" s="12">
        <f>어린이집!T731</f>
        <v/>
      </c>
      <c r="I1110" s="5" t="inlineStr">
        <is>
          <t>만0세 2 / 만1세 9 / 만2세 12 / 영아혼합반 2 / 기타(연령구분 없음) 4</t>
        </is>
      </c>
    </row>
    <row r="1111">
      <c r="A1111" s="5" t="inlineStr">
        <is>
          <t>현대조은어린이집</t>
        </is>
      </c>
      <c r="B1111" s="5" t="inlineStr">
        <is>
          <t>어린이집</t>
        </is>
      </c>
      <c r="C1111" s="5" t="inlineStr">
        <is>
          <t>가정</t>
        </is>
      </c>
      <c r="D1111" s="5" t="inlineStr">
        <is>
          <t>북구</t>
        </is>
      </c>
      <c r="E1111" s="5" t="inlineStr">
        <is>
          <t>부산광역시 북구 백양대로 1003 105동 110호(구포동, 현대아파트)</t>
        </is>
      </c>
      <c r="F1111" s="5" t="inlineStr"/>
      <c r="G1111" s="5" t="inlineStr">
        <is>
          <t>051-333-8413</t>
        </is>
      </c>
      <c r="H1111" s="12">
        <f>어린이집!T732</f>
        <v/>
      </c>
      <c r="I1111" s="5" t="inlineStr">
        <is>
          <t>만0세 2 / 만1세 5 / 만2세 7 / 영아혼합반 1 / 기타(연령구분 없음) 3</t>
        </is>
      </c>
    </row>
    <row r="1112">
      <c r="A1112" s="5" t="inlineStr">
        <is>
          <t>화명어린이집</t>
        </is>
      </c>
      <c r="B1112" s="5" t="inlineStr">
        <is>
          <t>어린이집</t>
        </is>
      </c>
      <c r="C1112" s="5" t="inlineStr">
        <is>
          <t>국공립</t>
        </is>
      </c>
      <c r="D1112" s="5" t="inlineStr">
        <is>
          <t>북구</t>
        </is>
      </c>
      <c r="E1112" s="5" t="inlineStr">
        <is>
          <t>부산광역시 북구 금곡대로 166 화명롯데캐슬카이저 내 화명어린이집</t>
        </is>
      </c>
      <c r="F1112" s="5" t="inlineStr"/>
      <c r="G1112" s="5" t="inlineStr">
        <is>
          <t>051-332-4453</t>
        </is>
      </c>
      <c r="H1112" s="12">
        <f>어린이집!T733</f>
        <v/>
      </c>
      <c r="I1112" s="5" t="inlineStr">
        <is>
          <t>만0세 9 / 만1세 15 / 만2세 21 / 만3세 13 / 유아혼합반 5 / 기타(연령구분 없음) 4</t>
        </is>
      </c>
    </row>
    <row r="1113">
      <c r="A1113" s="5" t="inlineStr">
        <is>
          <t>화명유림어린이집</t>
        </is>
      </c>
      <c r="B1113" s="5" t="inlineStr">
        <is>
          <t>어린이집</t>
        </is>
      </c>
      <c r="C1113" s="5" t="inlineStr">
        <is>
          <t>국공립</t>
        </is>
      </c>
      <c r="D1113" s="5" t="inlineStr">
        <is>
          <t>북구</t>
        </is>
      </c>
      <c r="E1113" s="5" t="inlineStr">
        <is>
          <t>부산광역시 북구 화명대로 110</t>
        </is>
      </c>
      <c r="F1113" s="5" t="inlineStr"/>
      <c r="G1113" s="5" t="inlineStr">
        <is>
          <t>051-363-9933</t>
        </is>
      </c>
      <c r="H1113" s="12">
        <f>어린이집!T734</f>
        <v/>
      </c>
      <c r="I1113" s="5" t="inlineStr">
        <is>
          <t>만0세 6 / 만1세 18 / 만2세 21 / 장애아반(특수) 4 / 기타(연령구분 없음) 5</t>
        </is>
      </c>
    </row>
    <row r="1114">
      <c r="A1114" s="5" t="inlineStr">
        <is>
          <t>화명초등어린이집</t>
        </is>
      </c>
      <c r="B1114" s="5" t="inlineStr">
        <is>
          <t>어린이집</t>
        </is>
      </c>
      <c r="C1114" s="5" t="inlineStr">
        <is>
          <t>국공립</t>
        </is>
      </c>
      <c r="D1114" s="5" t="inlineStr">
        <is>
          <t>북구</t>
        </is>
      </c>
      <c r="E1114" s="5" t="inlineStr">
        <is>
          <t>부산광역시 북구 대천천길 65 화명초등학교내 화명초등어린이집</t>
        </is>
      </c>
      <c r="F1114" s="5" t="inlineStr"/>
      <c r="G1114" s="5" t="inlineStr">
        <is>
          <t>051-337-7251</t>
        </is>
      </c>
      <c r="H1114" s="12">
        <f>어린이집!T735</f>
        <v/>
      </c>
      <c r="I1114" s="5" t="inlineStr">
        <is>
          <t>만1세 4 / 만2세 5 / 영아혼합반 8</t>
        </is>
      </c>
    </row>
    <row r="1115">
      <c r="A1115" s="5" t="inlineStr">
        <is>
          <t>화명푸르지오헤리센트어린이집</t>
        </is>
      </c>
      <c r="B1115" s="5" t="inlineStr">
        <is>
          <t>어린이집</t>
        </is>
      </c>
      <c r="C1115" s="5" t="inlineStr">
        <is>
          <t>국공립</t>
        </is>
      </c>
      <c r="D1115" s="5" t="inlineStr">
        <is>
          <t>북구</t>
        </is>
      </c>
      <c r="E1115" s="5" t="inlineStr">
        <is>
          <t>부산광역시 북구 산성로 28 (화명동, 화명푸르지오헤리센트)</t>
        </is>
      </c>
      <c r="F1115" s="5" t="inlineStr"/>
      <c r="G1115" s="5" t="inlineStr">
        <is>
          <t>051-711-0994</t>
        </is>
      </c>
      <c r="H1115" s="12">
        <f>어린이집!T736</f>
        <v/>
      </c>
      <c r="I1115" s="5" t="inlineStr">
        <is>
          <t>만0세 9 / 만1세 20 / 만2세 28</t>
        </is>
      </c>
    </row>
    <row r="1116">
      <c r="A1116" s="5" t="inlineStr">
        <is>
          <t>화명플리체어린이집</t>
        </is>
      </c>
      <c r="B1116" s="5" t="inlineStr">
        <is>
          <t>어린이집</t>
        </is>
      </c>
      <c r="C1116" s="5" t="inlineStr">
        <is>
          <t>국공립</t>
        </is>
      </c>
      <c r="D1116" s="5" t="inlineStr">
        <is>
          <t>북구</t>
        </is>
      </c>
      <c r="E1116" s="5" t="inlineStr">
        <is>
          <t>부산광역시 북구 대천천길 109 관리동 어린이집(화명동, 화명플리체비스타동원)</t>
        </is>
      </c>
      <c r="F1116" s="5" t="inlineStr"/>
      <c r="G1116" s="5" t="inlineStr">
        <is>
          <t>051-929-5005</t>
        </is>
      </c>
      <c r="H1116" s="12">
        <f>어린이집!T737</f>
        <v/>
      </c>
      <c r="I1116" s="5" t="inlineStr">
        <is>
          <t>만0세 11 / 만1세 19 / 만2세 14 / 기타(연령구분 없음) 4</t>
        </is>
      </c>
    </row>
    <row r="1117">
      <c r="A1117" s="5" t="inlineStr">
        <is>
          <t>화명힐스어린이집</t>
        </is>
      </c>
      <c r="B1117" s="5" t="inlineStr">
        <is>
          <t>어린이집</t>
        </is>
      </c>
      <c r="C1117" s="5" t="inlineStr">
        <is>
          <t>민간</t>
        </is>
      </c>
      <c r="D1117" s="5" t="inlineStr">
        <is>
          <t>북구</t>
        </is>
      </c>
      <c r="E1117" s="5" t="inlineStr">
        <is>
          <t>부산광역시 북구 화명대로 68 e편한세상 화명힐스아파트 관리동</t>
        </is>
      </c>
      <c r="F1117" s="5" t="inlineStr"/>
      <c r="G1117" s="5" t="inlineStr">
        <is>
          <t>051-361-7009</t>
        </is>
      </c>
      <c r="H1117" s="12">
        <f>어린이집!T738</f>
        <v/>
      </c>
      <c r="I1117" s="5" t="inlineStr">
        <is>
          <t>만0세 18 / 만1세 15 / 만2세 18 / 기타(연령구분 없음) 5</t>
        </is>
      </c>
    </row>
    <row r="1118">
      <c r="A1118" s="5" t="inlineStr">
        <is>
          <t>효림어린이집</t>
        </is>
      </c>
      <c r="B1118" s="5" t="inlineStr">
        <is>
          <t>어린이집</t>
        </is>
      </c>
      <c r="C1118" s="5" t="inlineStr">
        <is>
          <t>민간</t>
        </is>
      </c>
      <c r="D1118" s="5" t="inlineStr">
        <is>
          <t>북구</t>
        </is>
      </c>
      <c r="E1118" s="5" t="inlineStr">
        <is>
          <t>부산광역시 북구 백양대로1016번길 100-47</t>
        </is>
      </c>
      <c r="F1118" s="5" t="inlineStr"/>
      <c r="G1118" s="5" t="inlineStr">
        <is>
          <t>051-334-0019</t>
        </is>
      </c>
      <c r="H1118" s="12">
        <f>어린이집!T739</f>
        <v/>
      </c>
      <c r="I1118" s="5" t="inlineStr">
        <is>
          <t>만1세 5 / 만2세 12 / 영아혼합반 3</t>
        </is>
      </c>
    </row>
    <row r="1119">
      <c r="A1119" s="5" t="inlineStr">
        <is>
          <t>휴먼시아어린이집</t>
        </is>
      </c>
      <c r="B1119" s="5" t="inlineStr">
        <is>
          <t>어린이집</t>
        </is>
      </c>
      <c r="C1119" s="5" t="inlineStr">
        <is>
          <t>가정</t>
        </is>
      </c>
      <c r="D1119" s="5" t="inlineStr">
        <is>
          <t>북구</t>
        </is>
      </c>
      <c r="E1119" s="5" t="inlineStr">
        <is>
          <t>부산광역시 북구 만덕1로51번길 11 , 202동 관리동어린이집(만덕동, 만덕3휴먼시아)</t>
        </is>
      </c>
      <c r="F1119" s="5" t="inlineStr"/>
      <c r="G1119" s="5" t="inlineStr">
        <is>
          <t>051-343-1555</t>
        </is>
      </c>
      <c r="H1119" s="12">
        <f>어린이집!T740</f>
        <v/>
      </c>
      <c r="I1119" s="5" t="inlineStr">
        <is>
          <t>만0세 6 / 만1세 5 / 만2세 8 / 기타(연령구분 없음) 5</t>
        </is>
      </c>
    </row>
    <row r="1120">
      <c r="A1120" s="5" t="inlineStr">
        <is>
          <t>감전꽃동산어린이집</t>
        </is>
      </c>
      <c r="B1120" s="5" t="inlineStr">
        <is>
          <t>어린이집</t>
        </is>
      </c>
      <c r="C1120" s="5" t="inlineStr">
        <is>
          <t>국공립</t>
        </is>
      </c>
      <c r="D1120" s="5" t="inlineStr">
        <is>
          <t>사상구</t>
        </is>
      </c>
      <c r="E1120" s="5" t="inlineStr">
        <is>
          <t>부산광역시 사상구 새벽시장로56번길 30 (감전동)</t>
        </is>
      </c>
      <c r="F1120" s="5" t="inlineStr"/>
      <c r="G1120" s="5" t="inlineStr">
        <is>
          <t>051-316-3001</t>
        </is>
      </c>
      <c r="H1120" s="12">
        <f>어린이집!T741</f>
        <v/>
      </c>
      <c r="I1120" s="5" t="inlineStr">
        <is>
          <t>만0세 3 / 만1세 13 / 만2세 21 / 만3세 6 / 만4세 12 / 만5세 9 / 영아혼합반 6 / 기타(연령구분 없음) 28</t>
        </is>
      </c>
    </row>
    <row r="1121">
      <c r="A1121" s="5" t="inlineStr">
        <is>
          <t>강변해맑은어린이집</t>
        </is>
      </c>
      <c r="B1121" s="5" t="inlineStr">
        <is>
          <t>어린이집</t>
        </is>
      </c>
      <c r="C1121" s="5" t="inlineStr">
        <is>
          <t>가정</t>
        </is>
      </c>
      <c r="D1121" s="5" t="inlineStr">
        <is>
          <t>사상구</t>
        </is>
      </c>
      <c r="E1121" s="5" t="inlineStr">
        <is>
          <t>부산광역시 사상구 낙동대로1210번길 34 103동 105호(괘법동, 사상강변동원아파트)</t>
        </is>
      </c>
      <c r="F1121" s="5" t="inlineStr"/>
      <c r="G1121" s="5" t="inlineStr">
        <is>
          <t>051-326-1822</t>
        </is>
      </c>
      <c r="H1121" s="12">
        <f>어린이집!T742</f>
        <v/>
      </c>
      <c r="I1121" s="5" t="inlineStr">
        <is>
          <t>만1세 4 / 만2세 7 / 영아혼합반 2 / 기타(연령구분 없음) 8</t>
        </is>
      </c>
    </row>
    <row r="1122">
      <c r="A1122" s="5" t="inlineStr">
        <is>
          <t>경동메르빌어린이집</t>
        </is>
      </c>
      <c r="B1122" s="5" t="inlineStr">
        <is>
          <t>어린이집</t>
        </is>
      </c>
      <c r="C1122" s="5" t="inlineStr">
        <is>
          <t>민간</t>
        </is>
      </c>
      <c r="D1122" s="5" t="inlineStr">
        <is>
          <t>사상구</t>
        </is>
      </c>
      <c r="E1122" s="5" t="inlineStr">
        <is>
          <t>부산광역시 사상구 덕상로 8-37 201동(덕포동,경동메르빌아파트)</t>
        </is>
      </c>
      <c r="F1122" s="5" t="inlineStr"/>
      <c r="G1122" s="5" t="inlineStr">
        <is>
          <t>051-305-3821</t>
        </is>
      </c>
      <c r="H1122" s="12">
        <f>어린이집!T743</f>
        <v/>
      </c>
      <c r="I1122" s="5" t="inlineStr">
        <is>
          <t>만0세 1 / 만1세 5 / 만2세 8 / 기타(연령구분 없음) 3</t>
        </is>
      </c>
    </row>
    <row r="1123">
      <c r="A1123" s="5" t="inlineStr">
        <is>
          <t>근로복지공단부산어린이집</t>
        </is>
      </c>
      <c r="B1123" s="5" t="inlineStr">
        <is>
          <t>어린이집</t>
        </is>
      </c>
      <c r="C1123" s="5" t="inlineStr">
        <is>
          <t>법인·단체등</t>
        </is>
      </c>
      <c r="D1123" s="5" t="inlineStr">
        <is>
          <t>사상구</t>
        </is>
      </c>
      <c r="E1123" s="5" t="inlineStr">
        <is>
          <t>부산광역시 사상구 사상로 255 (괘법동)</t>
        </is>
      </c>
      <c r="F1123" s="11" t="inlineStr">
        <is>
          <t>https://www.comwel.or.kr/kids/busan/intro.do</t>
        </is>
      </c>
      <c r="G1123" s="5" t="inlineStr">
        <is>
          <t>051-311-7204</t>
        </is>
      </c>
      <c r="H1123" s="12">
        <f>어린이집!T744</f>
        <v/>
      </c>
      <c r="I1123" s="5" t="inlineStr">
        <is>
          <t>만0세 9 / 만1세 14 / 만2세 24 / 만3세 14 / 만4세 20 / 만5세 24 / 기타(연령구분 없음) 19</t>
        </is>
      </c>
    </row>
    <row r="1124">
      <c r="A1124" s="5" t="inlineStr">
        <is>
          <t>금강어린이집</t>
        </is>
      </c>
      <c r="B1124" s="5" t="inlineStr">
        <is>
          <t>어린이집</t>
        </is>
      </c>
      <c r="C1124" s="5" t="inlineStr">
        <is>
          <t>가정</t>
        </is>
      </c>
      <c r="D1124" s="5" t="inlineStr">
        <is>
          <t>사상구</t>
        </is>
      </c>
      <c r="E1124" s="5" t="inlineStr">
        <is>
          <t>부산광역시 사상구 대동로64번길 25 103동 110호(학장동, 금강아파트)</t>
        </is>
      </c>
      <c r="F1124" s="5" t="inlineStr"/>
      <c r="G1124" s="5" t="inlineStr">
        <is>
          <t>051-317-8880</t>
        </is>
      </c>
      <c r="H1124" s="12">
        <f>어린이집!T745</f>
        <v/>
      </c>
      <c r="I1124" s="5" t="inlineStr">
        <is>
          <t>만0세 2 / 만1세 3 / 만2세 4 / 기타(연령구분 없음) 4</t>
        </is>
      </c>
    </row>
    <row r="1125">
      <c r="A1125" s="5" t="inlineStr">
        <is>
          <t>꼬마나라어린이집</t>
        </is>
      </c>
      <c r="B1125" s="5" t="inlineStr">
        <is>
          <t>어린이집</t>
        </is>
      </c>
      <c r="C1125" s="5" t="inlineStr">
        <is>
          <t>가정</t>
        </is>
      </c>
      <c r="D1125" s="5" t="inlineStr">
        <is>
          <t>사상구</t>
        </is>
      </c>
      <c r="E1125" s="5" t="inlineStr">
        <is>
          <t>부산광역시 사상구 백양대로 372-15 109동 103호(주례동, 한일유앤아이아파트)</t>
        </is>
      </c>
      <c r="F1125" s="5" t="inlineStr"/>
      <c r="G1125" s="5" t="inlineStr">
        <is>
          <t>051-315-4566</t>
        </is>
      </c>
      <c r="H1125" s="12">
        <f>어린이집!T746</f>
        <v/>
      </c>
      <c r="I1125" s="5" t="inlineStr">
        <is>
          <t>만0세 3 / 만1세 8 / 만2세 6 / 기타(연령구분 없음) 5</t>
        </is>
      </c>
    </row>
    <row r="1126">
      <c r="A1126" s="5" t="inlineStr">
        <is>
          <t>꿈나래어린이집</t>
        </is>
      </c>
      <c r="B1126" s="5" t="inlineStr">
        <is>
          <t>어린이집</t>
        </is>
      </c>
      <c r="C1126" s="5" t="inlineStr">
        <is>
          <t>민간</t>
        </is>
      </c>
      <c r="D1126" s="5" t="inlineStr">
        <is>
          <t>사상구</t>
        </is>
      </c>
      <c r="E1126" s="5" t="inlineStr">
        <is>
          <t>부산광역시 사상구 모라로110번길 88 백양그린아파트관리사무실2층</t>
        </is>
      </c>
      <c r="F1126" s="11" t="inlineStr">
        <is>
          <t>https://blog.naver.com/kkomnala</t>
        </is>
      </c>
      <c r="G1126" s="5" t="inlineStr">
        <is>
          <t>051-714-5056</t>
        </is>
      </c>
      <c r="H1126" s="12">
        <f>어린이집!T747</f>
        <v/>
      </c>
      <c r="I1126" s="5" t="inlineStr">
        <is>
          <t>만0세 7 / 만1세 10 / 만2세 13 / 영아혼합반 3 / 기타(연령구분 없음) 11</t>
        </is>
      </c>
    </row>
    <row r="1127">
      <c r="A1127" s="5" t="inlineStr">
        <is>
          <t>꿈동산어린이집</t>
        </is>
      </c>
      <c r="B1127" s="5" t="inlineStr">
        <is>
          <t>어린이집</t>
        </is>
      </c>
      <c r="C1127" s="5" t="inlineStr">
        <is>
          <t>민간</t>
        </is>
      </c>
      <c r="D1127" s="5" t="inlineStr">
        <is>
          <t>사상구</t>
        </is>
      </c>
      <c r="E1127" s="5" t="inlineStr">
        <is>
          <t>부산광역시 사상구 학감대로123번길 19-33 신구덕우성아파트 관리동1층</t>
        </is>
      </c>
      <c r="F1127" s="5" t="inlineStr"/>
      <c r="G1127" s="5" t="inlineStr">
        <is>
          <t>051-311-8072</t>
        </is>
      </c>
      <c r="H1127" s="12">
        <f>어린이집!T748</f>
        <v/>
      </c>
      <c r="I1127" s="5" t="inlineStr">
        <is>
          <t>만0세 2 / 만2세 4 / 영아혼합반 3 / 기타(연령구분 없음) 3</t>
        </is>
      </c>
    </row>
    <row r="1128">
      <c r="A1128" s="5" t="inlineStr">
        <is>
          <t>다누림어린이집</t>
        </is>
      </c>
      <c r="B1128" s="5" t="inlineStr">
        <is>
          <t>어린이집</t>
        </is>
      </c>
      <c r="C1128" s="5" t="inlineStr">
        <is>
          <t>국공립</t>
        </is>
      </c>
      <c r="D1128" s="5" t="inlineStr">
        <is>
          <t>사상구</t>
        </is>
      </c>
      <c r="E1128" s="5" t="inlineStr">
        <is>
          <t>부산광역시 사상구 가야대로196번길 51 1층(학장동,다누림센터)</t>
        </is>
      </c>
      <c r="F1128" s="11" t="inlineStr">
        <is>
          <t>http://suklgsuklg@naver.com</t>
        </is>
      </c>
      <c r="G1128" s="5" t="inlineStr">
        <is>
          <t>051-315-8383</t>
        </is>
      </c>
      <c r="H1128" s="12">
        <f>어린이집!T749</f>
        <v/>
      </c>
      <c r="I1128" s="5" t="inlineStr">
        <is>
          <t>만0세 3 / 만1세 3 / 만2세 4 / 유아혼합반 11 / 장애아반(특수) 5</t>
        </is>
      </c>
    </row>
    <row r="1129">
      <c r="A1129" s="5" t="inlineStr">
        <is>
          <t>다니엘어린이집</t>
        </is>
      </c>
      <c r="B1129" s="5" t="inlineStr">
        <is>
          <t>어린이집</t>
        </is>
      </c>
      <c r="C1129" s="5" t="inlineStr">
        <is>
          <t>가정</t>
        </is>
      </c>
      <c r="D1129" s="5" t="inlineStr">
        <is>
          <t>사상구</t>
        </is>
      </c>
      <c r="E1129" s="5" t="inlineStr">
        <is>
          <t>부산광역시 사상구 학감대로 109-14 106동 101호(학장동, 신구덕우성)</t>
        </is>
      </c>
      <c r="F1129" s="5" t="inlineStr"/>
      <c r="G1129" s="5" t="inlineStr">
        <is>
          <t>051-323-5137</t>
        </is>
      </c>
      <c r="H1129" s="12">
        <f>어린이집!T750</f>
        <v/>
      </c>
      <c r="I1129" s="5" t="inlineStr">
        <is>
          <t>영아혼합반 12 / 기타(연령구분 없음) 5</t>
        </is>
      </c>
    </row>
    <row r="1130">
      <c r="A1130" s="5" t="inlineStr">
        <is>
          <t>다솜어린이집</t>
        </is>
      </c>
      <c r="B1130" s="5" t="inlineStr">
        <is>
          <t>어린이집</t>
        </is>
      </c>
      <c r="C1130" s="5" t="inlineStr">
        <is>
          <t>가정</t>
        </is>
      </c>
      <c r="D1130" s="5" t="inlineStr">
        <is>
          <t>사상구</t>
        </is>
      </c>
      <c r="E1130" s="5" t="inlineStr">
        <is>
          <t>부산광역시 사상구 대동로64번길 25 102동 107호(학장동, 금강아파트)</t>
        </is>
      </c>
      <c r="F1130" s="11" t="inlineStr">
        <is>
          <t>https://cafe.naver.com/dasom3277919</t>
        </is>
      </c>
      <c r="G1130" s="5" t="inlineStr">
        <is>
          <t>051-327-7919</t>
        </is>
      </c>
      <c r="H1130" s="12">
        <f>어린이집!T751</f>
        <v/>
      </c>
      <c r="I1130" s="5" t="inlineStr">
        <is>
          <t>만0세 2 / 영아혼합반 4 / 기타(연령구분 없음) 9</t>
        </is>
      </c>
    </row>
    <row r="1131">
      <c r="A1131" s="5" t="inlineStr">
        <is>
          <t>대림어린이집</t>
        </is>
      </c>
      <c r="B1131" s="5" t="inlineStr">
        <is>
          <t>어린이집</t>
        </is>
      </c>
      <c r="C1131" s="5" t="inlineStr">
        <is>
          <t>민간</t>
        </is>
      </c>
      <c r="D1131" s="5" t="inlineStr">
        <is>
          <t>사상구</t>
        </is>
      </c>
      <c r="E1131" s="5" t="inlineStr">
        <is>
          <t>부산광역시 사상구 엄궁로 154 501호 (엄궁동, 대림아파트)</t>
        </is>
      </c>
      <c r="F1131" s="5" t="inlineStr"/>
      <c r="G1131" s="5" t="inlineStr">
        <is>
          <t>051-326-8112</t>
        </is>
      </c>
      <c r="H1131" s="12">
        <f>어린이집!T752</f>
        <v/>
      </c>
      <c r="I1131" s="5" t="inlineStr">
        <is>
          <t>만1세 5 / 만2세 5 / 영아혼합반 7 / 기타(연령구분 없음) 4</t>
        </is>
      </c>
    </row>
    <row r="1132">
      <c r="A1132" s="5" t="inlineStr">
        <is>
          <t>덕상어린이집</t>
        </is>
      </c>
      <c r="B1132" s="5" t="inlineStr">
        <is>
          <t>어린이집</t>
        </is>
      </c>
      <c r="C1132" s="5" t="inlineStr">
        <is>
          <t>민간</t>
        </is>
      </c>
      <c r="D1132" s="5" t="inlineStr">
        <is>
          <t>사상구</t>
        </is>
      </c>
      <c r="E1132" s="5" t="inlineStr">
        <is>
          <t>부산광역시 사상구 백양대로768번길 33 (덕포동)</t>
        </is>
      </c>
      <c r="F1132" s="5" t="inlineStr"/>
      <c r="G1132" s="5" t="inlineStr">
        <is>
          <t>051-303-5232</t>
        </is>
      </c>
      <c r="H1132" s="12">
        <f>어린이집!T753</f>
        <v/>
      </c>
      <c r="I1132" s="5" t="inlineStr">
        <is>
          <t>영아혼합반 11 / 기타(연령구분 없음) 3</t>
        </is>
      </c>
    </row>
    <row r="1133">
      <c r="A1133" s="5" t="inlineStr">
        <is>
          <t>덕포중흥어린이집</t>
        </is>
      </c>
      <c r="B1133" s="5" t="inlineStr">
        <is>
          <t>어린이집</t>
        </is>
      </c>
      <c r="C1133" s="5" t="inlineStr">
        <is>
          <t>국공립</t>
        </is>
      </c>
      <c r="D1133" s="5" t="inlineStr">
        <is>
          <t>사상구</t>
        </is>
      </c>
      <c r="E1133" s="5" t="inlineStr">
        <is>
          <t>부산광역시 사상구 사상로 300</t>
        </is>
      </c>
      <c r="F1133" s="5" t="inlineStr"/>
      <c r="G1133" s="5" t="inlineStr">
        <is>
          <t>051-304-7731</t>
        </is>
      </c>
      <c r="H1133" s="12">
        <f>어린이집!T754</f>
        <v/>
      </c>
      <c r="I1133" s="5" t="inlineStr">
        <is>
          <t>만0세 9 / 만1세 25 / 만2세 26 / 기타(연령구분 없음) 12</t>
        </is>
      </c>
    </row>
    <row r="1134">
      <c r="A1134" s="5" t="inlineStr">
        <is>
          <t>도담어린이집</t>
        </is>
      </c>
      <c r="B1134" s="5" t="inlineStr">
        <is>
          <t>어린이집</t>
        </is>
      </c>
      <c r="C1134" s="5" t="inlineStr">
        <is>
          <t>민간</t>
        </is>
      </c>
      <c r="D1134" s="5" t="inlineStr">
        <is>
          <t>사상구</t>
        </is>
      </c>
      <c r="E1134" s="5" t="inlineStr">
        <is>
          <t>부산광역시 사상구 백양대로342번길 17 신주례엘지아파트 201동앞</t>
        </is>
      </c>
      <c r="F1134" s="11" t="inlineStr">
        <is>
          <t>http://www.dodamkids.net</t>
        </is>
      </c>
      <c r="G1134" s="5" t="inlineStr">
        <is>
          <t>051-312-5004</t>
        </is>
      </c>
      <c r="H1134" s="12">
        <f>어린이집!T755</f>
        <v/>
      </c>
      <c r="I1134" s="5" t="inlineStr">
        <is>
          <t>만0세 9 / 만1세 16 / 만2세 12 / 만3세 5 / 기타(연령구분 없음) 7</t>
        </is>
      </c>
    </row>
    <row r="1135">
      <c r="A1135" s="5" t="inlineStr">
        <is>
          <t>동성럭키어린이집</t>
        </is>
      </c>
      <c r="B1135" s="5" t="inlineStr">
        <is>
          <t>어린이집</t>
        </is>
      </c>
      <c r="C1135" s="5" t="inlineStr">
        <is>
          <t>민간</t>
        </is>
      </c>
      <c r="D1135" s="5" t="inlineStr">
        <is>
          <t>사상구</t>
        </is>
      </c>
      <c r="E1135" s="5" t="inlineStr">
        <is>
          <t>부산광역시 사상구 주례로 116 (주례동)</t>
        </is>
      </c>
      <c r="F1135" s="11" t="inlineStr">
        <is>
          <t>https://blog.naver.com/dongsung7120</t>
        </is>
      </c>
      <c r="G1135" s="5" t="inlineStr">
        <is>
          <t>051-325-7120</t>
        </is>
      </c>
      <c r="H1135" s="12">
        <f>어린이집!T756</f>
        <v/>
      </c>
      <c r="I1135" s="5" t="inlineStr">
        <is>
          <t>만0세 9 / 만1세 10 / 만2세 20 / 기타(연령구분 없음) 5</t>
        </is>
      </c>
    </row>
    <row r="1136">
      <c r="A1136" s="5" t="inlineStr">
        <is>
          <t>동원과학어린이집</t>
        </is>
      </c>
      <c r="B1136" s="5" t="inlineStr">
        <is>
          <t>어린이집</t>
        </is>
      </c>
      <c r="C1136" s="5" t="inlineStr">
        <is>
          <t>민간</t>
        </is>
      </c>
      <c r="D1136" s="5" t="inlineStr">
        <is>
          <t>사상구</t>
        </is>
      </c>
      <c r="E1136" s="5" t="inlineStr">
        <is>
          <t>부산광역시 사상구 낙동대로1210번길 34 관리동1층(괘법동,사상강변동원아파트)</t>
        </is>
      </c>
      <c r="F1136" s="5" t="inlineStr"/>
      <c r="G1136" s="5" t="inlineStr">
        <is>
          <t>051-323-0801</t>
        </is>
      </c>
      <c r="H1136" s="12">
        <f>어린이집!T757</f>
        <v/>
      </c>
      <c r="I1136" s="5" t="inlineStr">
        <is>
          <t>만0세 9 / 만1세 15 / 만2세 15 / 기타(연령구분 없음) 5</t>
        </is>
      </c>
    </row>
    <row r="1137">
      <c r="A1137" s="5" t="inlineStr">
        <is>
          <t>동원로얄듀크어린이집</t>
        </is>
      </c>
      <c r="B1137" s="5" t="inlineStr">
        <is>
          <t>어린이집</t>
        </is>
      </c>
      <c r="C1137" s="5" t="inlineStr">
        <is>
          <t>국공립</t>
        </is>
      </c>
      <c r="D1137" s="5" t="inlineStr">
        <is>
          <t>사상구</t>
        </is>
      </c>
      <c r="E1137" s="5" t="inlineStr">
        <is>
          <t>부산광역시 사상구 백양대로934번길 94 (모라동, 구남역동원로얄듀크아파트)</t>
        </is>
      </c>
      <c r="F1137" s="5" t="inlineStr"/>
      <c r="G1137" s="5" t="inlineStr">
        <is>
          <t>051-311-3838</t>
        </is>
      </c>
      <c r="H1137" s="12">
        <f>어린이집!T758</f>
        <v/>
      </c>
      <c r="I1137" s="5" t="inlineStr">
        <is>
          <t>만0세 3 / 만1세 14 / 만2세 10 / 영아혼합반 3 / 기타(연령구분 없음) 5</t>
        </is>
      </c>
    </row>
    <row r="1138">
      <c r="A1138" s="5" t="inlineStr">
        <is>
          <t>동화나라어린이집</t>
        </is>
      </c>
      <c r="B1138" s="5" t="inlineStr">
        <is>
          <t>어린이집</t>
        </is>
      </c>
      <c r="C1138" s="5" t="inlineStr">
        <is>
          <t>가정</t>
        </is>
      </c>
      <c r="D1138" s="5" t="inlineStr">
        <is>
          <t>사상구</t>
        </is>
      </c>
      <c r="E1138" s="5" t="inlineStr">
        <is>
          <t>부산광역시 사상구 백양대로934번길 84 108동 102호(모라동, 모라벽산)</t>
        </is>
      </c>
      <c r="F1138" s="5" t="inlineStr"/>
      <c r="G1138" s="5" t="inlineStr">
        <is>
          <t>051-313-8858</t>
        </is>
      </c>
      <c r="H1138" s="12">
        <f>어린이집!T759</f>
        <v/>
      </c>
      <c r="I1138" s="5" t="inlineStr">
        <is>
          <t>영아혼합반 6 / 기타(연령구분 없음) 4</t>
        </is>
      </c>
    </row>
    <row r="1139">
      <c r="A1139" s="5" t="inlineStr">
        <is>
          <t>동화속어린이집</t>
        </is>
      </c>
      <c r="B1139" s="5" t="inlineStr">
        <is>
          <t>어린이집</t>
        </is>
      </c>
      <c r="C1139" s="5" t="inlineStr">
        <is>
          <t>민간</t>
        </is>
      </c>
      <c r="D1139" s="5" t="inlineStr">
        <is>
          <t>사상구</t>
        </is>
      </c>
      <c r="E1139" s="5" t="inlineStr">
        <is>
          <t>부산광역시 사상구 광장로21번길 66 (괘법동, LH아파트관리동)</t>
        </is>
      </c>
      <c r="F1139" s="5" t="inlineStr"/>
      <c r="G1139" s="5" t="inlineStr">
        <is>
          <t>051-317-7191</t>
        </is>
      </c>
      <c r="H1139" s="12">
        <f>어린이집!T760</f>
        <v/>
      </c>
      <c r="I1139" s="5" t="inlineStr">
        <is>
          <t>만0세 6 / 만1세 4 / 만2세 7 / 영아혼합반 5 / 기타(연령구분 없음) 4</t>
        </is>
      </c>
    </row>
    <row r="1140">
      <c r="A1140" s="5" t="inlineStr">
        <is>
          <t>드림키즈어린이집</t>
        </is>
      </c>
      <c r="B1140" s="5" t="inlineStr">
        <is>
          <t>어린이집</t>
        </is>
      </c>
      <c r="C1140" s="5" t="inlineStr">
        <is>
          <t>민간</t>
        </is>
      </c>
      <c r="D1140" s="5" t="inlineStr">
        <is>
          <t>사상구</t>
        </is>
      </c>
      <c r="E1140" s="5" t="inlineStr">
        <is>
          <t>부산광역시 사상구 대동로 84 관리동 (학장동, 학장무학)</t>
        </is>
      </c>
      <c r="F1140" s="5" t="inlineStr"/>
      <c r="G1140" s="5" t="inlineStr">
        <is>
          <t>051-316-4364</t>
        </is>
      </c>
      <c r="H1140" s="12">
        <f>어린이집!T761</f>
        <v/>
      </c>
      <c r="I1140" s="5" t="inlineStr">
        <is>
          <t>만0세 1 / 만1세 4 / 만2세 3</t>
        </is>
      </c>
    </row>
    <row r="1141">
      <c r="A1141" s="5" t="inlineStr">
        <is>
          <t>또래어린이집</t>
        </is>
      </c>
      <c r="B1141" s="5" t="inlineStr">
        <is>
          <t>어린이집</t>
        </is>
      </c>
      <c r="C1141" s="5" t="inlineStr">
        <is>
          <t>가정</t>
        </is>
      </c>
      <c r="D1141" s="5" t="inlineStr">
        <is>
          <t>사상구</t>
        </is>
      </c>
      <c r="E1141" s="5" t="inlineStr">
        <is>
          <t>부산광역시 사상구 학감대로 109-14 102동 101호(학장동, 신구덕우성)</t>
        </is>
      </c>
      <c r="F1141" s="11" t="inlineStr">
        <is>
          <t>http://cafe.daum.net/qntksehfo</t>
        </is>
      </c>
      <c r="G1141" s="5" t="inlineStr">
        <is>
          <t>051-324-8600</t>
        </is>
      </c>
      <c r="H1141" s="12">
        <f>어린이집!T762</f>
        <v/>
      </c>
      <c r="I1141" s="5" t="inlineStr">
        <is>
          <t>만0세 4 / 만1세 4 / 만2세 5 / 기타(연령구분 없음) 5</t>
        </is>
      </c>
    </row>
    <row r="1142">
      <c r="A1142" s="5" t="inlineStr">
        <is>
          <t>롯데캐슬어린이집</t>
        </is>
      </c>
      <c r="B1142" s="5" t="inlineStr">
        <is>
          <t>어린이집</t>
        </is>
      </c>
      <c r="C1142" s="5" t="inlineStr">
        <is>
          <t>민간</t>
        </is>
      </c>
      <c r="D1142" s="5" t="inlineStr">
        <is>
          <t>사상구</t>
        </is>
      </c>
      <c r="E1142" s="5" t="inlineStr">
        <is>
          <t>부산광역시 사상구 엄궁북로 40 507동(엄궁동, 롯데캐슬)</t>
        </is>
      </c>
      <c r="F1142" s="5" t="inlineStr"/>
      <c r="G1142" s="5" t="inlineStr">
        <is>
          <t>051-311-0223</t>
        </is>
      </c>
      <c r="H1142" s="12">
        <f>어린이집!T763</f>
        <v/>
      </c>
      <c r="I1142" s="5" t="inlineStr">
        <is>
          <t>만0세 9 / 만1세 19 / 만2세 14 / 만3세 14 / 기타(연령구분 없음) 10</t>
        </is>
      </c>
    </row>
    <row r="1143">
      <c r="A1143" s="5" t="inlineStr">
        <is>
          <t>롯데캐슬초록어린이집</t>
        </is>
      </c>
      <c r="B1143" s="5" t="inlineStr">
        <is>
          <t>어린이집</t>
        </is>
      </c>
      <c r="C1143" s="5" t="inlineStr">
        <is>
          <t>가정</t>
        </is>
      </c>
      <c r="D1143" s="5" t="inlineStr">
        <is>
          <t>사상구</t>
        </is>
      </c>
      <c r="E1143" s="5" t="inlineStr">
        <is>
          <t>부산광역시 사상구 엄궁북로 62 202동 102호(엄궁동, 롯데캐슬리버)</t>
        </is>
      </c>
      <c r="F1143" s="5" t="inlineStr"/>
      <c r="G1143" s="5" t="inlineStr">
        <is>
          <t>051-913-6664</t>
        </is>
      </c>
      <c r="H1143" s="12">
        <f>어린이집!T764</f>
        <v/>
      </c>
      <c r="I1143" s="5" t="inlineStr">
        <is>
          <t>만1세 7 / 영아혼합반 2 / 기타(연령구분 없음) 8</t>
        </is>
      </c>
    </row>
    <row r="1144">
      <c r="A1144" s="5" t="inlineStr">
        <is>
          <t>롯데큰별어린이집</t>
        </is>
      </c>
      <c r="B1144" s="5" t="inlineStr">
        <is>
          <t>어린이집</t>
        </is>
      </c>
      <c r="C1144" s="5" t="inlineStr">
        <is>
          <t>가정</t>
        </is>
      </c>
      <c r="D1144" s="5" t="inlineStr">
        <is>
          <t>사상구</t>
        </is>
      </c>
      <c r="E1144" s="5" t="inlineStr">
        <is>
          <t>부산광역시 사상구 엄궁북로 62 205동 101호(엄궁동,롯데캐슬리버)</t>
        </is>
      </c>
      <c r="F1144" s="5" t="inlineStr"/>
      <c r="G1144" s="5" t="inlineStr">
        <is>
          <t>051-313-6002</t>
        </is>
      </c>
      <c r="H1144" s="12">
        <f>어린이집!T765</f>
        <v/>
      </c>
      <c r="I1144" s="5" t="inlineStr">
        <is>
          <t>만0세 3 / 만1세 4 / 만2세 6 / 기타(연령구분 없음) 4</t>
        </is>
      </c>
    </row>
    <row r="1145">
      <c r="A1145" s="5" t="inlineStr">
        <is>
          <t>모라어린이집</t>
        </is>
      </c>
      <c r="B1145" s="5" t="inlineStr">
        <is>
          <t>어린이집</t>
        </is>
      </c>
      <c r="C1145" s="5" t="inlineStr">
        <is>
          <t>국공립</t>
        </is>
      </c>
      <c r="D1145" s="5" t="inlineStr">
        <is>
          <t>사상구</t>
        </is>
      </c>
      <c r="E1145" s="5" t="inlineStr">
        <is>
          <t>부산광역시 사상구 모라로110번길 129 모라종합사회복지관 모라어린이집</t>
        </is>
      </c>
      <c r="F1145" s="5" t="inlineStr"/>
      <c r="G1145" s="5" t="inlineStr">
        <is>
          <t>051-302-8912</t>
        </is>
      </c>
      <c r="H1145" s="12">
        <f>어린이집!T766</f>
        <v/>
      </c>
      <c r="I1145" s="5" t="inlineStr">
        <is>
          <t>만0세 6 / 만3세 10 / 영아혼합반 10 / 유아혼합반 10 / 장애아반(특수) 3 / 기타(연령구분 없음) 17</t>
        </is>
      </c>
    </row>
    <row r="1146">
      <c r="A1146" s="5" t="inlineStr">
        <is>
          <t>무덕어린이집</t>
        </is>
      </c>
      <c r="B1146" s="5" t="inlineStr">
        <is>
          <t>어린이집</t>
        </is>
      </c>
      <c r="C1146" s="5" t="inlineStr">
        <is>
          <t>민간</t>
        </is>
      </c>
      <c r="D1146" s="5" t="inlineStr">
        <is>
          <t>사상구</t>
        </is>
      </c>
      <c r="E1146" s="5" t="inlineStr">
        <is>
          <t>부산광역시 사상구 냉정로 78 (주례동)</t>
        </is>
      </c>
      <c r="F1146" s="11" t="inlineStr">
        <is>
          <t>https://blog.naver.com/md_child</t>
        </is>
      </c>
      <c r="G1146" s="5" t="inlineStr">
        <is>
          <t>051-315-3580</t>
        </is>
      </c>
      <c r="H1146" s="12">
        <f>어린이집!T767</f>
        <v/>
      </c>
      <c r="I1146" s="5" t="inlineStr">
        <is>
          <t>만1세 5 / 만2세 7 / 기타(연령구분 없음) 5</t>
        </is>
      </c>
    </row>
    <row r="1147">
      <c r="A1147" s="5" t="inlineStr">
        <is>
          <t>민들레어린이집</t>
        </is>
      </c>
      <c r="B1147" s="5" t="inlineStr">
        <is>
          <t>어린이집</t>
        </is>
      </c>
      <c r="C1147" s="5" t="inlineStr">
        <is>
          <t>국공립</t>
        </is>
      </c>
      <c r="D1147" s="5" t="inlineStr">
        <is>
          <t>사상구</t>
        </is>
      </c>
      <c r="E1147" s="5" t="inlineStr">
        <is>
          <t>부산광역시 사상구 모라로192번길 20  -33 백양종합사회복지관 內 민들레어린이집</t>
        </is>
      </c>
      <c r="F1147" s="5" t="inlineStr"/>
      <c r="G1147" s="5" t="inlineStr">
        <is>
          <t>051-305-3223</t>
        </is>
      </c>
      <c r="H1147" s="12">
        <f>어린이집!T768</f>
        <v/>
      </c>
      <c r="I1147" s="5" t="inlineStr">
        <is>
          <t>영아혼합반 7 / 유아혼합반 6 / 장애아반(특수) 3 / 기타(연령구분 없음) 8</t>
        </is>
      </c>
    </row>
    <row r="1148">
      <c r="A1148" s="5" t="inlineStr">
        <is>
          <t>벧엘어린이집</t>
        </is>
      </c>
      <c r="B1148" s="5" t="inlineStr">
        <is>
          <t>어린이집</t>
        </is>
      </c>
      <c r="C1148" s="5" t="inlineStr">
        <is>
          <t>민간</t>
        </is>
      </c>
      <c r="D1148" s="5" t="inlineStr">
        <is>
          <t>사상구</t>
        </is>
      </c>
      <c r="E1148" s="5" t="inlineStr">
        <is>
          <t>부산광역시 사상구 백양대로902번길 42 (모라동)</t>
        </is>
      </c>
      <c r="F1148" s="5" t="inlineStr"/>
      <c r="G1148" s="5" t="inlineStr">
        <is>
          <t>051-327-7772</t>
        </is>
      </c>
      <c r="H1148" s="12">
        <f>어린이집!T769</f>
        <v/>
      </c>
      <c r="I1148" s="5" t="inlineStr">
        <is>
          <t>만0세 6 / 만1세 9 / 만2세 14 / 영아혼합반 5 / 기타(연령구분 없음) 7</t>
        </is>
      </c>
    </row>
    <row r="1149">
      <c r="A1149" s="5" t="inlineStr">
        <is>
          <t>별나라어린이집</t>
        </is>
      </c>
      <c r="B1149" s="5" t="inlineStr">
        <is>
          <t>어린이집</t>
        </is>
      </c>
      <c r="C1149" s="5" t="inlineStr">
        <is>
          <t>가정</t>
        </is>
      </c>
      <c r="D1149" s="5" t="inlineStr">
        <is>
          <t>사상구</t>
        </is>
      </c>
      <c r="E1149" s="5" t="inlineStr">
        <is>
          <t>부산광역시 사상구 백양대로 372-22 112동 102호(주례동, 반도보라매머드)</t>
        </is>
      </c>
      <c r="F1149" s="5" t="inlineStr"/>
      <c r="G1149" s="5" t="inlineStr">
        <is>
          <t>051-325-9816</t>
        </is>
      </c>
      <c r="H1149" s="12">
        <f>어린이집!T770</f>
        <v/>
      </c>
      <c r="I1149" s="5" t="inlineStr">
        <is>
          <t>만1세 5 / 만2세 5 / 영아혼합반 2 / 기타(연령구분 없음) 5</t>
        </is>
      </c>
    </row>
    <row r="1150">
      <c r="A1150" s="5" t="inlineStr">
        <is>
          <t>보듬이나눔이 감전엘에이치어린이집</t>
        </is>
      </c>
      <c r="B1150" s="5" t="inlineStr">
        <is>
          <t>어린이집</t>
        </is>
      </c>
      <c r="C1150" s="5" t="inlineStr">
        <is>
          <t>국공립</t>
        </is>
      </c>
      <c r="D1150" s="5" t="inlineStr">
        <is>
          <t>사상구</t>
        </is>
      </c>
      <c r="E1150" s="5" t="inlineStr">
        <is>
          <t>부산광역시 사상구 백양대로 539 주민복지관2층(감전동,감전엘에이치아파트)</t>
        </is>
      </c>
      <c r="F1150" s="5" t="inlineStr"/>
      <c r="G1150" s="5" t="inlineStr">
        <is>
          <t>051-325-9017</t>
        </is>
      </c>
      <c r="H1150" s="12">
        <f>어린이집!T771</f>
        <v/>
      </c>
      <c r="I1150" s="5" t="inlineStr">
        <is>
          <t>만0세 6 / 만1세 7 / 만2세 7 / 기타(연령구분 없음) 3</t>
        </is>
      </c>
    </row>
    <row r="1151">
      <c r="A1151" s="5" t="inlineStr">
        <is>
          <t>부산광역시 한솔어린이집</t>
        </is>
      </c>
      <c r="B1151" s="5" t="inlineStr">
        <is>
          <t>어린이집</t>
        </is>
      </c>
      <c r="C1151" s="5" t="inlineStr">
        <is>
          <t>국공립</t>
        </is>
      </c>
      <c r="D1151" s="5" t="inlineStr">
        <is>
          <t>사상구</t>
        </is>
      </c>
      <c r="E1151" s="5" t="inlineStr">
        <is>
          <t>부산광역시 사상구 모덕로 82 부산광역시한솔어린이집 (덕포동)</t>
        </is>
      </c>
      <c r="F1151" s="5" t="inlineStr"/>
      <c r="G1151" s="5" t="inlineStr">
        <is>
          <t>051-305-9840</t>
        </is>
      </c>
      <c r="H1151" s="12">
        <f>어린이집!T772</f>
        <v/>
      </c>
      <c r="I1151" s="5" t="inlineStr">
        <is>
          <t>만0세 8 / 만1세 20 / 만2세 20 / 유아혼합반 6 / 기타(연령구분 없음) 19</t>
        </is>
      </c>
    </row>
    <row r="1152">
      <c r="A1152" s="5" t="inlineStr">
        <is>
          <t>사랑어린이집</t>
        </is>
      </c>
      <c r="B1152" s="5" t="inlineStr">
        <is>
          <t>어린이집</t>
        </is>
      </c>
      <c r="C1152" s="5" t="inlineStr">
        <is>
          <t>민간</t>
        </is>
      </c>
      <c r="D1152" s="5" t="inlineStr">
        <is>
          <t>사상구</t>
        </is>
      </c>
      <c r="E1152" s="5" t="inlineStr">
        <is>
          <t>부산광역시 사상구 사상로277번길 65 부산광역시 사상구 삼락동418-1</t>
        </is>
      </c>
      <c r="F1152" s="5" t="inlineStr"/>
      <c r="G1152" s="5" t="inlineStr">
        <is>
          <t>051-302-6267</t>
        </is>
      </c>
      <c r="H1152" s="12">
        <f>어린이집!T773</f>
        <v/>
      </c>
      <c r="I1152" s="5" t="inlineStr">
        <is>
          <t>만0세 16 / 만1세 15 / 만2세 18 / 기타(연령구분 없음) 20</t>
        </is>
      </c>
    </row>
    <row r="1153">
      <c r="A1153" s="5" t="inlineStr">
        <is>
          <t>삼성어린이집</t>
        </is>
      </c>
      <c r="B1153" s="5" t="inlineStr">
        <is>
          <t>어린이집</t>
        </is>
      </c>
      <c r="C1153" s="5" t="inlineStr">
        <is>
          <t>민간</t>
        </is>
      </c>
      <c r="D1153" s="5" t="inlineStr">
        <is>
          <t>사상구</t>
        </is>
      </c>
      <c r="E1153" s="5" t="inlineStr">
        <is>
          <t>부산광역시 사상구 학감대로123번길 75 관리동(학장동, 학장삼성2차아파트)</t>
        </is>
      </c>
      <c r="F1153" s="5" t="inlineStr"/>
      <c r="G1153" s="5" t="inlineStr">
        <is>
          <t>051-316-0862</t>
        </is>
      </c>
      <c r="H1153" s="12">
        <f>어린이집!T774</f>
        <v/>
      </c>
      <c r="I1153" s="5" t="inlineStr">
        <is>
          <t>만0세 3 / 만1세 5 / 만2세 8 / 기타(연령구분 없음) 5</t>
        </is>
      </c>
    </row>
    <row r="1154">
      <c r="A1154" s="5" t="inlineStr">
        <is>
          <t>새누리어린이집</t>
        </is>
      </c>
      <c r="B1154" s="5" t="inlineStr">
        <is>
          <t>어린이집</t>
        </is>
      </c>
      <c r="C1154" s="5" t="inlineStr">
        <is>
          <t>가정</t>
        </is>
      </c>
      <c r="D1154" s="5" t="inlineStr">
        <is>
          <t>사상구</t>
        </is>
      </c>
      <c r="E1154" s="5" t="inlineStr">
        <is>
          <t>부산광역시 사상구 엄궁로 100 106동 102호(엄궁동, 쌍용스윗닷홈아파트)</t>
        </is>
      </c>
      <c r="F1154" s="5" t="inlineStr"/>
      <c r="G1154" s="5" t="inlineStr">
        <is>
          <t>051-326-2279</t>
        </is>
      </c>
      <c r="H1154" s="12">
        <f>어린이집!T775</f>
        <v/>
      </c>
      <c r="I1154" s="5" t="inlineStr">
        <is>
          <t>만0세 1 / 만1세 3 / 기타(연령구분 없음) 3</t>
        </is>
      </c>
    </row>
    <row r="1155">
      <c r="A1155" s="5" t="inlineStr">
        <is>
          <t>센트럴스타힐스어린이집</t>
        </is>
      </c>
      <c r="B1155" s="5" t="inlineStr">
        <is>
          <t>어린이집</t>
        </is>
      </c>
      <c r="C1155" s="5" t="inlineStr">
        <is>
          <t>국공립</t>
        </is>
      </c>
      <c r="D1155" s="5" t="inlineStr">
        <is>
          <t>사상구</t>
        </is>
      </c>
      <c r="E1155" s="5" t="inlineStr">
        <is>
          <t>부산광역시 사상구 사상로223번길 23 (괘법동, 센트럴스타힐스)</t>
        </is>
      </c>
      <c r="F1155" s="5" t="inlineStr"/>
      <c r="G1155" s="5" t="inlineStr">
        <is>
          <t>051-327-2311</t>
        </is>
      </c>
      <c r="H1155" s="12">
        <f>어린이집!T776</f>
        <v/>
      </c>
      <c r="I1155" s="5" t="inlineStr">
        <is>
          <t>만0세 6 / 만1세 15 / 만2세 20 / 기타(연령구분 없음) 8</t>
        </is>
      </c>
    </row>
    <row r="1156">
      <c r="A1156" s="5" t="inlineStr">
        <is>
          <t>아이숲어린이집</t>
        </is>
      </c>
      <c r="B1156" s="5" t="inlineStr">
        <is>
          <t>어린이집</t>
        </is>
      </c>
      <c r="C1156" s="5" t="inlineStr">
        <is>
          <t>국공립</t>
        </is>
      </c>
      <c r="D1156" s="5" t="inlineStr">
        <is>
          <t>사상구</t>
        </is>
      </c>
      <c r="E1156" s="5" t="inlineStr">
        <is>
          <t>부산광역시 사상구 덕상로 27 (덕포2동)</t>
        </is>
      </c>
      <c r="F1156" s="5" t="inlineStr"/>
      <c r="G1156" s="5" t="inlineStr">
        <is>
          <t>051-305-1239</t>
        </is>
      </c>
      <c r="H1156" s="12">
        <f>어린이집!T777</f>
        <v/>
      </c>
      <c r="I1156" s="5" t="inlineStr">
        <is>
          <t>만1세 9 / 만2세 7 / 영아혼합반 18 / 유아혼합반 9 / 기타(연령구분 없음) 8</t>
        </is>
      </c>
    </row>
    <row r="1157">
      <c r="A1157" s="5" t="inlineStr">
        <is>
          <t>양지어린이집</t>
        </is>
      </c>
      <c r="B1157" s="5" t="inlineStr">
        <is>
          <t>어린이집</t>
        </is>
      </c>
      <c r="C1157" s="5" t="inlineStr">
        <is>
          <t>사회복지법인</t>
        </is>
      </c>
      <c r="D1157" s="5" t="inlineStr">
        <is>
          <t>사상구</t>
        </is>
      </c>
      <c r="E1157" s="5" t="inlineStr">
        <is>
          <t>부산광역시 사상구 양지로30번길 88-1</t>
        </is>
      </c>
      <c r="F1157" s="5" t="inlineStr"/>
      <c r="G1157" s="5" t="inlineStr">
        <is>
          <t>051-325-0674</t>
        </is>
      </c>
      <c r="H1157" s="12">
        <f>어린이집!T778</f>
        <v/>
      </c>
      <c r="I1157" s="5" t="inlineStr">
        <is>
          <t>만0세 3 / 만1세 14 / 만2세 11 / 유아혼합반 9 / 기타(연령구분 없음) 10</t>
        </is>
      </c>
    </row>
    <row r="1158">
      <c r="A1158" s="5" t="inlineStr">
        <is>
          <t>엄궁가람어린이집</t>
        </is>
      </c>
      <c r="B1158" s="5" t="inlineStr">
        <is>
          <t>어린이집</t>
        </is>
      </c>
      <c r="C1158" s="5" t="inlineStr">
        <is>
          <t>민간</t>
        </is>
      </c>
      <c r="D1158" s="5" t="inlineStr">
        <is>
          <t>사상구</t>
        </is>
      </c>
      <c r="E1158" s="5" t="inlineStr">
        <is>
          <t>부산광역시 사상구 엄궁로191번길 20 (엄궁동)</t>
        </is>
      </c>
      <c r="F1158" s="5" t="inlineStr"/>
      <c r="G1158" s="5" t="inlineStr">
        <is>
          <t>051-326-5883</t>
        </is>
      </c>
      <c r="H1158" s="12">
        <f>어린이집!T779</f>
        <v/>
      </c>
      <c r="I1158" s="5" t="inlineStr">
        <is>
          <t>만0세 3 / 영아혼합반 3</t>
        </is>
      </c>
    </row>
    <row r="1159">
      <c r="A1159" s="5" t="inlineStr">
        <is>
          <t>엄마사랑어린이집</t>
        </is>
      </c>
      <c r="B1159" s="5" t="inlineStr">
        <is>
          <t>어린이집</t>
        </is>
      </c>
      <c r="C1159" s="5" t="inlineStr">
        <is>
          <t>가정</t>
        </is>
      </c>
      <c r="D1159" s="5" t="inlineStr">
        <is>
          <t>사상구</t>
        </is>
      </c>
      <c r="E1159" s="5" t="inlineStr">
        <is>
          <t>부산광역시 사상구 학감대로49번길 56 105동 102호(학장동, 학장대림아파트)</t>
        </is>
      </c>
      <c r="F1159" s="11" t="inlineStr">
        <is>
          <t>http://cafe.daum.net/imomslove</t>
        </is>
      </c>
      <c r="G1159" s="5" t="inlineStr">
        <is>
          <t>051-327-0579</t>
        </is>
      </c>
      <c r="H1159" s="12">
        <f>어린이집!T780</f>
        <v/>
      </c>
      <c r="I1159" s="5" t="inlineStr">
        <is>
          <t>만0세 3 / 만1세 6 / 만2세 7 / 기타(연령구분 없음) 17</t>
        </is>
      </c>
    </row>
    <row r="1160">
      <c r="A1160" s="5" t="inlineStr">
        <is>
          <t>엄마손어린이집</t>
        </is>
      </c>
      <c r="B1160" s="5" t="inlineStr">
        <is>
          <t>어린이집</t>
        </is>
      </c>
      <c r="C1160" s="5" t="inlineStr">
        <is>
          <t>가정</t>
        </is>
      </c>
      <c r="D1160" s="5" t="inlineStr">
        <is>
          <t>사상구</t>
        </is>
      </c>
      <c r="E1160" s="5" t="inlineStr">
        <is>
          <t>부산광역시 사상구 백양대로494번길 38 109동 104호(주례동, 주례청구)</t>
        </is>
      </c>
      <c r="F1160" s="11" t="inlineStr">
        <is>
          <t>http://www.cyworld.com/cjdrndjaakths</t>
        </is>
      </c>
      <c r="G1160" s="5" t="inlineStr">
        <is>
          <t>051-325-1673</t>
        </is>
      </c>
      <c r="H1160" s="12">
        <f>어린이집!T781</f>
        <v/>
      </c>
      <c r="I1160" s="5" t="inlineStr">
        <is>
          <t>만1세 5 / 만2세 7 / 영아혼합반 3 / 기타(연령구분 없음) 12</t>
        </is>
      </c>
    </row>
    <row r="1161">
      <c r="A1161" s="5" t="inlineStr">
        <is>
          <t>예담어린이집</t>
        </is>
      </c>
      <c r="B1161" s="5" t="inlineStr">
        <is>
          <t>어린이집</t>
        </is>
      </c>
      <c r="C1161" s="5" t="inlineStr">
        <is>
          <t>민간</t>
        </is>
      </c>
      <c r="D1161" s="5" t="inlineStr">
        <is>
          <t>사상구</t>
        </is>
      </c>
      <c r="E1161" s="5" t="inlineStr">
        <is>
          <t>부산광역시 사상구 사상로277번길 25 예담어린이집</t>
        </is>
      </c>
      <c r="F1161" s="5" t="inlineStr"/>
      <c r="G1161" s="5" t="inlineStr">
        <is>
          <t>051-302-6763</t>
        </is>
      </c>
      <c r="H1161" s="12">
        <f>어린이집!T782</f>
        <v/>
      </c>
      <c r="I1161" s="5" t="inlineStr">
        <is>
          <t>만0세 9 / 만1세 10 / 만2세 8 / 영아혼합반 5 / 유아혼합반 34 / 기타(연령구분 없음) 14</t>
        </is>
      </c>
    </row>
    <row r="1162">
      <c r="A1162" s="5" t="inlineStr">
        <is>
          <t>예송어린이집</t>
        </is>
      </c>
      <c r="B1162" s="5" t="inlineStr">
        <is>
          <t>어린이집</t>
        </is>
      </c>
      <c r="C1162" s="5" t="inlineStr">
        <is>
          <t>사회복지법인</t>
        </is>
      </c>
      <c r="D1162" s="5" t="inlineStr">
        <is>
          <t>사상구</t>
        </is>
      </c>
      <c r="E1162" s="5" t="inlineStr">
        <is>
          <t>부산광역시 사상구 엄궁남로 48 예송어린이집 (엄궁동)</t>
        </is>
      </c>
      <c r="F1162" s="5" t="inlineStr"/>
      <c r="G1162" s="5" t="inlineStr">
        <is>
          <t>051-312-0678</t>
        </is>
      </c>
      <c r="H1162" s="12">
        <f>어린이집!T783</f>
        <v/>
      </c>
      <c r="I1162" s="5" t="inlineStr">
        <is>
          <t>영아혼합반 11 / 기타(연령구분 없음) 4</t>
        </is>
      </c>
    </row>
    <row r="1163">
      <c r="A1163" s="5" t="inlineStr">
        <is>
          <t>으뜸어린이집</t>
        </is>
      </c>
      <c r="B1163" s="5" t="inlineStr">
        <is>
          <t>어린이집</t>
        </is>
      </c>
      <c r="C1163" s="5" t="inlineStr">
        <is>
          <t>국공립</t>
        </is>
      </c>
      <c r="D1163" s="5" t="inlineStr">
        <is>
          <t>사상구</t>
        </is>
      </c>
      <c r="E1163" s="5" t="inlineStr">
        <is>
          <t>부산광역시 사상구 백양대로 527 (주례동)</t>
        </is>
      </c>
      <c r="F1163" s="5" t="inlineStr"/>
      <c r="G1163" s="5" t="inlineStr">
        <is>
          <t>051-328-2482</t>
        </is>
      </c>
      <c r="H1163" s="12">
        <f>어린이집!T784</f>
        <v/>
      </c>
      <c r="I1163" s="5" t="inlineStr">
        <is>
          <t>만1세 17 / 만2세 16 / 영아혼합반 4 / 기타(연령구분 없음) 10</t>
        </is>
      </c>
    </row>
    <row r="1164">
      <c r="A1164" s="5" t="inlineStr">
        <is>
          <t>조은성심어린이집</t>
        </is>
      </c>
      <c r="B1164" s="5" t="inlineStr">
        <is>
          <t>어린이집</t>
        </is>
      </c>
      <c r="C1164" s="5" t="inlineStr">
        <is>
          <t>민간</t>
        </is>
      </c>
      <c r="D1164" s="5" t="inlineStr">
        <is>
          <t>사상구</t>
        </is>
      </c>
      <c r="E1164" s="5" t="inlineStr">
        <is>
          <t>부산광역시 사상구 새벽시장로46번길 20 (감전동)</t>
        </is>
      </c>
      <c r="F1164" s="5" t="inlineStr"/>
      <c r="G1164" s="5" t="inlineStr">
        <is>
          <t>051-316-2771</t>
        </is>
      </c>
      <c r="H1164" s="12">
        <f>어린이집!T785</f>
        <v/>
      </c>
      <c r="I1164" s="5" t="inlineStr">
        <is>
          <t>만2세 10 / 영아혼합반 8 / 유아혼합반 25 / 기타(연령구분 없음) 21</t>
        </is>
      </c>
    </row>
    <row r="1165">
      <c r="A1165" s="5" t="inlineStr">
        <is>
          <t>주례경동리인어린이집</t>
        </is>
      </c>
      <c r="B1165" s="5" t="inlineStr">
        <is>
          <t>어린이집</t>
        </is>
      </c>
      <c r="C1165" s="5" t="inlineStr">
        <is>
          <t>국공립</t>
        </is>
      </c>
      <c r="D1165" s="5" t="inlineStr">
        <is>
          <t>사상구</t>
        </is>
      </c>
      <c r="E1165" s="5" t="inlineStr">
        <is>
          <t>부산광역시 사상구 백양대로 526 (주례1동, 주례경동리인아파트)</t>
        </is>
      </c>
      <c r="F1165" s="5" t="inlineStr"/>
      <c r="G1165" s="5" t="inlineStr">
        <is>
          <t>051-325-8798</t>
        </is>
      </c>
      <c r="H1165" s="12">
        <f>어린이집!T786</f>
        <v/>
      </c>
      <c r="I1165" s="5" t="inlineStr">
        <is>
          <t>만0세 5 / 만1세 15 / 만2세 20 / 기타(연령구분 없음) 9</t>
        </is>
      </c>
    </row>
    <row r="1166">
      <c r="A1166" s="5" t="inlineStr">
        <is>
          <t>주례고운어린이집</t>
        </is>
      </c>
      <c r="B1166" s="5" t="inlineStr">
        <is>
          <t>어린이집</t>
        </is>
      </c>
      <c r="C1166" s="5" t="inlineStr">
        <is>
          <t>국공립</t>
        </is>
      </c>
      <c r="D1166" s="5" t="inlineStr">
        <is>
          <t>사상구</t>
        </is>
      </c>
      <c r="E1166" s="5" t="inlineStr">
        <is>
          <t>부산광역시 사상구 동주로 2  -11</t>
        </is>
      </c>
      <c r="F1166" s="11" t="inlineStr">
        <is>
          <t>http://42878@hanmail.net</t>
        </is>
      </c>
      <c r="G1166" s="5" t="inlineStr">
        <is>
          <t>051-316-2178</t>
        </is>
      </c>
      <c r="H1166" s="12">
        <f>어린이집!T787</f>
        <v/>
      </c>
      <c r="I1166" s="5" t="inlineStr">
        <is>
          <t>만0세 15 / 만1세 21 / 만2세 20 / 만3세 8 / 만4세 9 / 만5세 8 / 기타(연령구분 없음) 16</t>
        </is>
      </c>
    </row>
    <row r="1167">
      <c r="A1167" s="5" t="inlineStr">
        <is>
          <t>주례롯데캐슬골드스마트어린이집</t>
        </is>
      </c>
      <c r="B1167" s="5" t="inlineStr">
        <is>
          <t>어린이집</t>
        </is>
      </c>
      <c r="C1167" s="5" t="inlineStr">
        <is>
          <t>국공립</t>
        </is>
      </c>
      <c r="D1167" s="5" t="inlineStr">
        <is>
          <t>사상구</t>
        </is>
      </c>
      <c r="E1167" s="5" t="inlineStr">
        <is>
          <t>부산광역시 사상구 가야대로255번길 5 (주례동, 롯데캐슬골드스마트아파트)</t>
        </is>
      </c>
      <c r="F1167" s="5" t="inlineStr"/>
      <c r="G1167" s="5" t="inlineStr">
        <is>
          <t>051-311-2023</t>
        </is>
      </c>
      <c r="H1167" s="12">
        <f>어린이집!T788</f>
        <v/>
      </c>
      <c r="I1167" s="5" t="inlineStr">
        <is>
          <t>만0세 6 / 만1세 10 / 만2세 13 / 영아혼합반 8 / 기타(연령구분 없음) 14</t>
        </is>
      </c>
    </row>
    <row r="1168">
      <c r="A1168" s="5" t="inlineStr">
        <is>
          <t>참한어린이집</t>
        </is>
      </c>
      <c r="B1168" s="5" t="inlineStr">
        <is>
          <t>어린이집</t>
        </is>
      </c>
      <c r="C1168" s="5" t="inlineStr">
        <is>
          <t>가정</t>
        </is>
      </c>
      <c r="D1168" s="5" t="inlineStr">
        <is>
          <t>사상구</t>
        </is>
      </c>
      <c r="E1168" s="5" t="inlineStr">
        <is>
          <t>부산광역시 사상구 낙동대로1210번길 33 209동 103호(괘법동, 괘법한신2차아파트)</t>
        </is>
      </c>
      <c r="F1168" s="5" t="inlineStr"/>
      <c r="G1168" s="5" t="inlineStr">
        <is>
          <t>051-328-8616</t>
        </is>
      </c>
      <c r="H1168" s="12">
        <f>어린이집!T789</f>
        <v/>
      </c>
      <c r="I1168" s="5" t="inlineStr">
        <is>
          <t>만0세 5 / 만1세 3 / 만2세 7 / 기타(연령구분 없음) 8</t>
        </is>
      </c>
    </row>
    <row r="1169">
      <c r="A1169" s="5" t="inlineStr">
        <is>
          <t>초롱어린이집</t>
        </is>
      </c>
      <c r="B1169" s="5" t="inlineStr">
        <is>
          <t>어린이집</t>
        </is>
      </c>
      <c r="C1169" s="5" t="inlineStr">
        <is>
          <t>가정</t>
        </is>
      </c>
      <c r="D1169" s="5" t="inlineStr">
        <is>
          <t>사상구</t>
        </is>
      </c>
      <c r="E1169" s="5" t="inlineStr">
        <is>
          <t>부산광역시 사상구 가야대로284번길 12 7동 107호(주례동, 럭키주례)</t>
        </is>
      </c>
      <c r="F1169" s="11" t="inlineStr">
        <is>
          <t>https://cafe.daum.net/jrchorong</t>
        </is>
      </c>
      <c r="G1169" s="5" t="inlineStr">
        <is>
          <t>051-315-2323</t>
        </is>
      </c>
      <c r="H1169" s="12">
        <f>어린이집!T790</f>
        <v/>
      </c>
      <c r="I1169" s="5" t="inlineStr">
        <is>
          <t>만0세 2 / 만1세 8 / 만2세 7 / 기타(연령구분 없음) 8</t>
        </is>
      </c>
    </row>
    <row r="1170">
      <c r="A1170" s="5" t="inlineStr">
        <is>
          <t>코오롱하늘채어린이집</t>
        </is>
      </c>
      <c r="B1170" s="5" t="inlineStr">
        <is>
          <t>어린이집</t>
        </is>
      </c>
      <c r="C1170" s="5" t="inlineStr">
        <is>
          <t>국공립</t>
        </is>
      </c>
      <c r="D1170" s="5" t="inlineStr">
        <is>
          <t>사상구</t>
        </is>
      </c>
      <c r="E1170" s="5" t="inlineStr">
        <is>
          <t>부산광역시 사상구 엄궁로 142 엄궁동, 코오롱아파트 관리동</t>
        </is>
      </c>
      <c r="F1170" s="5" t="inlineStr"/>
      <c r="G1170" s="5" t="inlineStr">
        <is>
          <t>051-316-0555</t>
        </is>
      </c>
      <c r="H1170" s="12">
        <f>어린이집!T791</f>
        <v/>
      </c>
      <c r="I1170" s="5" t="inlineStr">
        <is>
          <t>만0세 4 / 만1세 8 / 만2세 8 / 영아혼합반 2 / 기타(연령구분 없음) 5</t>
        </is>
      </c>
    </row>
    <row r="1171">
      <c r="A1171" s="5" t="inlineStr">
        <is>
          <t>큰꿈어린이집</t>
        </is>
      </c>
      <c r="B1171" s="5" t="inlineStr">
        <is>
          <t>어린이집</t>
        </is>
      </c>
      <c r="C1171" s="5" t="inlineStr">
        <is>
          <t>가정</t>
        </is>
      </c>
      <c r="D1171" s="5" t="inlineStr">
        <is>
          <t>사상구</t>
        </is>
      </c>
      <c r="E1171" s="5" t="inlineStr">
        <is>
          <t>부산광역시 사상구 사상로525번길 8 (모라동)</t>
        </is>
      </c>
      <c r="F1171" s="5" t="inlineStr"/>
      <c r="G1171" s="5" t="inlineStr">
        <is>
          <t>051-302-0016</t>
        </is>
      </c>
      <c r="H1171" s="12">
        <f>어린이집!T792</f>
        <v/>
      </c>
      <c r="I1171" s="5" t="inlineStr">
        <is>
          <t>영아혼합반 3 / 기타(연령구분 없음) 5</t>
        </is>
      </c>
    </row>
    <row r="1172">
      <c r="A1172" s="5" t="inlineStr">
        <is>
          <t>하늘나리어린이집</t>
        </is>
      </c>
      <c r="B1172" s="5" t="inlineStr">
        <is>
          <t>어린이집</t>
        </is>
      </c>
      <c r="C1172" s="5" t="inlineStr">
        <is>
          <t>국공립</t>
        </is>
      </c>
      <c r="D1172" s="5" t="inlineStr">
        <is>
          <t>사상구</t>
        </is>
      </c>
      <c r="E1172" s="5" t="inlineStr">
        <is>
          <t>부산광역시 사상구 백양대로934번길 52-29 (모라동)</t>
        </is>
      </c>
      <c r="F1172" s="5" t="inlineStr"/>
      <c r="G1172" s="5" t="inlineStr">
        <is>
          <t>051-328-9922</t>
        </is>
      </c>
      <c r="H1172" s="12">
        <f>어린이집!T793</f>
        <v/>
      </c>
      <c r="I1172" s="5" t="inlineStr">
        <is>
          <t>만0세 14 / 만1세 15 / 만2세 20 / 만5세 10 / 유아혼합반 14 / 기타(연령구분 없음) 18</t>
        </is>
      </c>
    </row>
    <row r="1173">
      <c r="A1173" s="5" t="inlineStr">
        <is>
          <t>학장삼정그린코아어린이집</t>
        </is>
      </c>
      <c r="B1173" s="5" t="inlineStr">
        <is>
          <t>어린이집</t>
        </is>
      </c>
      <c r="C1173" s="5" t="inlineStr">
        <is>
          <t>국공립</t>
        </is>
      </c>
      <c r="D1173" s="5" t="inlineStr">
        <is>
          <t>사상구</t>
        </is>
      </c>
      <c r="E1173" s="5" t="inlineStr">
        <is>
          <t>부산광역시 사상구 학감대로123번길 67 201동(학장동, 학장삼정그린코아아파트)</t>
        </is>
      </c>
      <c r="F1173" s="5" t="inlineStr"/>
      <c r="G1173" s="5" t="inlineStr">
        <is>
          <t>051-311-9030</t>
        </is>
      </c>
      <c r="H1173" s="12">
        <f>어린이집!T794</f>
        <v/>
      </c>
      <c r="I1173" s="5" t="inlineStr">
        <is>
          <t>만0세 6 / 만1세 10 / 만2세 17 / 기타(연령구분 없음) 5</t>
        </is>
      </c>
    </row>
    <row r="1174">
      <c r="A1174" s="5" t="inlineStr">
        <is>
          <t>학장어린이집</t>
        </is>
      </c>
      <c r="B1174" s="5" t="inlineStr">
        <is>
          <t>어린이집</t>
        </is>
      </c>
      <c r="C1174" s="5" t="inlineStr">
        <is>
          <t>국공립</t>
        </is>
      </c>
      <c r="D1174" s="5" t="inlineStr">
        <is>
          <t>사상구</t>
        </is>
      </c>
      <c r="E1174" s="5" t="inlineStr">
        <is>
          <t>부산광역시 사상구 학감대로49번길 28-39 학장사회복지관내 (학장동)</t>
        </is>
      </c>
      <c r="F1174" s="11" t="inlineStr">
        <is>
          <t>https://www.instagram.com/hj3164017</t>
        </is>
      </c>
      <c r="G1174" s="5" t="inlineStr">
        <is>
          <t>051-316-4017</t>
        </is>
      </c>
      <c r="H1174" s="12">
        <f>어린이집!T795</f>
        <v/>
      </c>
      <c r="I1174" s="5" t="inlineStr">
        <is>
          <t>만0세 4 / 만1세 10 / 만2세 13 / 기타(연령구분 없음) 7</t>
        </is>
      </c>
    </row>
    <row r="1175">
      <c r="A1175" s="5" t="inlineStr">
        <is>
          <t>한신어린이집</t>
        </is>
      </c>
      <c r="B1175" s="5" t="inlineStr">
        <is>
          <t>어린이집</t>
        </is>
      </c>
      <c r="C1175" s="5" t="inlineStr">
        <is>
          <t>민간</t>
        </is>
      </c>
      <c r="D1175" s="5" t="inlineStr">
        <is>
          <t>사상구</t>
        </is>
      </c>
      <c r="E1175" s="5" t="inlineStr">
        <is>
          <t>부산광역시 사상구 낙동대로1210번길 33 한신2차아파트 관리사무소1층</t>
        </is>
      </c>
      <c r="F1175" s="5" t="inlineStr"/>
      <c r="G1175" s="5" t="inlineStr">
        <is>
          <t>051-311-6763</t>
        </is>
      </c>
      <c r="H1175" s="12">
        <f>어린이집!T796</f>
        <v/>
      </c>
      <c r="I1175" s="5" t="inlineStr">
        <is>
          <t>만0세 5 / 만1세 5 / 만2세 6 / 영아혼합반 3 / 기타(연령구분 없음) 8</t>
        </is>
      </c>
    </row>
    <row r="1176">
      <c r="A1176" s="5" t="inlineStr">
        <is>
          <t>한신자연누리어린이집</t>
        </is>
      </c>
      <c r="B1176" s="5" t="inlineStr">
        <is>
          <t>어린이집</t>
        </is>
      </c>
      <c r="C1176" s="5" t="inlineStr">
        <is>
          <t>민간</t>
        </is>
      </c>
      <c r="D1176" s="5" t="inlineStr">
        <is>
          <t>사상구</t>
        </is>
      </c>
      <c r="E1176" s="5" t="inlineStr">
        <is>
          <t>부산광역시 사상구 엄궁로 40 (엄궁동, 한신2차아파트관리동)</t>
        </is>
      </c>
      <c r="F1176" s="5" t="inlineStr"/>
      <c r="G1176" s="5" t="inlineStr">
        <is>
          <t>051-323-6318</t>
        </is>
      </c>
      <c r="H1176" s="12">
        <f>어린이집!T797</f>
        <v/>
      </c>
      <c r="I1176" s="5" t="inlineStr">
        <is>
          <t>만0세 9 / 만1세 5 / 만2세 21 / 기타(연령구분 없음) 23</t>
        </is>
      </c>
    </row>
    <row r="1177">
      <c r="A1177" s="5" t="inlineStr">
        <is>
          <t>해늘어린이집</t>
        </is>
      </c>
      <c r="B1177" s="5" t="inlineStr">
        <is>
          <t>어린이집</t>
        </is>
      </c>
      <c r="C1177" s="5" t="inlineStr">
        <is>
          <t>민간</t>
        </is>
      </c>
      <c r="D1177" s="5" t="inlineStr">
        <is>
          <t>사상구</t>
        </is>
      </c>
      <c r="E1177" s="5" t="inlineStr">
        <is>
          <t>부산광역시 사상구 사상로269번길 12 해늘어린이집</t>
        </is>
      </c>
      <c r="F1177" s="5" t="inlineStr"/>
      <c r="G1177" s="5" t="inlineStr">
        <is>
          <t>051-302-5911</t>
        </is>
      </c>
      <c r="H1177" s="12">
        <f>어린이집!T798</f>
        <v/>
      </c>
      <c r="I1177" s="5" t="inlineStr">
        <is>
          <t>만0세 2 / 만1세 5 / 만2세 4 / 유아혼합반 9 / 기타(연령구분 없음) 5</t>
        </is>
      </c>
    </row>
    <row r="1178">
      <c r="A1178" s="5" t="inlineStr">
        <is>
          <t>혜현어린이집</t>
        </is>
      </c>
      <c r="B1178" s="5" t="inlineStr">
        <is>
          <t>어린이집</t>
        </is>
      </c>
      <c r="C1178" s="5" t="inlineStr">
        <is>
          <t>민간</t>
        </is>
      </c>
      <c r="D1178" s="5" t="inlineStr">
        <is>
          <t>사상구</t>
        </is>
      </c>
      <c r="E1178" s="5" t="inlineStr">
        <is>
          <t>부산광역시 사상구 진사로36번길 43 (주례동)</t>
        </is>
      </c>
      <c r="F1178" s="5" t="inlineStr"/>
      <c r="G1178" s="5" t="inlineStr">
        <is>
          <t>051-312-6071</t>
        </is>
      </c>
      <c r="H1178" s="12">
        <f>어린이집!T799</f>
        <v/>
      </c>
      <c r="I1178" s="5" t="inlineStr">
        <is>
          <t>만2세 4 / 영아혼합반 6 / 유아혼합반 10 / 기타(연령구분 없음) 8</t>
        </is>
      </c>
    </row>
    <row r="1179">
      <c r="A1179" s="5" t="inlineStr">
        <is>
          <t>SK꿈나래 어린이집</t>
        </is>
      </c>
      <c r="B1179" s="5" t="inlineStr">
        <is>
          <t>어린이집</t>
        </is>
      </c>
      <c r="C1179" s="5" t="inlineStr">
        <is>
          <t>민간</t>
        </is>
      </c>
      <c r="D1179" s="5" t="inlineStr">
        <is>
          <t>사하구</t>
        </is>
      </c>
      <c r="E1179" s="5" t="inlineStr">
        <is>
          <t>부산광역시 사하구 하신번영로 400 sk뷰 아파트 관리동내</t>
        </is>
      </c>
      <c r="F1179" s="5" t="inlineStr"/>
      <c r="G1179" s="5" t="inlineStr">
        <is>
          <t>051-202-6679</t>
        </is>
      </c>
      <c r="H1179" s="12">
        <f>어린이집!T800</f>
        <v/>
      </c>
      <c r="I1179" s="5" t="inlineStr">
        <is>
          <t>만0세 5 / 만1세 8 / 만2세 14 / 기타(연령구분 없음) 5</t>
        </is>
      </c>
    </row>
    <row r="1180">
      <c r="A1180" s="5" t="inlineStr">
        <is>
          <t>sk해뜨는어린이집</t>
        </is>
      </c>
      <c r="B1180" s="5" t="inlineStr">
        <is>
          <t>어린이집</t>
        </is>
      </c>
      <c r="C1180" s="5" t="inlineStr">
        <is>
          <t>가정</t>
        </is>
      </c>
      <c r="D1180" s="5" t="inlineStr">
        <is>
          <t>사하구</t>
        </is>
      </c>
      <c r="E1180" s="5" t="inlineStr">
        <is>
          <t>부산광역시 사하구 하신번영로 400 113동 103호(하단동, 하단동에스케이뷰)</t>
        </is>
      </c>
      <c r="F1180" s="11" t="inlineStr">
        <is>
          <t>http://dm971000@naver.com</t>
        </is>
      </c>
      <c r="G1180" s="5" t="inlineStr">
        <is>
          <t>051-294-8276</t>
        </is>
      </c>
      <c r="H1180" s="12">
        <f>어린이집!T801</f>
        <v/>
      </c>
      <c r="I1180" s="5" t="inlineStr">
        <is>
          <t>만1세 5 / 만2세 4 / 영아혼합반 7 / 기타(연령구분 없음) 14</t>
        </is>
      </c>
    </row>
    <row r="1181">
      <c r="A1181" s="5" t="inlineStr">
        <is>
          <t>가온아이어린이집</t>
        </is>
      </c>
      <c r="B1181" s="5" t="inlineStr">
        <is>
          <t>어린이집</t>
        </is>
      </c>
      <c r="C1181" s="5" t="inlineStr">
        <is>
          <t>법인·단체등</t>
        </is>
      </c>
      <c r="D1181" s="5" t="inlineStr">
        <is>
          <t>사하구</t>
        </is>
      </c>
      <c r="E1181" s="5" t="inlineStr">
        <is>
          <t>부산광역시 사하구 윤공단로18번길 2 (다대동)</t>
        </is>
      </c>
      <c r="F1181" s="5" t="inlineStr"/>
      <c r="G1181" s="5" t="inlineStr">
        <is>
          <t>051-266-2575</t>
        </is>
      </c>
      <c r="H1181" s="12">
        <f>어린이집!T802</f>
        <v/>
      </c>
      <c r="I1181" s="5" t="inlineStr">
        <is>
          <t>만0세 3 / 영아혼합반 3 / 기타(연령구분 없음) 4</t>
        </is>
      </c>
    </row>
    <row r="1182">
      <c r="A1182" s="5" t="inlineStr">
        <is>
          <t>감천꿈나무어린이집</t>
        </is>
      </c>
      <c r="B1182" s="5" t="inlineStr">
        <is>
          <t>어린이집</t>
        </is>
      </c>
      <c r="C1182" s="5" t="inlineStr">
        <is>
          <t>민간</t>
        </is>
      </c>
      <c r="D1182" s="5" t="inlineStr">
        <is>
          <t>사하구</t>
        </is>
      </c>
      <c r="E1182" s="5" t="inlineStr">
        <is>
          <t>부산광역시 사하구 감천로117번길 50 7통 1반 (감천동)</t>
        </is>
      </c>
      <c r="F1182" s="5" t="inlineStr"/>
      <c r="G1182" s="5" t="inlineStr">
        <is>
          <t>051-203-9292</t>
        </is>
      </c>
      <c r="H1182" s="12">
        <f>어린이집!T803</f>
        <v/>
      </c>
      <c r="I1182" s="5" t="inlineStr">
        <is>
          <t>만1세 4 / 만2세 7 / 영아혼합반 5 / 유아혼합반 14 / 기타(연령구분 없음) 10</t>
        </is>
      </c>
    </row>
    <row r="1183">
      <c r="A1183" s="5" t="inlineStr">
        <is>
          <t>감천어린이집</t>
        </is>
      </c>
      <c r="B1183" s="5" t="inlineStr">
        <is>
          <t>어린이집</t>
        </is>
      </c>
      <c r="C1183" s="5" t="inlineStr">
        <is>
          <t>국공립</t>
        </is>
      </c>
      <c r="D1183" s="5" t="inlineStr">
        <is>
          <t>사하구</t>
        </is>
      </c>
      <c r="E1183" s="5" t="inlineStr">
        <is>
          <t>부산광역시 사하구 옥천로93번길 14-2</t>
        </is>
      </c>
      <c r="F1183" s="11" t="inlineStr">
        <is>
          <t>http://cafe.daum.net/gcn0330</t>
        </is>
      </c>
      <c r="G1183" s="5" t="inlineStr">
        <is>
          <t>051-202-0330</t>
        </is>
      </c>
      <c r="H1183" s="12">
        <f>어린이집!T804</f>
        <v/>
      </c>
      <c r="I1183" s="5" t="inlineStr">
        <is>
          <t>만5세 13 / 영아혼합반 6 / 유아혼합반 10 / 기타(연령구분 없음) 18</t>
        </is>
      </c>
    </row>
    <row r="1184">
      <c r="A1184" s="5" t="inlineStr">
        <is>
          <t>감천파랑새어린이집</t>
        </is>
      </c>
      <c r="B1184" s="5" t="inlineStr">
        <is>
          <t>어린이집</t>
        </is>
      </c>
      <c r="C1184" s="5" t="inlineStr">
        <is>
          <t>민간</t>
        </is>
      </c>
      <c r="D1184" s="5" t="inlineStr">
        <is>
          <t>사하구</t>
        </is>
      </c>
      <c r="E1184" s="5" t="inlineStr">
        <is>
          <t>부산광역시 사하구 감천로73번길 8 (감천동)</t>
        </is>
      </c>
      <c r="F1184" s="5" t="inlineStr"/>
      <c r="G1184" s="5" t="inlineStr">
        <is>
          <t>051-203-9481</t>
        </is>
      </c>
      <c r="H1184" s="12">
        <f>어린이집!T805</f>
        <v/>
      </c>
      <c r="I1184" s="5" t="inlineStr">
        <is>
          <t>만0세 3 / 만1세 8 / 만2세 12 / 만3세 10 / 만5세 20 / 유아혼합반 15 / 기타(연령구분 없음) 3</t>
        </is>
      </c>
    </row>
    <row r="1185">
      <c r="A1185" s="5" t="inlineStr">
        <is>
          <t>괴정한신더휴어린이집</t>
        </is>
      </c>
      <c r="B1185" s="5" t="inlineStr">
        <is>
          <t>어린이집</t>
        </is>
      </c>
      <c r="C1185" s="5" t="inlineStr">
        <is>
          <t>국공립</t>
        </is>
      </c>
      <c r="D1185" s="5" t="inlineStr">
        <is>
          <t>사하구</t>
        </is>
      </c>
      <c r="E1185" s="5" t="inlineStr">
        <is>
          <t>부산광역시 사하구 사리로 106</t>
        </is>
      </c>
      <c r="F1185" s="5" t="inlineStr"/>
      <c r="G1185" s="5" t="inlineStr">
        <is>
          <t>051-205-7959</t>
        </is>
      </c>
      <c r="H1185" s="12">
        <f>어린이집!T806</f>
        <v/>
      </c>
      <c r="I1185" s="5" t="inlineStr">
        <is>
          <t>만0세 18 / 만1세 23 / 만2세 20 / 기타(연령구분 없음) 10</t>
        </is>
      </c>
    </row>
    <row r="1186">
      <c r="A1186" s="5" t="inlineStr">
        <is>
          <t>꼬마화가어린이집</t>
        </is>
      </c>
      <c r="B1186" s="5" t="inlineStr">
        <is>
          <t>어린이집</t>
        </is>
      </c>
      <c r="C1186" s="5" t="inlineStr">
        <is>
          <t>가정</t>
        </is>
      </c>
      <c r="D1186" s="5" t="inlineStr">
        <is>
          <t>사하구</t>
        </is>
      </c>
      <c r="E1186" s="5" t="inlineStr">
        <is>
          <t>부산광역시 사하구 하신번영로 233 316동 104호(하단동, 가락타운3단지아파트)</t>
        </is>
      </c>
      <c r="F1186" s="5" t="inlineStr"/>
      <c r="G1186" s="5" t="inlineStr">
        <is>
          <t>051-204-0139</t>
        </is>
      </c>
      <c r="H1186" s="12">
        <f>어린이집!T807</f>
        <v/>
      </c>
      <c r="I1186" s="5" t="inlineStr">
        <is>
          <t>만0세 6 / 만1세 4 / 만2세 6 / 기타(연령구분 없음) 8</t>
        </is>
      </c>
    </row>
    <row r="1187">
      <c r="A1187" s="5" t="inlineStr">
        <is>
          <t>꽃비네어린이집</t>
        </is>
      </c>
      <c r="B1187" s="5" t="inlineStr">
        <is>
          <t>어린이집</t>
        </is>
      </c>
      <c r="C1187" s="5" t="inlineStr">
        <is>
          <t>가정</t>
        </is>
      </c>
      <c r="D1187" s="5" t="inlineStr">
        <is>
          <t>사하구</t>
        </is>
      </c>
      <c r="E1187" s="5" t="inlineStr">
        <is>
          <t>부산광역시 사하구 대티로1번길 22 105동 101호(괴정동, 극동스타클래스)</t>
        </is>
      </c>
      <c r="F1187" s="5" t="inlineStr"/>
      <c r="G1187" s="5" t="inlineStr">
        <is>
          <t>051-206-5117</t>
        </is>
      </c>
      <c r="H1187" s="12">
        <f>어린이집!T808</f>
        <v/>
      </c>
      <c r="I1187" s="5" t="inlineStr">
        <is>
          <t>만0세 2 / 영아혼합반 7 / 기타(연령구분 없음) 3</t>
        </is>
      </c>
    </row>
    <row r="1188">
      <c r="A1188" s="5" t="inlineStr">
        <is>
          <t>꿈나무어린이집</t>
        </is>
      </c>
      <c r="B1188" s="5" t="inlineStr">
        <is>
          <t>어린이집</t>
        </is>
      </c>
      <c r="C1188" s="5" t="inlineStr">
        <is>
          <t>민간</t>
        </is>
      </c>
      <c r="D1188" s="5" t="inlineStr">
        <is>
          <t>사하구</t>
        </is>
      </c>
      <c r="E1188" s="5" t="inlineStr">
        <is>
          <t>부산광역시 사하구 하신번영로173번길 5 (신평동)</t>
        </is>
      </c>
      <c r="F1188" s="5" t="inlineStr"/>
      <c r="G1188" s="5" t="inlineStr">
        <is>
          <t>051-205-7370</t>
        </is>
      </c>
      <c r="H1188" s="12">
        <f>어린이집!T809</f>
        <v/>
      </c>
      <c r="I1188" s="5" t="inlineStr">
        <is>
          <t>만0세 9 / 만1세 9 / 만2세 13 / 유아혼합반 8 / 기타(연령구분 없음) 10</t>
        </is>
      </c>
    </row>
    <row r="1189">
      <c r="A1189" s="5" t="inlineStr">
        <is>
          <t>꿈사랑어린이집</t>
        </is>
      </c>
      <c r="B1189" s="5" t="inlineStr">
        <is>
          <t>어린이집</t>
        </is>
      </c>
      <c r="C1189" s="5" t="inlineStr">
        <is>
          <t>민간</t>
        </is>
      </c>
      <c r="D1189" s="5" t="inlineStr">
        <is>
          <t>사하구</t>
        </is>
      </c>
      <c r="E1189" s="5" t="inlineStr">
        <is>
          <t>부산광역시 사하구 하신번영로173번길 10 (신평동)</t>
        </is>
      </c>
      <c r="F1189" s="5" t="inlineStr"/>
      <c r="G1189" s="5" t="inlineStr">
        <is>
          <t>051-205-7378</t>
        </is>
      </c>
      <c r="H1189" s="12">
        <f>어린이집!T810</f>
        <v/>
      </c>
      <c r="I1189" s="5" t="inlineStr">
        <is>
          <t>만2세 5 / 영아혼합반 7 / 유아혼합반 7 / 기타(연령구분 없음) 3</t>
        </is>
      </c>
    </row>
    <row r="1190">
      <c r="A1190" s="5" t="inlineStr">
        <is>
          <t>내원어린이집</t>
        </is>
      </c>
      <c r="B1190" s="5" t="inlineStr">
        <is>
          <t>어린이집</t>
        </is>
      </c>
      <c r="C1190" s="5" t="inlineStr">
        <is>
          <t>국공립</t>
        </is>
      </c>
      <c r="D1190" s="5" t="inlineStr">
        <is>
          <t>사하구</t>
        </is>
      </c>
      <c r="E1190" s="5" t="inlineStr">
        <is>
          <t>부산광역시 사하구 다대낙조2길 17 몰운대복지관 내</t>
        </is>
      </c>
      <c r="F1190" s="11" t="inlineStr">
        <is>
          <t>http://www.naewon.molun.org</t>
        </is>
      </c>
      <c r="G1190" s="5" t="inlineStr">
        <is>
          <t>051-264-9031</t>
        </is>
      </c>
      <c r="H1190" s="12">
        <f>어린이집!T811</f>
        <v/>
      </c>
      <c r="I1190" s="5" t="inlineStr">
        <is>
          <t>만0세 2 / 만2세 7 / 영아혼합반 3 / 유아혼합반 9 / 기타(연령구분 없음) 7</t>
        </is>
      </c>
    </row>
    <row r="1191">
      <c r="A1191" s="5" t="inlineStr">
        <is>
          <t>다대어린이집</t>
        </is>
      </c>
      <c r="B1191" s="5" t="inlineStr">
        <is>
          <t>어린이집</t>
        </is>
      </c>
      <c r="C1191" s="5" t="inlineStr">
        <is>
          <t>국공립</t>
        </is>
      </c>
      <c r="D1191" s="5" t="inlineStr">
        <is>
          <t>사하구</t>
        </is>
      </c>
      <c r="E1191" s="5" t="inlineStr">
        <is>
          <t>부산광역시 사하구 다대로 440 다대사회복지관 내 (다대동)</t>
        </is>
      </c>
      <c r="F1191" s="5" t="inlineStr"/>
      <c r="G1191" s="5" t="inlineStr">
        <is>
          <t>051-266-5422</t>
        </is>
      </c>
      <c r="H1191" s="12">
        <f>어린이집!T812</f>
        <v/>
      </c>
      <c r="I1191" s="5" t="inlineStr">
        <is>
          <t>만1세 13 / 만2세 8 / 기타(연령구분 없음) 4</t>
        </is>
      </c>
    </row>
    <row r="1192">
      <c r="A1192" s="5" t="inlineStr">
        <is>
          <t>다대푸르지오자연속어린이집</t>
        </is>
      </c>
      <c r="B1192" s="5" t="inlineStr">
        <is>
          <t>어린이집</t>
        </is>
      </c>
      <c r="C1192" s="5" t="inlineStr">
        <is>
          <t>가정</t>
        </is>
      </c>
      <c r="D1192" s="5" t="inlineStr">
        <is>
          <t>사하구</t>
        </is>
      </c>
      <c r="E1192" s="5" t="inlineStr">
        <is>
          <t>부산광역시 사하구 윤공단로 123 106-102(다대동,푸르지오아파트)</t>
        </is>
      </c>
      <c r="F1192" s="5" t="inlineStr"/>
      <c r="G1192" s="5" t="inlineStr">
        <is>
          <t>051-262-7775</t>
        </is>
      </c>
      <c r="H1192" s="12">
        <f>어린이집!T813</f>
        <v/>
      </c>
      <c r="I1192" s="5" t="inlineStr">
        <is>
          <t>만0세 2 / 만1세 5 / 만2세 4 / 영아혼합반 2 / 기타(연령구분 없음) 4</t>
        </is>
      </c>
    </row>
    <row r="1193">
      <c r="A1193" s="5" t="inlineStr">
        <is>
          <t>다송어린이집</t>
        </is>
      </c>
      <c r="B1193" s="5" t="inlineStr">
        <is>
          <t>어린이집</t>
        </is>
      </c>
      <c r="C1193" s="5" t="inlineStr">
        <is>
          <t>국공립</t>
        </is>
      </c>
      <c r="D1193" s="5" t="inlineStr">
        <is>
          <t>사하구</t>
        </is>
      </c>
      <c r="E1193" s="5" t="inlineStr">
        <is>
          <t>부산광역시 사하구 다대로429번길 25 18통 9반 (다대동)</t>
        </is>
      </c>
      <c r="F1193" s="5" t="inlineStr"/>
      <c r="G1193" s="5" t="inlineStr">
        <is>
          <t>051-265-3900</t>
        </is>
      </c>
      <c r="H1193" s="12">
        <f>어린이집!T814</f>
        <v/>
      </c>
      <c r="I1193" s="5" t="inlineStr">
        <is>
          <t>만0세 6 / 만1세 17 / 만2세 16 / 영아혼합반 3 / 기타(연령구분 없음) 3</t>
        </is>
      </c>
    </row>
    <row r="1194">
      <c r="A1194" s="5" t="inlineStr">
        <is>
          <t>단비어린이집</t>
        </is>
      </c>
      <c r="B1194" s="5" t="inlineStr">
        <is>
          <t>어린이집</t>
        </is>
      </c>
      <c r="C1194" s="5" t="inlineStr">
        <is>
          <t>사회복지법인</t>
        </is>
      </c>
      <c r="D1194" s="5" t="inlineStr">
        <is>
          <t>사하구</t>
        </is>
      </c>
      <c r="E1194" s="5" t="inlineStr">
        <is>
          <t>부산광역시 사하구 비봉로 58 (신평동)</t>
        </is>
      </c>
      <c r="F1194" s="5" t="inlineStr"/>
      <c r="G1194" s="5" t="inlineStr">
        <is>
          <t>051-203-1218</t>
        </is>
      </c>
      <c r="H1194" s="12">
        <f>어린이집!T815</f>
        <v/>
      </c>
      <c r="I1194" s="5" t="inlineStr">
        <is>
          <t>만0세 10 / 만1세 19 / 만2세 12 / 기타(연령구분 없음) 9</t>
        </is>
      </c>
    </row>
    <row r="1195">
      <c r="A1195" s="5" t="inlineStr">
        <is>
          <t>도치와둘리어린이집</t>
        </is>
      </c>
      <c r="B1195" s="5" t="inlineStr">
        <is>
          <t>어린이집</t>
        </is>
      </c>
      <c r="C1195" s="5" t="inlineStr">
        <is>
          <t>가정</t>
        </is>
      </c>
      <c r="D1195" s="5" t="inlineStr">
        <is>
          <t>사하구</t>
        </is>
      </c>
      <c r="E1195" s="5" t="inlineStr">
        <is>
          <t>부산광역시 사하구 비봉로 42 206동 102호(신평동, 한신)</t>
        </is>
      </c>
      <c r="F1195" s="11" t="inlineStr">
        <is>
          <t>http://cafe.daum.net/dochiwadulli</t>
        </is>
      </c>
      <c r="G1195" s="5" t="inlineStr">
        <is>
          <t>051-207-1482</t>
        </is>
      </c>
      <c r="H1195" s="12">
        <f>어린이집!T816</f>
        <v/>
      </c>
      <c r="I1195" s="5" t="inlineStr">
        <is>
          <t>만0세 2 / 만1세 1 / 기타(연령구분 없음) 3</t>
        </is>
      </c>
    </row>
    <row r="1196">
      <c r="A1196" s="5" t="inlineStr">
        <is>
          <t>동백어린이집</t>
        </is>
      </c>
      <c r="B1196" s="5" t="inlineStr">
        <is>
          <t>어린이집</t>
        </is>
      </c>
      <c r="C1196" s="5" t="inlineStr">
        <is>
          <t>국공립</t>
        </is>
      </c>
      <c r="D1196" s="5" t="inlineStr">
        <is>
          <t>사하구</t>
        </is>
      </c>
      <c r="E1196" s="5" t="inlineStr">
        <is>
          <t>부산광역시 사하구 다대낙조2길 5 동백어린이집 (다대동)</t>
        </is>
      </c>
      <c r="F1196" s="5" t="inlineStr"/>
      <c r="G1196" s="5" t="inlineStr">
        <is>
          <t>051-265-9961</t>
        </is>
      </c>
      <c r="H1196" s="12">
        <f>어린이집!T817</f>
        <v/>
      </c>
      <c r="I1196" s="5" t="inlineStr">
        <is>
          <t>만0세 5 / 만1세 8 / 만2세 11 / 만3세 8 / 유아혼합반 9 / 기타(연령구분 없음) 4</t>
        </is>
      </c>
    </row>
    <row r="1197">
      <c r="A1197" s="5" t="inlineStr">
        <is>
          <t>동심어린이집</t>
        </is>
      </c>
      <c r="B1197" s="5" t="inlineStr">
        <is>
          <t>어린이집</t>
        </is>
      </c>
      <c r="C1197" s="5" t="inlineStr">
        <is>
          <t>민간</t>
        </is>
      </c>
      <c r="D1197" s="5" t="inlineStr">
        <is>
          <t>사하구</t>
        </is>
      </c>
      <c r="E1197" s="5" t="inlineStr">
        <is>
          <t>부산광역시 사하구 장평로301번길 11 1/1 (신평동)</t>
        </is>
      </c>
      <c r="F1197" s="5" t="inlineStr"/>
      <c r="G1197" s="5" t="inlineStr">
        <is>
          <t>051-207-9570</t>
        </is>
      </c>
      <c r="H1197" s="12">
        <f>어린이집!T818</f>
        <v/>
      </c>
      <c r="I1197" s="5" t="inlineStr">
        <is>
          <t>만0세 1 / 영아혼합반 5 / 유아혼합반 9 / 기타(연령구분 없음) 11</t>
        </is>
      </c>
    </row>
    <row r="1198">
      <c r="A1198" s="5" t="inlineStr">
        <is>
          <t>동아대학교 직장어린이집</t>
        </is>
      </c>
      <c r="B1198" s="5" t="inlineStr">
        <is>
          <t>어린이집</t>
        </is>
      </c>
      <c r="C1198" s="5" t="inlineStr">
        <is>
          <t>직장</t>
        </is>
      </c>
      <c r="D1198" s="5" t="inlineStr">
        <is>
          <t>사하구</t>
        </is>
      </c>
      <c r="E1198" s="5" t="inlineStr">
        <is>
          <t>부산광역시 사하구 낙동대로550번길 37 한림생활관 승학2관 지하1층</t>
        </is>
      </c>
      <c r="F1198" s="5" t="inlineStr"/>
      <c r="G1198" s="5" t="inlineStr">
        <is>
          <t>051-200-5985</t>
        </is>
      </c>
      <c r="H1198" s="12">
        <f>어린이집!T819</f>
        <v/>
      </c>
      <c r="I1198" s="5" t="inlineStr">
        <is>
          <t>만1세 7 / 만2세 6 / 영아혼합반 2 / 기타(연령구분 없음) 5</t>
        </is>
      </c>
    </row>
    <row r="1199">
      <c r="A1199" s="5" t="inlineStr">
        <is>
          <t>동원누리어린이집</t>
        </is>
      </c>
      <c r="B1199" s="5" t="inlineStr">
        <is>
          <t>어린이집</t>
        </is>
      </c>
      <c r="C1199" s="5" t="inlineStr">
        <is>
          <t>민간</t>
        </is>
      </c>
      <c r="D1199" s="5" t="inlineStr">
        <is>
          <t>사하구</t>
        </is>
      </c>
      <c r="E1199" s="5" t="inlineStr">
        <is>
          <t>부산광역시 사하구 하신중앙로 2 122동 1호(장림동, 동원로얄듀크)</t>
        </is>
      </c>
      <c r="F1199" s="5" t="inlineStr"/>
      <c r="G1199" s="5" t="inlineStr">
        <is>
          <t>051-266-2368</t>
        </is>
      </c>
      <c r="H1199" s="12">
        <f>어린이집!T820</f>
        <v/>
      </c>
      <c r="I1199" s="5" t="inlineStr">
        <is>
          <t>만3세 2 / 영아혼합반 8 / 기타(연령구분 없음) 7</t>
        </is>
      </c>
    </row>
    <row r="1200">
      <c r="A1200" s="5" t="inlineStr">
        <is>
          <t>동주대학부설어린이집</t>
        </is>
      </c>
      <c r="B1200" s="5" t="inlineStr">
        <is>
          <t>어린이집</t>
        </is>
      </c>
      <c r="C1200" s="5" t="inlineStr">
        <is>
          <t>법인·단체등</t>
        </is>
      </c>
      <c r="D1200" s="5" t="inlineStr">
        <is>
          <t>사하구</t>
        </is>
      </c>
      <c r="E1200" s="5" t="inlineStr">
        <is>
          <t>부산광역시 사하구 낙동대로164번길 42 (괴정동)</t>
        </is>
      </c>
      <c r="F1200" s="5" t="inlineStr"/>
      <c r="G1200" s="5" t="inlineStr">
        <is>
          <t>051-200-3404</t>
        </is>
      </c>
      <c r="H1200" s="12">
        <f>어린이집!T821</f>
        <v/>
      </c>
      <c r="I1200" s="5" t="inlineStr">
        <is>
          <t>만0세 8 / 만1세 14 / 만2세 14 / 만3세 15 / 만4세 14 / 기타(연령구분 없음) 5</t>
        </is>
      </c>
    </row>
    <row r="1201">
      <c r="A1201" s="5" t="inlineStr">
        <is>
          <t>롯데캐슬2단지어린이집</t>
        </is>
      </c>
      <c r="B1201" s="5" t="inlineStr">
        <is>
          <t>어린이집</t>
        </is>
      </c>
      <c r="C1201" s="5" t="inlineStr">
        <is>
          <t>국공립</t>
        </is>
      </c>
      <c r="D1201" s="5" t="inlineStr">
        <is>
          <t>사하구</t>
        </is>
      </c>
      <c r="E1201" s="5" t="inlineStr">
        <is>
          <t>부산광역시 사하구 다대낙조2길 100 부산광역시 사하구 다대 낙조2길 100번지</t>
        </is>
      </c>
      <c r="F1201" s="5" t="inlineStr"/>
      <c r="G1201" s="5" t="inlineStr">
        <is>
          <t>051-264-3322</t>
        </is>
      </c>
      <c r="H1201" s="12">
        <f>어린이집!T822</f>
        <v/>
      </c>
      <c r="I1201" s="5" t="inlineStr">
        <is>
          <t>만0세 6 / 만2세 7 / 영아혼합반 7 / 기타(연령구분 없음) 5</t>
        </is>
      </c>
    </row>
    <row r="1202">
      <c r="A1202" s="5" t="inlineStr">
        <is>
          <t>롯데캐슬3단지어린이집</t>
        </is>
      </c>
      <c r="B1202" s="5" t="inlineStr">
        <is>
          <t>어린이집</t>
        </is>
      </c>
      <c r="C1202" s="5" t="inlineStr">
        <is>
          <t>민간</t>
        </is>
      </c>
      <c r="D1202" s="5" t="inlineStr">
        <is>
          <t>사하구</t>
        </is>
      </c>
      <c r="E1202" s="5" t="inlineStr">
        <is>
          <t>부산광역시 사하구 다대낙조2길 100 311동 1층(다대동, 롯데캐슬몰운대)</t>
        </is>
      </c>
      <c r="F1202" s="5" t="inlineStr"/>
      <c r="G1202" s="5" t="inlineStr">
        <is>
          <t>051-985-0101</t>
        </is>
      </c>
      <c r="H1202" s="12">
        <f>어린이집!T823</f>
        <v/>
      </c>
      <c r="I1202" s="5" t="inlineStr">
        <is>
          <t>만1세 8 / 영아혼합반 9 / 기타(연령구분 없음) 5</t>
        </is>
      </c>
    </row>
    <row r="1203">
      <c r="A1203" s="5" t="inlineStr">
        <is>
          <t>롯데캐슬4단지 어린이집</t>
        </is>
      </c>
      <c r="B1203" s="5" t="inlineStr">
        <is>
          <t>어린이집</t>
        </is>
      </c>
      <c r="C1203" s="5" t="inlineStr">
        <is>
          <t>국공립</t>
        </is>
      </c>
      <c r="D1203" s="5" t="inlineStr">
        <is>
          <t>사하구</t>
        </is>
      </c>
      <c r="E1203" s="5" t="inlineStr">
        <is>
          <t>부산광역시 사하구 다대낙조2길 100 (다대동)</t>
        </is>
      </c>
      <c r="F1203" s="11" t="inlineStr">
        <is>
          <t>http://www.cyworld.com/lotte265</t>
        </is>
      </c>
      <c r="G1203" s="5" t="inlineStr">
        <is>
          <t>051-265-2552</t>
        </is>
      </c>
      <c r="H1203" s="12">
        <f>어린이집!T824</f>
        <v/>
      </c>
      <c r="I1203" s="5" t="inlineStr">
        <is>
          <t>만0세 6 / 만1세 6 / 만2세 10 / 기타(연령구분 없음) 5</t>
        </is>
      </c>
    </row>
    <row r="1204">
      <c r="A1204" s="5" t="inlineStr">
        <is>
          <t>롯데캐슬블루어린이집</t>
        </is>
      </c>
      <c r="B1204" s="5" t="inlineStr">
        <is>
          <t>어린이집</t>
        </is>
      </c>
      <c r="C1204" s="5" t="inlineStr">
        <is>
          <t>국공립</t>
        </is>
      </c>
      <c r="D1204" s="5" t="inlineStr">
        <is>
          <t>사하구</t>
        </is>
      </c>
      <c r="E1204" s="5" t="inlineStr">
        <is>
          <t>부산광역시 사하구 다송로 23 106동 관리동 1층</t>
        </is>
      </c>
      <c r="F1204" s="5" t="inlineStr"/>
      <c r="G1204" s="5" t="inlineStr">
        <is>
          <t>051-266-8815</t>
        </is>
      </c>
      <c r="H1204" s="12">
        <f>어린이집!T825</f>
        <v/>
      </c>
      <c r="I1204" s="5" t="inlineStr">
        <is>
          <t>만0세 6 / 만1세 10 / 만2세 7 / 기타(연령구분 없음) 5</t>
        </is>
      </c>
    </row>
    <row r="1205">
      <c r="A1205" s="5" t="inlineStr">
        <is>
          <t>몰운대행복한어린이집</t>
        </is>
      </c>
      <c r="B1205" s="5" t="inlineStr">
        <is>
          <t>어린이집</t>
        </is>
      </c>
      <c r="C1205" s="5" t="inlineStr">
        <is>
          <t>민간</t>
        </is>
      </c>
      <c r="D1205" s="5" t="inlineStr">
        <is>
          <t>사하구</t>
        </is>
      </c>
      <c r="E1205" s="5" t="inlineStr">
        <is>
          <t>부산광역시 사하구 다대낙조2길 215 몰운대행복한어린이집</t>
        </is>
      </c>
      <c r="F1205" s="5" t="inlineStr"/>
      <c r="G1205" s="5" t="inlineStr">
        <is>
          <t>051-262-0905</t>
        </is>
      </c>
      <c r="H1205" s="12">
        <f>어린이집!T826</f>
        <v/>
      </c>
      <c r="I1205" s="5" t="inlineStr">
        <is>
          <t>만0세 2 / 영아혼합반 5 / 유아혼합반 6 / 기타(연령구분 없음) 3</t>
        </is>
      </c>
    </row>
    <row r="1206">
      <c r="A1206" s="5" t="inlineStr">
        <is>
          <t>무궁화어린이집</t>
        </is>
      </c>
      <c r="B1206" s="5" t="inlineStr">
        <is>
          <t>어린이집</t>
        </is>
      </c>
      <c r="C1206" s="5" t="inlineStr">
        <is>
          <t>민간</t>
        </is>
      </c>
      <c r="D1206" s="5" t="inlineStr">
        <is>
          <t>사하구</t>
        </is>
      </c>
      <c r="E1206" s="5" t="inlineStr">
        <is>
          <t>부산광역시 사하구 장평로292번길 3-10 (4통2반) (신평동)</t>
        </is>
      </c>
      <c r="F1206" s="11" t="inlineStr">
        <is>
          <t>https://blog.naver.com/mgh7817</t>
        </is>
      </c>
      <c r="G1206" s="5" t="inlineStr">
        <is>
          <t>051-291-7817</t>
        </is>
      </c>
      <c r="H1206" s="12">
        <f>어린이집!T827</f>
        <v/>
      </c>
      <c r="I1206" s="5" t="inlineStr">
        <is>
          <t>만0세 3 / 만1세 3 / 만2세 12 / 영아혼합반 4 / 유아혼합반 20 / 기타(연령구분 없음) 16</t>
        </is>
      </c>
    </row>
    <row r="1207">
      <c r="A1207" s="5" t="inlineStr">
        <is>
          <t>별초롱어린이집</t>
        </is>
      </c>
      <c r="B1207" s="5" t="inlineStr">
        <is>
          <t>어린이집</t>
        </is>
      </c>
      <c r="C1207" s="5" t="inlineStr">
        <is>
          <t>가정</t>
        </is>
      </c>
      <c r="D1207" s="5" t="inlineStr">
        <is>
          <t>사하구</t>
        </is>
      </c>
      <c r="E1207" s="5" t="inlineStr">
        <is>
          <t>부산광역시 사하구 다대낙조2길 100 (다대동)롯데캐슬몰운대아파트 204동 104호</t>
        </is>
      </c>
      <c r="F1207" s="5" t="inlineStr"/>
      <c r="G1207" s="5" t="inlineStr">
        <is>
          <t>051-262-7458</t>
        </is>
      </c>
      <c r="H1207" s="12">
        <f>어린이집!T828</f>
        <v/>
      </c>
      <c r="I1207" s="5" t="inlineStr">
        <is>
          <t>만0세 2 / 만1세 5 / 만2세 4 / 기타(연령구분 없음) 7</t>
        </is>
      </c>
    </row>
    <row r="1208">
      <c r="A1208" s="5" t="inlineStr">
        <is>
          <t>보리어린이집</t>
        </is>
      </c>
      <c r="B1208" s="5" t="inlineStr">
        <is>
          <t>어린이집</t>
        </is>
      </c>
      <c r="C1208" s="5" t="inlineStr">
        <is>
          <t>가정</t>
        </is>
      </c>
      <c r="D1208" s="5" t="inlineStr">
        <is>
          <t>사하구</t>
        </is>
      </c>
      <c r="E1208" s="5" t="inlineStr">
        <is>
          <t>부산광역시 사하구 제석로 160 103동 105호(당리동, 동원베네스트아파트)</t>
        </is>
      </c>
      <c r="F1208" s="11" t="inlineStr">
        <is>
          <t>http:////blog.naver.com/bori2910858</t>
        </is>
      </c>
      <c r="G1208" s="5" t="inlineStr">
        <is>
          <t>051-291-0858</t>
        </is>
      </c>
      <c r="H1208" s="12">
        <f>어린이집!T829</f>
        <v/>
      </c>
      <c r="I1208" s="5" t="inlineStr">
        <is>
          <t>만2세 7 / 영아혼합반 5 / 기타(연령구분 없음) 5</t>
        </is>
      </c>
    </row>
    <row r="1209">
      <c r="A1209" s="5" t="inlineStr">
        <is>
          <t>봉우리어린이집</t>
        </is>
      </c>
      <c r="B1209" s="5" t="inlineStr">
        <is>
          <t>어린이집</t>
        </is>
      </c>
      <c r="C1209" s="5" t="inlineStr">
        <is>
          <t>민간</t>
        </is>
      </c>
      <c r="D1209" s="5" t="inlineStr">
        <is>
          <t>사하구</t>
        </is>
      </c>
      <c r="E1209" s="5" t="inlineStr">
        <is>
          <t>부산광역시 사하구 신산북로43번길 55</t>
        </is>
      </c>
      <c r="F1209" s="5" t="inlineStr"/>
      <c r="G1209" s="5" t="inlineStr">
        <is>
          <t>051-205-2505</t>
        </is>
      </c>
      <c r="H1209" s="12">
        <f>어린이집!T830</f>
        <v/>
      </c>
      <c r="I1209" s="5" t="inlineStr">
        <is>
          <t>만0세 2 / 만1세 4 / 만2세 10 / 기타(연령구분 없음) 3</t>
        </is>
      </c>
    </row>
    <row r="1210">
      <c r="A1210" s="5" t="inlineStr">
        <is>
          <t>빛나라어린이집</t>
        </is>
      </c>
      <c r="B1210" s="5" t="inlineStr">
        <is>
          <t>어린이집</t>
        </is>
      </c>
      <c r="C1210" s="5" t="inlineStr">
        <is>
          <t>민간</t>
        </is>
      </c>
      <c r="D1210" s="5" t="inlineStr">
        <is>
          <t>사하구</t>
        </is>
      </c>
      <c r="E1210" s="5" t="inlineStr">
        <is>
          <t>부산광역시 사하구 장림시장5길 155 (장림동)</t>
        </is>
      </c>
      <c r="F1210" s="11" t="inlineStr">
        <is>
          <t>https://blog.naver.com/yalee9051</t>
        </is>
      </c>
      <c r="G1210" s="5" t="inlineStr">
        <is>
          <t>051-263-5289</t>
        </is>
      </c>
      <c r="H1210" s="12">
        <f>어린이집!T831</f>
        <v/>
      </c>
      <c r="I1210" s="5" t="inlineStr">
        <is>
          <t>만0세 3 / 만1세 9 / 만2세 14 / 기타(연령구분 없음) 8</t>
        </is>
      </c>
    </row>
    <row r="1211">
      <c r="A1211" s="5" t="inlineStr">
        <is>
          <t>사랑뜰어린이집</t>
        </is>
      </c>
      <c r="B1211" s="5" t="inlineStr">
        <is>
          <t>어린이집</t>
        </is>
      </c>
      <c r="C1211" s="5" t="inlineStr">
        <is>
          <t>가정</t>
        </is>
      </c>
      <c r="D1211" s="5" t="inlineStr">
        <is>
          <t>사하구</t>
        </is>
      </c>
      <c r="E1211" s="5" t="inlineStr">
        <is>
          <t>부산광역시 사하구 하신번영로 365 114-107(하단동, 가락타운1단지)</t>
        </is>
      </c>
      <c r="F1211" s="5" t="inlineStr"/>
      <c r="G1211" s="5" t="inlineStr">
        <is>
          <t>051-207-2608</t>
        </is>
      </c>
      <c r="H1211" s="12">
        <f>어린이집!T832</f>
        <v/>
      </c>
      <c r="I1211" s="5" t="inlineStr">
        <is>
          <t>만0세 5 / 만1세 4 / 만2세 6 / 기타(연령구분 없음) 8</t>
        </is>
      </c>
    </row>
    <row r="1212">
      <c r="A1212" s="5" t="inlineStr">
        <is>
          <t>사랑샘어린이집</t>
        </is>
      </c>
      <c r="B1212" s="5" t="inlineStr">
        <is>
          <t>어린이집</t>
        </is>
      </c>
      <c r="C1212" s="5" t="inlineStr">
        <is>
          <t>민간</t>
        </is>
      </c>
      <c r="D1212" s="5" t="inlineStr">
        <is>
          <t>사하구</t>
        </is>
      </c>
      <c r="E1212" s="5" t="inlineStr">
        <is>
          <t>부산광역시 사하구 하신번영로177번길 6 (신평동)</t>
        </is>
      </c>
      <c r="F1212" s="5" t="inlineStr"/>
      <c r="G1212" s="5" t="inlineStr">
        <is>
          <t>051-293-6777</t>
        </is>
      </c>
      <c r="H1212" s="12">
        <f>어린이집!T833</f>
        <v/>
      </c>
      <c r="I1212" s="5" t="inlineStr">
        <is>
          <t>만0세 4 / 만1세 3 / 만2세 4 / 영아혼합반 5 / 유아혼합반 12 / 기타(연령구분 없음) 21</t>
        </is>
      </c>
    </row>
    <row r="1213">
      <c r="A1213" s="5" t="inlineStr">
        <is>
          <t>사하경찰서어린이집</t>
        </is>
      </c>
      <c r="B1213" s="5" t="inlineStr">
        <is>
          <t>어린이집</t>
        </is>
      </c>
      <c r="C1213" s="5" t="inlineStr">
        <is>
          <t>직장</t>
        </is>
      </c>
      <c r="D1213" s="5" t="inlineStr">
        <is>
          <t>사하구</t>
        </is>
      </c>
      <c r="E1213" s="5" t="inlineStr">
        <is>
          <t>부산광역시 사하구 을숙도대로 665 (신평동)</t>
        </is>
      </c>
      <c r="F1213" s="5" t="inlineStr"/>
      <c r="G1213" s="5" t="inlineStr">
        <is>
          <t>051-203-7898</t>
        </is>
      </c>
      <c r="H1213" s="12">
        <f>어린이집!T834</f>
        <v/>
      </c>
      <c r="I1213" s="5" t="inlineStr">
        <is>
          <t>만0세 3 / 만1세 6 / 만2세 6 / 만3세 4 / 유아혼합반 3</t>
        </is>
      </c>
    </row>
    <row r="1214">
      <c r="A1214" s="5" t="inlineStr">
        <is>
          <t>사하뷰웰어린이집</t>
        </is>
      </c>
      <c r="B1214" s="5" t="inlineStr">
        <is>
          <t>어린이집</t>
        </is>
      </c>
      <c r="C1214" s="5" t="inlineStr">
        <is>
          <t>국공립</t>
        </is>
      </c>
      <c r="D1214" s="5" t="inlineStr">
        <is>
          <t>사하구</t>
        </is>
      </c>
      <c r="E1214" s="5" t="inlineStr">
        <is>
          <t>부산광역시 사하구 신산북로43번길 59</t>
        </is>
      </c>
      <c r="F1214" s="5" t="inlineStr"/>
      <c r="G1214" s="5" t="inlineStr">
        <is>
          <t>051-294-8033</t>
        </is>
      </c>
      <c r="H1214" s="12">
        <f>어린이집!T835</f>
        <v/>
      </c>
      <c r="I1214" s="5" t="inlineStr">
        <is>
          <t>만0세 12 / 만1세 13 / 만2세 21 / 기타(연령구분 없음) 10</t>
        </is>
      </c>
    </row>
    <row r="1215">
      <c r="A1215" s="5" t="inlineStr">
        <is>
          <t>사하역 비스타동원어린이집</t>
        </is>
      </c>
      <c r="B1215" s="5" t="inlineStr">
        <is>
          <t>어린이집</t>
        </is>
      </c>
      <c r="C1215" s="5" t="inlineStr">
        <is>
          <t>국공립</t>
        </is>
      </c>
      <c r="D1215" s="5" t="inlineStr">
        <is>
          <t>사하구</t>
        </is>
      </c>
      <c r="E1215" s="5" t="inlineStr">
        <is>
          <t>부산광역시 사하구 낙동대로 280</t>
        </is>
      </c>
      <c r="F1215" s="5" t="inlineStr"/>
      <c r="G1215" s="5" t="inlineStr">
        <is>
          <t>051-291-2220</t>
        </is>
      </c>
      <c r="H1215" s="12">
        <f>어린이집!T836</f>
        <v/>
      </c>
      <c r="I1215" s="5" t="inlineStr">
        <is>
          <t>만1세 11 / 만2세 11 / 영아혼합반 9 / 기타(연령구분 없음) 10</t>
        </is>
      </c>
    </row>
    <row r="1216">
      <c r="A1216" s="5" t="inlineStr">
        <is>
          <t>사하제니스어린이집</t>
        </is>
      </c>
      <c r="B1216" s="5" t="inlineStr">
        <is>
          <t>어린이집</t>
        </is>
      </c>
      <c r="C1216" s="5" t="inlineStr">
        <is>
          <t>국공립</t>
        </is>
      </c>
      <c r="D1216" s="5" t="inlineStr">
        <is>
          <t>사하구</t>
        </is>
      </c>
      <c r="E1216" s="5" t="inlineStr">
        <is>
          <t>부산광역시 사하구 장림로 199</t>
        </is>
      </c>
      <c r="F1216" s="5" t="inlineStr"/>
      <c r="G1216" s="5" t="inlineStr">
        <is>
          <t>051-265-1008</t>
        </is>
      </c>
      <c r="H1216" s="12">
        <f>어린이집!T837</f>
        <v/>
      </c>
      <c r="I1216" s="5" t="inlineStr">
        <is>
          <t>만0세 14 / 만1세 27 / 만2세 20 / 기타(연령구분 없음) 10</t>
        </is>
      </c>
    </row>
    <row r="1217">
      <c r="A1217" s="5" t="inlineStr">
        <is>
          <t>사하중흥S클래스어린이집</t>
        </is>
      </c>
      <c r="B1217" s="5" t="inlineStr">
        <is>
          <t>어린이집</t>
        </is>
      </c>
      <c r="C1217" s="5" t="inlineStr">
        <is>
          <t>국공립</t>
        </is>
      </c>
      <c r="D1217" s="5" t="inlineStr">
        <is>
          <t>사하구</t>
        </is>
      </c>
      <c r="E1217" s="5" t="inlineStr">
        <is>
          <t>부산광역시 사하구 서포로30번길 42</t>
        </is>
      </c>
      <c r="F1217" s="5" t="inlineStr"/>
      <c r="G1217" s="5" t="inlineStr">
        <is>
          <t>051-291-4749</t>
        </is>
      </c>
      <c r="H1217" s="12">
        <f>어린이집!T838</f>
        <v/>
      </c>
      <c r="I1217" s="5" t="inlineStr">
        <is>
          <t>만0세 12 / 만1세 21 / 만2세 15 / 기타(연령구분 없음) 10</t>
        </is>
      </c>
    </row>
    <row r="1218">
      <c r="A1218" s="5" t="inlineStr">
        <is>
          <t>사하코오롱하늘채어린이집</t>
        </is>
      </c>
      <c r="B1218" s="5" t="inlineStr">
        <is>
          <t>어린이집</t>
        </is>
      </c>
      <c r="C1218" s="5" t="inlineStr">
        <is>
          <t>국공립</t>
        </is>
      </c>
      <c r="D1218" s="5" t="inlineStr">
        <is>
          <t>사하구</t>
        </is>
      </c>
      <c r="E1218" s="5" t="inlineStr">
        <is>
          <t>부산광역시 사하구 신산북로 41</t>
        </is>
      </c>
      <c r="F1218" s="5" t="inlineStr"/>
      <c r="G1218" s="5" t="inlineStr">
        <is>
          <t>051-265-9473</t>
        </is>
      </c>
      <c r="H1218" s="12">
        <f>어린이집!T839</f>
        <v/>
      </c>
      <c r="I1218" s="5" t="inlineStr">
        <is>
          <t>만0세 6 / 만1세 15 / 만2세 16 / 영아혼합반 13 / 유아혼합반 10 / 기타(연령구분 없음) 10</t>
        </is>
      </c>
    </row>
    <row r="1219">
      <c r="A1219" s="5" t="inlineStr">
        <is>
          <t>산새소리어린이집</t>
        </is>
      </c>
      <c r="B1219" s="5" t="inlineStr">
        <is>
          <t>어린이집</t>
        </is>
      </c>
      <c r="C1219" s="5" t="inlineStr">
        <is>
          <t>민간</t>
        </is>
      </c>
      <c r="D1219" s="5" t="inlineStr">
        <is>
          <t>사하구</t>
        </is>
      </c>
      <c r="E1219" s="5" t="inlineStr">
        <is>
          <t>부산광역시 사하구 하신번영로207번길 10 (하단동)</t>
        </is>
      </c>
      <c r="F1219" s="11" t="inlineStr">
        <is>
          <t>http://hnkids.co.kr</t>
        </is>
      </c>
      <c r="G1219" s="5" t="inlineStr">
        <is>
          <t>051-293-5014</t>
        </is>
      </c>
      <c r="H1219" s="12">
        <f>어린이집!T840</f>
        <v/>
      </c>
      <c r="I1219" s="5" t="inlineStr">
        <is>
          <t>만0세 12 / 만1세 17 / 만2세 21 / 만3세 14 / 기타(연령구분 없음) 12</t>
        </is>
      </c>
    </row>
    <row r="1220">
      <c r="A1220" s="5" t="inlineStr">
        <is>
          <t>상지어린이집</t>
        </is>
      </c>
      <c r="B1220" s="5" t="inlineStr">
        <is>
          <t>어린이집</t>
        </is>
      </c>
      <c r="C1220" s="5" t="inlineStr">
        <is>
          <t>민간</t>
        </is>
      </c>
      <c r="D1220" s="5" t="inlineStr">
        <is>
          <t>사하구</t>
        </is>
      </c>
      <c r="E1220" s="5" t="inlineStr">
        <is>
          <t>부산광역시 사하구 장림시장5길 256 (장림동)</t>
        </is>
      </c>
      <c r="F1220" s="11" t="inlineStr">
        <is>
          <t>http://o1004.net</t>
        </is>
      </c>
      <c r="G1220" s="5" t="inlineStr">
        <is>
          <t>051-265-8278</t>
        </is>
      </c>
      <c r="H1220" s="12">
        <f>어린이집!T841</f>
        <v/>
      </c>
      <c r="I1220" s="5" t="inlineStr">
        <is>
          <t>만0세 7 / 만1세 10 / 만2세 14 / 기타(연령구분 없음) 7</t>
        </is>
      </c>
    </row>
    <row r="1221">
      <c r="A1221" s="5" t="inlineStr">
        <is>
          <t>새봄어린이집</t>
        </is>
      </c>
      <c r="B1221" s="5" t="inlineStr">
        <is>
          <t>어린이집</t>
        </is>
      </c>
      <c r="C1221" s="5" t="inlineStr">
        <is>
          <t>민간</t>
        </is>
      </c>
      <c r="D1221" s="5" t="inlineStr">
        <is>
          <t>사하구</t>
        </is>
      </c>
      <c r="E1221" s="5" t="inlineStr">
        <is>
          <t>부산광역시 사하구 두송로 68 (장림동, 삼경제일아파트 상가1층)</t>
        </is>
      </c>
      <c r="F1221" s="5" t="inlineStr"/>
      <c r="G1221" s="5" t="inlineStr">
        <is>
          <t>051-266-8484</t>
        </is>
      </c>
      <c r="H1221" s="12">
        <f>어린이집!T842</f>
        <v/>
      </c>
      <c r="I1221" s="5" t="inlineStr">
        <is>
          <t>만2세 4 / 영아혼합반 5 / 기타(연령구분 없음) 5</t>
        </is>
      </c>
    </row>
    <row r="1222">
      <c r="A1222" s="5" t="inlineStr">
        <is>
          <t>샘물어린이집</t>
        </is>
      </c>
      <c r="B1222" s="5" t="inlineStr">
        <is>
          <t>어린이집</t>
        </is>
      </c>
      <c r="C1222" s="5" t="inlineStr">
        <is>
          <t>법인·단체등</t>
        </is>
      </c>
      <c r="D1222" s="5" t="inlineStr">
        <is>
          <t>사하구</t>
        </is>
      </c>
      <c r="E1222" s="5" t="inlineStr">
        <is>
          <t>부산광역시 사하구 괴정로43번길 10 하단교회내 (하단동)</t>
        </is>
      </c>
      <c r="F1222" s="11" t="inlineStr">
        <is>
          <t>http://toaanf2004@daum.net</t>
        </is>
      </c>
      <c r="G1222" s="5" t="inlineStr">
        <is>
          <t>051-203-3924</t>
        </is>
      </c>
      <c r="H1222" s="12">
        <f>어린이집!T843</f>
        <v/>
      </c>
      <c r="I1222" s="5" t="inlineStr">
        <is>
          <t>만1세 5 / 만2세 14 / 만3세 5 / 만4세 8 / 만5세 11 / 영아혼합반 13 / 기타(연령구분 없음) 5</t>
        </is>
      </c>
    </row>
    <row r="1223">
      <c r="A1223" s="5" t="inlineStr">
        <is>
          <t>선민꿈어린이집</t>
        </is>
      </c>
      <c r="B1223" s="5" t="inlineStr">
        <is>
          <t>어린이집</t>
        </is>
      </c>
      <c r="C1223" s="5" t="inlineStr">
        <is>
          <t>민간</t>
        </is>
      </c>
      <c r="D1223" s="5" t="inlineStr">
        <is>
          <t>사하구</t>
        </is>
      </c>
      <c r="E1223" s="5" t="inlineStr">
        <is>
          <t>부산광역시 사하구 낙동대로309번길 31 (괴정동)</t>
        </is>
      </c>
      <c r="F1223" s="11" t="inlineStr">
        <is>
          <t>https://blog.naver.com/hyunjoo790315</t>
        </is>
      </c>
      <c r="G1223" s="5" t="inlineStr">
        <is>
          <t>051-206-9090</t>
        </is>
      </c>
      <c r="H1223" s="12">
        <f>어린이집!T844</f>
        <v/>
      </c>
      <c r="I1223" s="5" t="inlineStr">
        <is>
          <t>만0세 11 / 만1세 9 / 만2세 7 / 영아혼합반 5 / 유아혼합반 11 / 기타(연령구분 없음) 34</t>
        </is>
      </c>
    </row>
    <row r="1224">
      <c r="A1224" s="5" t="inlineStr">
        <is>
          <t>성균관어린이집</t>
        </is>
      </c>
      <c r="B1224" s="5" t="inlineStr">
        <is>
          <t>어린이집</t>
        </is>
      </c>
      <c r="C1224" s="5" t="inlineStr">
        <is>
          <t>민간</t>
        </is>
      </c>
      <c r="D1224" s="5" t="inlineStr">
        <is>
          <t>사하구</t>
        </is>
      </c>
      <c r="E1224" s="5" t="inlineStr">
        <is>
          <t>부산광역시 사하구 윤공단로17번길 98 (다대동)</t>
        </is>
      </c>
      <c r="F1224" s="11" t="inlineStr">
        <is>
          <t>https://www.instagram.com/skk_4112/</t>
        </is>
      </c>
      <c r="G1224" s="5" t="inlineStr">
        <is>
          <t>051-262-2189</t>
        </is>
      </c>
      <c r="H1224" s="12">
        <f>어린이집!T845</f>
        <v/>
      </c>
      <c r="I1224" s="5" t="inlineStr">
        <is>
          <t>만0세 3 / 만2세 13 / 만3세 10 / 만4세 9 / 만5세 13 / 영아혼합반 3 / 기타(연령구분 없음) 24</t>
        </is>
      </c>
    </row>
    <row r="1225">
      <c r="A1225" s="5" t="inlineStr">
        <is>
          <t>세아꿈어린이집</t>
        </is>
      </c>
      <c r="B1225" s="5" t="inlineStr">
        <is>
          <t>어린이집</t>
        </is>
      </c>
      <c r="C1225" s="5" t="inlineStr">
        <is>
          <t>국공립</t>
        </is>
      </c>
      <c r="D1225" s="5" t="inlineStr">
        <is>
          <t>사하구</t>
        </is>
      </c>
      <c r="E1225" s="5" t="inlineStr">
        <is>
          <t>부산광역시 사하구 감천로73번길 66</t>
        </is>
      </c>
      <c r="F1225" s="5" t="inlineStr"/>
      <c r="G1225" s="5" t="inlineStr">
        <is>
          <t>051-204-8283</t>
        </is>
      </c>
      <c r="H1225" s="12">
        <f>어린이집!T846</f>
        <v/>
      </c>
      <c r="I1225" s="5" t="inlineStr">
        <is>
          <t>만1세 7 / 만2세 6 / 영아혼합반 2 / 유아혼합반 13 / 장애아반(특수) 2 / 기타(연령구분 없음) 13</t>
        </is>
      </c>
    </row>
    <row r="1226">
      <c r="A1226" s="5" t="inlineStr">
        <is>
          <t>아이숲어린이집</t>
        </is>
      </c>
      <c r="B1226" s="5" t="inlineStr">
        <is>
          <t>어린이집</t>
        </is>
      </c>
      <c r="C1226" s="5" t="inlineStr">
        <is>
          <t>민간</t>
        </is>
      </c>
      <c r="D1226" s="5" t="inlineStr">
        <is>
          <t>사하구</t>
        </is>
      </c>
      <c r="E1226" s="5" t="inlineStr">
        <is>
          <t>부산광역시 사하구 낙동대로324번길 16 (괴정동)</t>
        </is>
      </c>
      <c r="F1226" s="5" t="inlineStr"/>
      <c r="G1226" s="5" t="inlineStr">
        <is>
          <t>051-202-0676</t>
        </is>
      </c>
      <c r="H1226" s="12">
        <f>어린이집!T847</f>
        <v/>
      </c>
      <c r="I1226" s="5" t="inlineStr">
        <is>
          <t>만0세 3 / 만1세 4 / 만2세 7 / 유아혼합반 7 / 기타(연령구분 없음) 23</t>
        </is>
      </c>
    </row>
    <row r="1227">
      <c r="A1227" s="5" t="inlineStr">
        <is>
          <t>아이조아어린이집</t>
        </is>
      </c>
      <c r="B1227" s="5" t="inlineStr">
        <is>
          <t>어린이집</t>
        </is>
      </c>
      <c r="C1227" s="5" t="inlineStr">
        <is>
          <t>가정</t>
        </is>
      </c>
      <c r="D1227" s="5" t="inlineStr">
        <is>
          <t>사하구</t>
        </is>
      </c>
      <c r="E1227" s="5" t="inlineStr">
        <is>
          <t>부산광역시 사하구 서포로30번길 12 202동 101호(구평동,e편한세상사하2차아파트)</t>
        </is>
      </c>
      <c r="F1227" s="5" t="inlineStr"/>
      <c r="G1227" s="5" t="inlineStr">
        <is>
          <t>051-202-9202</t>
        </is>
      </c>
      <c r="H1227" s="12">
        <f>어린이집!T848</f>
        <v/>
      </c>
      <c r="I1227" s="5" t="inlineStr">
        <is>
          <t>만0세 7 / 만1세 4 / 만2세 3 / 영아혼합반 2 / 기타(연령구분 없음) 8</t>
        </is>
      </c>
    </row>
    <row r="1228">
      <c r="A1228" s="5" t="inlineStr">
        <is>
          <t>아이편한어린이집</t>
        </is>
      </c>
      <c r="B1228" s="5" t="inlineStr">
        <is>
          <t>어린이집</t>
        </is>
      </c>
      <c r="C1228" s="5" t="inlineStr">
        <is>
          <t>가정</t>
        </is>
      </c>
      <c r="D1228" s="5" t="inlineStr">
        <is>
          <t>사하구</t>
        </is>
      </c>
      <c r="E1228" s="5" t="inlineStr">
        <is>
          <t>부산광역시 사하구 서포로30번길 26 106동 101호(구평동, e편한세상사하)</t>
        </is>
      </c>
      <c r="F1228" s="5" t="inlineStr"/>
      <c r="G1228" s="5" t="inlineStr">
        <is>
          <t>051-266-6101</t>
        </is>
      </c>
      <c r="H1228" s="12">
        <f>어린이집!T849</f>
        <v/>
      </c>
      <c r="I1228" s="5" t="inlineStr">
        <is>
          <t>만0세 6 / 만1세 5 / 기타(연령구분 없음) 4</t>
        </is>
      </c>
    </row>
    <row r="1229">
      <c r="A1229" s="5" t="inlineStr">
        <is>
          <t>아트센터어린이집</t>
        </is>
      </c>
      <c r="B1229" s="5" t="inlineStr">
        <is>
          <t>어린이집</t>
        </is>
      </c>
      <c r="C1229" s="5" t="inlineStr">
        <is>
          <t>민간</t>
        </is>
      </c>
      <c r="D1229" s="5" t="inlineStr">
        <is>
          <t>사하구</t>
        </is>
      </c>
      <c r="E1229" s="5" t="inlineStr">
        <is>
          <t>부산광역시 사하구 제석로 81 (당리동)</t>
        </is>
      </c>
      <c r="F1229" s="5" t="inlineStr"/>
      <c r="G1229" s="5" t="inlineStr">
        <is>
          <t>051-206-4700</t>
        </is>
      </c>
      <c r="H1229" s="12">
        <f>어린이집!T850</f>
        <v/>
      </c>
      <c r="I1229" s="5" t="inlineStr">
        <is>
          <t>만0세 6 / 만1세 5 / 만2세 14 / 만3세 14 / 만4세 17 / 만5세 27 / 기타(연령구분 없음) 17</t>
        </is>
      </c>
    </row>
    <row r="1230">
      <c r="A1230" s="5" t="inlineStr">
        <is>
          <t>엄마교실어린이집</t>
        </is>
      </c>
      <c r="B1230" s="5" t="inlineStr">
        <is>
          <t>어린이집</t>
        </is>
      </c>
      <c r="C1230" s="5" t="inlineStr">
        <is>
          <t>가정</t>
        </is>
      </c>
      <c r="D1230" s="5" t="inlineStr">
        <is>
          <t>사하구</t>
        </is>
      </c>
      <c r="E1230" s="5" t="inlineStr">
        <is>
          <t>부산광역시 사하구 다대낙조1길 12 101동 103호(다대동, 대우아파트)</t>
        </is>
      </c>
      <c r="F1230" s="11" t="inlineStr">
        <is>
          <t>https://www.instagram.com/gimminyeong95294</t>
        </is>
      </c>
      <c r="G1230" s="5" t="inlineStr">
        <is>
          <t>051-266-5551</t>
        </is>
      </c>
      <c r="H1230" s="12">
        <f>어린이집!T851</f>
        <v/>
      </c>
      <c r="I1230" s="5" t="inlineStr">
        <is>
          <t>만0세 3 / 만1세 4 / 영아혼합반 5 / 기타(연령구분 없음) 5</t>
        </is>
      </c>
    </row>
    <row r="1231">
      <c r="A1231" s="5" t="inlineStr">
        <is>
          <t>엄마별어린이집</t>
        </is>
      </c>
      <c r="B1231" s="5" t="inlineStr">
        <is>
          <t>어린이집</t>
        </is>
      </c>
      <c r="C1231" s="5" t="inlineStr">
        <is>
          <t>가정</t>
        </is>
      </c>
      <c r="D1231" s="5" t="inlineStr">
        <is>
          <t>사하구</t>
        </is>
      </c>
      <c r="E1231" s="5" t="inlineStr">
        <is>
          <t>부산광역시 사하구 장림로 199 101동 106호(두산위브더제니스센트럴사하)</t>
        </is>
      </c>
      <c r="F1231" s="5" t="inlineStr"/>
      <c r="G1231" s="5" t="inlineStr">
        <is>
          <t>051-261-0234</t>
        </is>
      </c>
      <c r="H1231" s="12">
        <f>어린이집!T852</f>
        <v/>
      </c>
      <c r="I1231" s="5" t="inlineStr">
        <is>
          <t>만0세 2 / 만1세 4 / 만2세 7 / 영아혼합반 2 / 기타(연령구분 없음) 5</t>
        </is>
      </c>
    </row>
    <row r="1232">
      <c r="A1232" s="5" t="inlineStr">
        <is>
          <t>연두어린이집</t>
        </is>
      </c>
      <c r="B1232" s="5" t="inlineStr">
        <is>
          <t>어린이집</t>
        </is>
      </c>
      <c r="C1232" s="5" t="inlineStr">
        <is>
          <t>가정</t>
        </is>
      </c>
      <c r="D1232" s="5" t="inlineStr">
        <is>
          <t>사하구</t>
        </is>
      </c>
      <c r="E1232" s="5" t="inlineStr">
        <is>
          <t>부산광역시 사하구 감천로 32 백산아파트 102 (감천동)</t>
        </is>
      </c>
      <c r="F1232" s="5" t="inlineStr"/>
      <c r="G1232" s="5" t="inlineStr">
        <is>
          <t>051-205-7834</t>
        </is>
      </c>
      <c r="H1232" s="12">
        <f>어린이집!T853</f>
        <v/>
      </c>
      <c r="I1232" s="5" t="inlineStr">
        <is>
          <t>만0세 4 / 만1세 4 / 영아혼합반 5 / 기타(연령구분 없음) 3</t>
        </is>
      </c>
    </row>
    <row r="1233">
      <c r="A1233" s="5" t="inlineStr">
        <is>
          <t>연희어린이집</t>
        </is>
      </c>
      <c r="B1233" s="5" t="inlineStr">
        <is>
          <t>어린이집</t>
        </is>
      </c>
      <c r="C1233" s="5" t="inlineStr">
        <is>
          <t>민간</t>
        </is>
      </c>
      <c r="D1233" s="5" t="inlineStr">
        <is>
          <t>사하구</t>
        </is>
      </c>
      <c r="E1233" s="5" t="inlineStr">
        <is>
          <t>부산광역시 사하구 낙동남로1357번길 35 (하단동)</t>
        </is>
      </c>
      <c r="F1233" s="11" t="inlineStr">
        <is>
          <t>http://hidonga1234@naver.com</t>
        </is>
      </c>
      <c r="G1233" s="5" t="inlineStr">
        <is>
          <t>051-205-1054</t>
        </is>
      </c>
      <c r="H1233" s="12">
        <f>어린이집!T854</f>
        <v/>
      </c>
      <c r="I1233" s="5" t="inlineStr">
        <is>
          <t>만0세 6 / 만1세 4 / 만2세 8 / 영아혼합반 8 / 유아혼합반 6 / 기타(연령구분 없음) 4</t>
        </is>
      </c>
    </row>
    <row r="1234">
      <c r="A1234" s="5" t="inlineStr">
        <is>
          <t>영경어린이집</t>
        </is>
      </c>
      <c r="B1234" s="5" t="inlineStr">
        <is>
          <t>어린이집</t>
        </is>
      </c>
      <c r="C1234" s="5" t="inlineStr">
        <is>
          <t>민간</t>
        </is>
      </c>
      <c r="D1234" s="5" t="inlineStr">
        <is>
          <t>사하구</t>
        </is>
      </c>
      <c r="E1234" s="5" t="inlineStr">
        <is>
          <t>부산광역시 사하구 다대로144번길 62 17통3반 (신평동)</t>
        </is>
      </c>
      <c r="F1234" s="5" t="inlineStr"/>
      <c r="G1234" s="5" t="inlineStr">
        <is>
          <t>051-208-0652</t>
        </is>
      </c>
      <c r="H1234" s="12">
        <f>어린이집!T855</f>
        <v/>
      </c>
      <c r="I1234" s="5" t="inlineStr">
        <is>
          <t>만1세 5 / 만2세 4 / 영아혼합반 2 / 유아혼합반 11 / 기타(연령구분 없음) 12</t>
        </is>
      </c>
    </row>
    <row r="1235">
      <c r="A1235" s="5" t="inlineStr">
        <is>
          <t>예닮창의어린이집</t>
        </is>
      </c>
      <c r="B1235" s="5" t="inlineStr">
        <is>
          <t>어린이집</t>
        </is>
      </c>
      <c r="C1235" s="5" t="inlineStr">
        <is>
          <t>민간</t>
        </is>
      </c>
      <c r="D1235" s="5" t="inlineStr">
        <is>
          <t>사하구</t>
        </is>
      </c>
      <c r="E1235" s="5" t="inlineStr">
        <is>
          <t>부산광역시 사하구 다대로 415-2 (다대동)</t>
        </is>
      </c>
      <c r="F1235" s="5" t="inlineStr"/>
      <c r="G1235" s="5" t="inlineStr">
        <is>
          <t>051-266-2290</t>
        </is>
      </c>
      <c r="H1235" s="12">
        <f>어린이집!T856</f>
        <v/>
      </c>
      <c r="I1235" s="5" t="inlineStr">
        <is>
          <t>유아혼합반 5 / 장애아반(특수) 10 / 기타(연령구분 없음) 3</t>
        </is>
      </c>
    </row>
    <row r="1236">
      <c r="A1236" s="5" t="inlineStr">
        <is>
          <t>예원어린이집</t>
        </is>
      </c>
      <c r="B1236" s="5" t="inlineStr">
        <is>
          <t>어린이집</t>
        </is>
      </c>
      <c r="C1236" s="5" t="inlineStr">
        <is>
          <t>가정</t>
        </is>
      </c>
      <c r="D1236" s="5" t="inlineStr">
        <is>
          <t>사하구</t>
        </is>
      </c>
      <c r="E1236" s="5" t="inlineStr">
        <is>
          <t>부산광역시 사하구 낙동대로234번길 48 (괴정동)</t>
        </is>
      </c>
      <c r="F1236" s="5" t="inlineStr"/>
      <c r="G1236" s="5" t="inlineStr">
        <is>
          <t>051-207-8020</t>
        </is>
      </c>
      <c r="H1236" s="12">
        <f>어린이집!T857</f>
        <v/>
      </c>
      <c r="I1236" s="5" t="inlineStr">
        <is>
          <t>만0세 2 / 만2세 5 / 영아혼합반 4 / 기타(연령구분 없음) 8</t>
        </is>
      </c>
    </row>
    <row r="1237">
      <c r="A1237" s="5" t="inlineStr">
        <is>
          <t>우리어린이집</t>
        </is>
      </c>
      <c r="B1237" s="5" t="inlineStr">
        <is>
          <t>어린이집</t>
        </is>
      </c>
      <c r="C1237" s="5" t="inlineStr">
        <is>
          <t>민간</t>
        </is>
      </c>
      <c r="D1237" s="5" t="inlineStr">
        <is>
          <t>사하구</t>
        </is>
      </c>
      <c r="E1237" s="5" t="inlineStr">
        <is>
          <t>부산광역시 사하구 괴정로 255</t>
        </is>
      </c>
      <c r="F1237" s="5" t="inlineStr"/>
      <c r="G1237" s="5" t="inlineStr">
        <is>
          <t>051-202-5003</t>
        </is>
      </c>
      <c r="H1237" s="12">
        <f>어린이집!T858</f>
        <v/>
      </c>
      <c r="I1237" s="5" t="inlineStr"/>
    </row>
    <row r="1238">
      <c r="A1238" s="5" t="inlineStr">
        <is>
          <t>유나어린이집</t>
        </is>
      </c>
      <c r="B1238" s="5" t="inlineStr">
        <is>
          <t>어린이집</t>
        </is>
      </c>
      <c r="C1238" s="5" t="inlineStr">
        <is>
          <t>가정</t>
        </is>
      </c>
      <c r="D1238" s="5" t="inlineStr">
        <is>
          <t>사하구</t>
        </is>
      </c>
      <c r="E1238" s="5" t="inlineStr">
        <is>
          <t>부산광역시 사하구 하신번영로 400 111동 102호(하단동, SK뷰아파트)</t>
        </is>
      </c>
      <c r="F1238" s="5" t="inlineStr"/>
      <c r="G1238" s="5" t="inlineStr">
        <is>
          <t>051-292-0898</t>
        </is>
      </c>
      <c r="H1238" s="12">
        <f>어린이집!T859</f>
        <v/>
      </c>
      <c r="I1238" s="5" t="inlineStr">
        <is>
          <t>만0세 5 / 만1세 7 / 만2세 5 / 기타(연령구분 없음) 3</t>
        </is>
      </c>
    </row>
    <row r="1239">
      <c r="A1239" s="5" t="inlineStr">
        <is>
          <t>유아재능어린이집</t>
        </is>
      </c>
      <c r="B1239" s="5" t="inlineStr">
        <is>
          <t>어린이집</t>
        </is>
      </c>
      <c r="C1239" s="5" t="inlineStr">
        <is>
          <t>가정</t>
        </is>
      </c>
      <c r="D1239" s="5" t="inlineStr">
        <is>
          <t>사하구</t>
        </is>
      </c>
      <c r="E1239" s="5" t="inlineStr">
        <is>
          <t>부산광역시 사하구 하신번영로 233 315동 101호(하단동, 가락타운3단지)</t>
        </is>
      </c>
      <c r="F1239" s="5" t="inlineStr"/>
      <c r="G1239" s="5" t="inlineStr">
        <is>
          <t>051-202-3275</t>
        </is>
      </c>
      <c r="H1239" s="12">
        <f>어린이집!T860</f>
        <v/>
      </c>
      <c r="I1239" s="5" t="inlineStr">
        <is>
          <t>만0세 6 / 만1세 5 / 만2세 6 / 기타(연령구분 없음) 3</t>
        </is>
      </c>
    </row>
    <row r="1240">
      <c r="A1240" s="5" t="inlineStr">
        <is>
          <t>은비숲어린이집</t>
        </is>
      </c>
      <c r="B1240" s="5" t="inlineStr">
        <is>
          <t>어린이집</t>
        </is>
      </c>
      <c r="C1240" s="5" t="inlineStr">
        <is>
          <t>민간</t>
        </is>
      </c>
      <c r="D1240" s="5" t="inlineStr">
        <is>
          <t>사하구</t>
        </is>
      </c>
      <c r="E1240" s="5" t="inlineStr">
        <is>
          <t>부산광역시 사하구 다대로524번길 20 (다대동)</t>
        </is>
      </c>
      <c r="F1240" s="5" t="inlineStr"/>
      <c r="G1240" s="5" t="inlineStr">
        <is>
          <t>051-261-3834</t>
        </is>
      </c>
      <c r="H1240" s="12">
        <f>어린이집!T861</f>
        <v/>
      </c>
      <c r="I1240" s="5" t="inlineStr">
        <is>
          <t>만1세 4 / 만2세 4 / 유아혼합반 7 / 기타(연령구분 없음) 6</t>
        </is>
      </c>
    </row>
    <row r="1241">
      <c r="A1241" s="5" t="inlineStr">
        <is>
          <t>이삭어린이집</t>
        </is>
      </c>
      <c r="B1241" s="5" t="inlineStr">
        <is>
          <t>어린이집</t>
        </is>
      </c>
      <c r="C1241" s="5" t="inlineStr">
        <is>
          <t>민간</t>
        </is>
      </c>
      <c r="D1241" s="5" t="inlineStr">
        <is>
          <t>사하구</t>
        </is>
      </c>
      <c r="E1241" s="5" t="inlineStr">
        <is>
          <t>부산광역시 사하구 괴정로246번길 11 13-1, 13-2 (괴정동)</t>
        </is>
      </c>
      <c r="F1241" s="11" t="inlineStr">
        <is>
          <t>http://cafe.daum.net/isaackids</t>
        </is>
      </c>
      <c r="G1241" s="5" t="inlineStr">
        <is>
          <t>051-203-5255</t>
        </is>
      </c>
      <c r="H1241" s="12">
        <f>어린이집!T862</f>
        <v/>
      </c>
      <c r="I1241" s="5" t="inlineStr">
        <is>
          <t>만0세 7 / 만1세 5 / 만2세 13 / 만3세 14 / 유아혼합반 8 / 기타(연령구분 없음) 4</t>
        </is>
      </c>
    </row>
    <row r="1242">
      <c r="A1242" s="5" t="inlineStr">
        <is>
          <t>이편한아이세상어린이집</t>
        </is>
      </c>
      <c r="B1242" s="5" t="inlineStr">
        <is>
          <t>어린이집</t>
        </is>
      </c>
      <c r="C1242" s="5" t="inlineStr">
        <is>
          <t>가정</t>
        </is>
      </c>
      <c r="D1242" s="5" t="inlineStr">
        <is>
          <t>사하구</t>
        </is>
      </c>
      <c r="E1242" s="5" t="inlineStr">
        <is>
          <t>부산광역시 사하구 서포로30번길 12 208동 104호(구평동,e편한세상사하2차)</t>
        </is>
      </c>
      <c r="F1242" s="5" t="inlineStr"/>
      <c r="G1242" s="5" t="inlineStr">
        <is>
          <t>051-261-1233</t>
        </is>
      </c>
      <c r="H1242" s="12">
        <f>어린이집!T863</f>
        <v/>
      </c>
      <c r="I1242" s="5" t="inlineStr">
        <is>
          <t>만0세 6 / 만1세 4 / 만2세 7 / 기타(연령구분 없음) 3</t>
        </is>
      </c>
    </row>
    <row r="1243">
      <c r="A1243" s="5" t="inlineStr">
        <is>
          <t>이편한어린이집</t>
        </is>
      </c>
      <c r="B1243" s="5" t="inlineStr">
        <is>
          <t>어린이집</t>
        </is>
      </c>
      <c r="C1243" s="5" t="inlineStr">
        <is>
          <t>국공립</t>
        </is>
      </c>
      <c r="D1243" s="5" t="inlineStr">
        <is>
          <t>사하구</t>
        </is>
      </c>
      <c r="E1243" s="5" t="inlineStr">
        <is>
          <t>부산광역시 사하구 서포로30번길 26 (구평동,e편한세상사하1차아파트 관리동)</t>
        </is>
      </c>
      <c r="F1243" s="5" t="inlineStr"/>
      <c r="G1243" s="5" t="inlineStr">
        <is>
          <t>051-266-0228</t>
        </is>
      </c>
      <c r="H1243" s="12">
        <f>어린이집!T864</f>
        <v/>
      </c>
      <c r="I1243" s="5" t="inlineStr">
        <is>
          <t>만1세 19 / 만2세 17 / 만3세 6 / 만4세 18 / 만5세 16 / 기타(연령구분 없음) 22</t>
        </is>
      </c>
    </row>
    <row r="1244">
      <c r="A1244" s="5" t="inlineStr">
        <is>
          <t>이편한햇살어린이집</t>
        </is>
      </c>
      <c r="B1244" s="5" t="inlineStr">
        <is>
          <t>어린이집</t>
        </is>
      </c>
      <c r="C1244" s="5" t="inlineStr">
        <is>
          <t>국공립</t>
        </is>
      </c>
      <c r="D1244" s="5" t="inlineStr">
        <is>
          <t>사하구</t>
        </is>
      </c>
      <c r="E1244" s="5" t="inlineStr">
        <is>
          <t>부산광역시 사하구 서포로30번길 12 (구평동,e편한세상사하2차 관리동)</t>
        </is>
      </c>
      <c r="F1244" s="5" t="inlineStr"/>
      <c r="G1244" s="5" t="inlineStr">
        <is>
          <t>051-262-2002</t>
        </is>
      </c>
      <c r="H1244" s="12">
        <f>어린이집!T865</f>
        <v/>
      </c>
      <c r="I1244" s="5" t="inlineStr">
        <is>
          <t>만1세 25 / 만2세 13 / 만3세 12 / 만5세 13 / 기타(연령구분 없음) 15</t>
        </is>
      </c>
    </row>
    <row r="1245">
      <c r="A1245" s="5" t="inlineStr">
        <is>
          <t>자유하늘어린이집</t>
        </is>
      </c>
      <c r="B1245" s="5" t="inlineStr">
        <is>
          <t>어린이집</t>
        </is>
      </c>
      <c r="C1245" s="5" t="inlineStr">
        <is>
          <t>민간</t>
        </is>
      </c>
      <c r="D1245" s="5" t="inlineStr">
        <is>
          <t>사하구</t>
        </is>
      </c>
      <c r="E1245" s="5" t="inlineStr">
        <is>
          <t>부산광역시 사하구 을숙도대로709번길 31 자유아파트 105동 지하 2층 (구평동)</t>
        </is>
      </c>
      <c r="F1245" s="5" t="inlineStr"/>
      <c r="G1245" s="5" t="inlineStr">
        <is>
          <t>051-264-1002</t>
        </is>
      </c>
      <c r="H1245" s="12">
        <f>어린이집!T866</f>
        <v/>
      </c>
      <c r="I1245" s="5" t="inlineStr">
        <is>
          <t>만0세 4 / 만1세 5 / 만2세 7 / 영아혼합반 5 / 기타(연령구분 없음) 10</t>
        </is>
      </c>
    </row>
    <row r="1246">
      <c r="A1246" s="5" t="inlineStr">
        <is>
          <t>장림어린이집</t>
        </is>
      </c>
      <c r="B1246" s="5" t="inlineStr">
        <is>
          <t>어린이집</t>
        </is>
      </c>
      <c r="C1246" s="5" t="inlineStr">
        <is>
          <t>국공립</t>
        </is>
      </c>
      <c r="D1246" s="5" t="inlineStr">
        <is>
          <t>사하구</t>
        </is>
      </c>
      <c r="E1246" s="5" t="inlineStr">
        <is>
          <t>부산광역시 사하구 장림번영로28번길 33</t>
        </is>
      </c>
      <c r="F1246" s="5" t="inlineStr"/>
      <c r="G1246" s="5" t="inlineStr">
        <is>
          <t>051-261-3692</t>
        </is>
      </c>
      <c r="H1246" s="12">
        <f>어린이집!T867</f>
        <v/>
      </c>
      <c r="I1246" s="5" t="inlineStr">
        <is>
          <t>만0세 3 / 만1세 14 / 만2세 25 / 만3세 11 / 영아혼합반 3 / 유아혼합반 16 / 장애아반(특수) 3 / 기타(연령구분 없음) 17</t>
        </is>
      </c>
    </row>
    <row r="1247">
      <c r="A1247" s="5" t="inlineStr">
        <is>
          <t>장림하나어린이집</t>
        </is>
      </c>
      <c r="B1247" s="5" t="inlineStr">
        <is>
          <t>어린이집</t>
        </is>
      </c>
      <c r="C1247" s="5" t="inlineStr">
        <is>
          <t>국공립</t>
        </is>
      </c>
      <c r="D1247" s="5" t="inlineStr">
        <is>
          <t>사하구</t>
        </is>
      </c>
      <c r="E1247" s="5" t="inlineStr">
        <is>
          <t>부산광역시 사하구 장림로161번길 14</t>
        </is>
      </c>
      <c r="F1247" s="5" t="inlineStr"/>
      <c r="G1247" s="5" t="inlineStr">
        <is>
          <t>051-266-2681</t>
        </is>
      </c>
      <c r="H1247" s="12">
        <f>어린이집!T868</f>
        <v/>
      </c>
      <c r="I1247" s="5" t="inlineStr">
        <is>
          <t>만0세 9 / 만1세 13 / 만2세 12 / 기타(연령구분 없음) 5</t>
        </is>
      </c>
    </row>
    <row r="1248">
      <c r="A1248" s="5" t="inlineStr">
        <is>
          <t>조은어린이집</t>
        </is>
      </c>
      <c r="B1248" s="5" t="inlineStr">
        <is>
          <t>어린이집</t>
        </is>
      </c>
      <c r="C1248" s="5" t="inlineStr">
        <is>
          <t>국공립</t>
        </is>
      </c>
      <c r="D1248" s="5" t="inlineStr">
        <is>
          <t>사하구</t>
        </is>
      </c>
      <c r="E1248" s="5" t="inlineStr">
        <is>
          <t>부산광역시 사하구 하신중앙로22번길 24</t>
        </is>
      </c>
      <c r="F1248" s="5" t="inlineStr"/>
      <c r="G1248" s="5" t="inlineStr">
        <is>
          <t>051-266-7742</t>
        </is>
      </c>
      <c r="H1248" s="12">
        <f>어린이집!T869</f>
        <v/>
      </c>
      <c r="I1248" s="5" t="inlineStr">
        <is>
          <t>만0세 6 / 만1세 20 / 만2세 28 / 만3세 13 / 만4세 11 / 만5세 14 / 기타(연령구분 없음) 33</t>
        </is>
      </c>
    </row>
    <row r="1249">
      <c r="A1249" s="5" t="inlineStr">
        <is>
          <t>종달새어린이집</t>
        </is>
      </c>
      <c r="B1249" s="5" t="inlineStr">
        <is>
          <t>어린이집</t>
        </is>
      </c>
      <c r="C1249" s="5" t="inlineStr">
        <is>
          <t>사회복지법인</t>
        </is>
      </c>
      <c r="D1249" s="5" t="inlineStr">
        <is>
          <t>사하구</t>
        </is>
      </c>
      <c r="E1249" s="5" t="inlineStr">
        <is>
          <t>부산광역시 사하구 제석로65번길 3 (당리동)</t>
        </is>
      </c>
      <c r="F1249" s="11" t="inlineStr">
        <is>
          <t>http://www.instagram.com/jongdalsae6100</t>
        </is>
      </c>
      <c r="G1249" s="5" t="inlineStr">
        <is>
          <t>051-205-6100</t>
        </is>
      </c>
      <c r="H1249" s="12">
        <f>어린이집!T870</f>
        <v/>
      </c>
      <c r="I1249" s="5" t="inlineStr">
        <is>
          <t>영아혼합반 8 / 유아혼합반 4 / 기타(연령구분 없음) 8</t>
        </is>
      </c>
    </row>
    <row r="1250">
      <c r="A1250" s="5" t="inlineStr">
        <is>
          <t>지큐빌어린이집</t>
        </is>
      </c>
      <c r="B1250" s="5" t="inlineStr">
        <is>
          <t>어린이집</t>
        </is>
      </c>
      <c r="C1250" s="5" t="inlineStr">
        <is>
          <t>민간</t>
        </is>
      </c>
      <c r="D1250" s="5" t="inlineStr">
        <is>
          <t>사하구</t>
        </is>
      </c>
      <c r="E1250" s="5" t="inlineStr">
        <is>
          <t>부산광역시 사하구 다대로277번길 85 (장림동, 신세대지큐빌 관리동)</t>
        </is>
      </c>
      <c r="F1250" s="5" t="inlineStr"/>
      <c r="G1250" s="5" t="inlineStr">
        <is>
          <t>051-263-2369</t>
        </is>
      </c>
      <c r="H1250" s="12">
        <f>어린이집!T871</f>
        <v/>
      </c>
      <c r="I1250" s="5" t="inlineStr">
        <is>
          <t>만0세 2 / 만1세 10 / 만2세 7 / 영아혼합반 5 / 기타(연령구분 없음) 8</t>
        </is>
      </c>
    </row>
    <row r="1251">
      <c r="A1251" s="5" t="inlineStr">
        <is>
          <t>진성어린이집</t>
        </is>
      </c>
      <c r="B1251" s="5" t="inlineStr">
        <is>
          <t>어린이집</t>
        </is>
      </c>
      <c r="C1251" s="5" t="inlineStr">
        <is>
          <t>법인·단체등</t>
        </is>
      </c>
      <c r="D1251" s="5" t="inlineStr">
        <is>
          <t>사하구</t>
        </is>
      </c>
      <c r="E1251" s="5" t="inlineStr">
        <is>
          <t>부산광역시 사하구 오작로88번길 32 (괴정동)</t>
        </is>
      </c>
      <c r="F1251" s="11" t="inlineStr">
        <is>
          <t>http://www.jinsungi.co.kr</t>
        </is>
      </c>
      <c r="G1251" s="5" t="inlineStr">
        <is>
          <t>051-292-2001</t>
        </is>
      </c>
      <c r="H1251" s="12">
        <f>어린이집!T872</f>
        <v/>
      </c>
      <c r="I1251" s="5" t="inlineStr">
        <is>
          <t>만0세 4 / 만1세 13 / 만2세 20 / 만3세 12 / 만4세 18 / 만5세 18 / 기타(연령구분 없음) 8</t>
        </is>
      </c>
    </row>
    <row r="1252">
      <c r="A1252" s="5" t="inlineStr">
        <is>
          <t>참빛어린이집</t>
        </is>
      </c>
      <c r="B1252" s="5" t="inlineStr">
        <is>
          <t>어린이집</t>
        </is>
      </c>
      <c r="C1252" s="5" t="inlineStr">
        <is>
          <t>가정</t>
        </is>
      </c>
      <c r="D1252" s="5" t="inlineStr">
        <is>
          <t>사하구</t>
        </is>
      </c>
      <c r="E1252" s="5" t="inlineStr">
        <is>
          <t>부산광역시 사하구 하신중앙로 180 106동 101호(신평동, 신익강변타운)</t>
        </is>
      </c>
      <c r="F1252" s="5" t="inlineStr"/>
      <c r="G1252" s="5" t="inlineStr">
        <is>
          <t>051-203-1135</t>
        </is>
      </c>
      <c r="H1252" s="12">
        <f>어린이집!T873</f>
        <v/>
      </c>
      <c r="I1252" s="5" t="inlineStr">
        <is>
          <t>만1세 4 / 영아혼합반 7 / 기타(연령구분 없음) 3</t>
        </is>
      </c>
    </row>
    <row r="1253">
      <c r="A1253" s="5" t="inlineStr">
        <is>
          <t>창작어린이집</t>
        </is>
      </c>
      <c r="B1253" s="5" t="inlineStr">
        <is>
          <t>어린이집</t>
        </is>
      </c>
      <c r="C1253" s="5" t="inlineStr">
        <is>
          <t>가정</t>
        </is>
      </c>
      <c r="D1253" s="5" t="inlineStr">
        <is>
          <t>사하구</t>
        </is>
      </c>
      <c r="E1253" s="5" t="inlineStr">
        <is>
          <t>부산광역시 사하구 하신번영로 233 324동 108호(하단동, 가락타운3단지)</t>
        </is>
      </c>
      <c r="F1253" s="5" t="inlineStr"/>
      <c r="G1253" s="5" t="inlineStr">
        <is>
          <t>051-208-9459</t>
        </is>
      </c>
      <c r="H1253" s="12">
        <f>어린이집!T874</f>
        <v/>
      </c>
      <c r="I1253" s="5" t="inlineStr">
        <is>
          <t>영아혼합반 5 / 기타(연령구분 없음) 2</t>
        </is>
      </c>
    </row>
    <row r="1254">
      <c r="A1254" s="5" t="inlineStr">
        <is>
          <t>청라어린이집</t>
        </is>
      </c>
      <c r="B1254" s="5" t="inlineStr">
        <is>
          <t>어린이집</t>
        </is>
      </c>
      <c r="C1254" s="5" t="inlineStr">
        <is>
          <t>민간</t>
        </is>
      </c>
      <c r="D1254" s="5" t="inlineStr">
        <is>
          <t>사하구</t>
        </is>
      </c>
      <c r="E1254" s="5" t="inlineStr">
        <is>
          <t>부산광역시 사하구 승학로 41-10</t>
        </is>
      </c>
      <c r="F1254" s="11" t="inlineStr">
        <is>
          <t>http://cafe.daum.net.</t>
        </is>
      </c>
      <c r="G1254" s="5" t="inlineStr">
        <is>
          <t>051-291-3535</t>
        </is>
      </c>
      <c r="H1254" s="12">
        <f>어린이집!T875</f>
        <v/>
      </c>
      <c r="I1254" s="5" t="inlineStr">
        <is>
          <t>만0세 9 / 만1세 10 / 만2세 10 / 유아혼합반 11 / 기타(연령구분 없음) 14</t>
        </is>
      </c>
    </row>
    <row r="1255">
      <c r="A1255" s="5" t="inlineStr">
        <is>
          <t>청솔어린이집</t>
        </is>
      </c>
      <c r="B1255" s="5" t="inlineStr">
        <is>
          <t>어린이집</t>
        </is>
      </c>
      <c r="C1255" s="5" t="inlineStr">
        <is>
          <t>사회복지법인</t>
        </is>
      </c>
      <c r="D1255" s="5" t="inlineStr">
        <is>
          <t>사하구</t>
        </is>
      </c>
      <c r="E1255" s="5" t="inlineStr">
        <is>
          <t>부산광역시 사하구 다대로271번길 30 (장림동)</t>
        </is>
      </c>
      <c r="F1255" s="11" t="inlineStr">
        <is>
          <t>http://cafe.daum.net/cchungsol</t>
        </is>
      </c>
      <c r="G1255" s="5" t="inlineStr">
        <is>
          <t>070-4036-0096</t>
        </is>
      </c>
      <c r="H1255" s="12">
        <f>어린이집!T876</f>
        <v/>
      </c>
      <c r="I1255" s="5" t="inlineStr">
        <is>
          <t>장애아반(특수) 12</t>
        </is>
      </c>
    </row>
    <row r="1256">
      <c r="A1256" s="5" t="inlineStr">
        <is>
          <t>초록꿈어린이집</t>
        </is>
      </c>
      <c r="B1256" s="5" t="inlineStr">
        <is>
          <t>어린이집</t>
        </is>
      </c>
      <c r="C1256" s="5" t="inlineStr">
        <is>
          <t>국공립</t>
        </is>
      </c>
      <c r="D1256" s="5" t="inlineStr">
        <is>
          <t>사하구</t>
        </is>
      </c>
      <c r="E1256" s="5" t="inlineStr">
        <is>
          <t>부산광역시 사하구 을숙도대로 744 (구평동)  구평복지관 내</t>
        </is>
      </c>
      <c r="F1256" s="5" t="inlineStr"/>
      <c r="G1256" s="5" t="inlineStr">
        <is>
          <t>051-263-3051</t>
        </is>
      </c>
      <c r="H1256" s="12">
        <f>어린이집!T877</f>
        <v/>
      </c>
      <c r="I1256" s="5" t="inlineStr">
        <is>
          <t>만0세 11 / 만1세 10 / 만2세 15 / 유아혼합반 10 / 기타(연령구분 없음) 5</t>
        </is>
      </c>
    </row>
    <row r="1257">
      <c r="A1257" s="5" t="inlineStr">
        <is>
          <t>초록어린이집</t>
        </is>
      </c>
      <c r="B1257" s="5" t="inlineStr">
        <is>
          <t>어린이집</t>
        </is>
      </c>
      <c r="C1257" s="5" t="inlineStr">
        <is>
          <t>민간</t>
        </is>
      </c>
      <c r="D1257" s="5" t="inlineStr">
        <is>
          <t>사하구</t>
        </is>
      </c>
      <c r="E1257" s="5" t="inlineStr">
        <is>
          <t>부산광역시 사하구 장평로443번길 42 10통1반 (괴정동)</t>
        </is>
      </c>
      <c r="F1257" s="5" t="inlineStr"/>
      <c r="G1257" s="5" t="inlineStr">
        <is>
          <t>051-208-4564</t>
        </is>
      </c>
      <c r="H1257" s="12">
        <f>어린이집!T878</f>
        <v/>
      </c>
      <c r="I1257" s="5" t="inlineStr">
        <is>
          <t>만0세 6 / 만1세 14 / 만2세 12 / 유아혼합반 9 / 기타(연령구분 없음) 9</t>
        </is>
      </c>
    </row>
    <row r="1258">
      <c r="A1258" s="5" t="inlineStr">
        <is>
          <t>캐슬꿈사랑어린이집</t>
        </is>
      </c>
      <c r="B1258" s="5" t="inlineStr">
        <is>
          <t>어린이집</t>
        </is>
      </c>
      <c r="C1258" s="5" t="inlineStr">
        <is>
          <t>가정</t>
        </is>
      </c>
      <c r="D1258" s="5" t="inlineStr">
        <is>
          <t>사하구</t>
        </is>
      </c>
      <c r="E1258" s="5" t="inlineStr">
        <is>
          <t>부산광역시 사하구 다대낙조2길 100 408동 101호(다대동, 다대동롯데캐슬몰운대)</t>
        </is>
      </c>
      <c r="F1258" s="5" t="inlineStr"/>
      <c r="G1258" s="5" t="inlineStr">
        <is>
          <t>051-263-2220</t>
        </is>
      </c>
      <c r="H1258" s="12">
        <f>어린이집!T879</f>
        <v/>
      </c>
      <c r="I1258" s="5" t="inlineStr">
        <is>
          <t>만1세 7 / 만2세 6 / 기타(연령구분 없음) 3</t>
        </is>
      </c>
    </row>
    <row r="1259">
      <c r="A1259" s="5" t="inlineStr">
        <is>
          <t>큰나무어린이집</t>
        </is>
      </c>
      <c r="B1259" s="5" t="inlineStr">
        <is>
          <t>어린이집</t>
        </is>
      </c>
      <c r="C1259" s="5" t="inlineStr">
        <is>
          <t>민간</t>
        </is>
      </c>
      <c r="D1259" s="5" t="inlineStr">
        <is>
          <t>사하구</t>
        </is>
      </c>
      <c r="E1259" s="5" t="inlineStr">
        <is>
          <t>부산광역시 사하구 윤공단로 123 (다대동,다대푸르지오아파트 관리동)</t>
        </is>
      </c>
      <c r="F1259" s="5" t="inlineStr"/>
      <c r="G1259" s="5" t="inlineStr">
        <is>
          <t>051-264-7750</t>
        </is>
      </c>
      <c r="H1259" s="12">
        <f>어린이집!T880</f>
        <v/>
      </c>
      <c r="I1259" s="5" t="inlineStr">
        <is>
          <t>만0세 2 / 만1세 4 / 만2세 4 / 기타(연령구분 없음) 3</t>
        </is>
      </c>
    </row>
    <row r="1260">
      <c r="A1260" s="5" t="inlineStr">
        <is>
          <t>키즈아트어린이집</t>
        </is>
      </c>
      <c r="B1260" s="5" t="inlineStr">
        <is>
          <t>어린이집</t>
        </is>
      </c>
      <c r="C1260" s="5" t="inlineStr">
        <is>
          <t>민간</t>
        </is>
      </c>
      <c r="D1260" s="5" t="inlineStr">
        <is>
          <t>사하구</t>
        </is>
      </c>
      <c r="E1260" s="5" t="inlineStr">
        <is>
          <t>부산광역시 사하구 다대로297번길 24 장림현대아파트 유치원동 (장림동)</t>
        </is>
      </c>
      <c r="F1260" s="5" t="inlineStr"/>
      <c r="G1260" s="5" t="inlineStr">
        <is>
          <t>051-961-8112</t>
        </is>
      </c>
      <c r="H1260" s="12">
        <f>어린이집!T881</f>
        <v/>
      </c>
      <c r="I1260" s="5" t="inlineStr">
        <is>
          <t>만0세 2 / 만1세 4 / 만2세 7 / 영아혼합반 2 / 유아혼합반 26 / 기타(연령구분 없음) 26</t>
        </is>
      </c>
    </row>
    <row r="1261">
      <c r="A1261" s="5" t="inlineStr">
        <is>
          <t>통통어린이집</t>
        </is>
      </c>
      <c r="B1261" s="5" t="inlineStr">
        <is>
          <t>어린이집</t>
        </is>
      </c>
      <c r="C1261" s="5" t="inlineStr">
        <is>
          <t>가정</t>
        </is>
      </c>
      <c r="D1261" s="5" t="inlineStr">
        <is>
          <t>사하구</t>
        </is>
      </c>
      <c r="E1261" s="5" t="inlineStr">
        <is>
          <t>부산광역시 사하구 하신번영로 365 108동 103호(하단동, 가락타운1단지)</t>
        </is>
      </c>
      <c r="F1261" s="5" t="inlineStr"/>
      <c r="G1261" s="5" t="inlineStr">
        <is>
          <t>051-201-1077</t>
        </is>
      </c>
      <c r="H1261" s="12">
        <f>어린이집!T882</f>
        <v/>
      </c>
      <c r="I1261" s="5" t="inlineStr">
        <is>
          <t>만0세 3 / 만1세 3 / 만2세 6 / 기타(연령구분 없음) 3</t>
        </is>
      </c>
    </row>
    <row r="1262">
      <c r="A1262" s="5" t="inlineStr">
        <is>
          <t>파란나라어린이집</t>
        </is>
      </c>
      <c r="B1262" s="5" t="inlineStr">
        <is>
          <t>어린이집</t>
        </is>
      </c>
      <c r="C1262" s="5" t="inlineStr">
        <is>
          <t>가정</t>
        </is>
      </c>
      <c r="D1262" s="5" t="inlineStr">
        <is>
          <t>사하구</t>
        </is>
      </c>
      <c r="E1262" s="5" t="inlineStr">
        <is>
          <t>부산광역시 사하구 윤공단로 30-1</t>
        </is>
      </c>
      <c r="F1262" s="5" t="inlineStr"/>
      <c r="G1262" s="5" t="inlineStr">
        <is>
          <t>051-263-6271</t>
        </is>
      </c>
      <c r="H1262" s="12">
        <f>어린이집!T883</f>
        <v/>
      </c>
      <c r="I1262" s="5" t="inlineStr">
        <is>
          <t>영아혼합반 5 / 기타(연령구분 없음) 5</t>
        </is>
      </c>
    </row>
    <row r="1263">
      <c r="A1263" s="5" t="inlineStr">
        <is>
          <t>푸르지오꿈나무어린이집</t>
        </is>
      </c>
      <c r="B1263" s="5" t="inlineStr">
        <is>
          <t>어린이집</t>
        </is>
      </c>
      <c r="C1263" s="5" t="inlineStr">
        <is>
          <t>민간</t>
        </is>
      </c>
      <c r="D1263" s="5" t="inlineStr">
        <is>
          <t>사하구</t>
        </is>
      </c>
      <c r="E1263" s="5" t="inlineStr">
        <is>
          <t>부산광역시 사하구 승학로71번길 30</t>
        </is>
      </c>
      <c r="F1263" s="5" t="inlineStr"/>
      <c r="G1263" s="5" t="inlineStr">
        <is>
          <t>051-203-7373</t>
        </is>
      </c>
      <c r="H1263" s="12">
        <f>어린이집!T884</f>
        <v/>
      </c>
      <c r="I1263" s="5" t="inlineStr">
        <is>
          <t>만0세 2 / 영아혼합반 7 / 기타(연령구분 없음) 3</t>
        </is>
      </c>
    </row>
    <row r="1264">
      <c r="A1264" s="5" t="inlineStr">
        <is>
          <t>푸르지오어린이집</t>
        </is>
      </c>
      <c r="B1264" s="5" t="inlineStr">
        <is>
          <t>어린이집</t>
        </is>
      </c>
      <c r="C1264" s="5" t="inlineStr">
        <is>
          <t>가정</t>
        </is>
      </c>
      <c r="D1264" s="5" t="inlineStr">
        <is>
          <t>사하구</t>
        </is>
      </c>
      <c r="E1264" s="5" t="inlineStr">
        <is>
          <t>부산광역시 사하구 윤공단로 123 109-101(다대동, 푸르지오)</t>
        </is>
      </c>
      <c r="F1264" s="5" t="inlineStr"/>
      <c r="G1264" s="5" t="inlineStr">
        <is>
          <t>051-262-0700</t>
        </is>
      </c>
      <c r="H1264" s="12">
        <f>어린이집!T885</f>
        <v/>
      </c>
      <c r="I1264" s="5" t="inlineStr">
        <is>
          <t>만0세 6 / 만1세 5 / 만2세 6 / 기타(연령구분 없음) 4</t>
        </is>
      </c>
    </row>
    <row r="1265">
      <c r="A1265" s="5" t="inlineStr">
        <is>
          <t>하단어린이집</t>
        </is>
      </c>
      <c r="B1265" s="5" t="inlineStr">
        <is>
          <t>어린이집</t>
        </is>
      </c>
      <c r="C1265" s="5" t="inlineStr">
        <is>
          <t>국공립</t>
        </is>
      </c>
      <c r="D1265" s="5" t="inlineStr">
        <is>
          <t>사하구</t>
        </is>
      </c>
      <c r="E1265" s="5" t="inlineStr">
        <is>
          <t>부산광역시 사하구 괴정로 6 하단어린이집</t>
        </is>
      </c>
      <c r="F1265" s="5" t="inlineStr"/>
      <c r="G1265" s="5" t="inlineStr">
        <is>
          <t>051-202-0458</t>
        </is>
      </c>
      <c r="H1265" s="12">
        <f>어린이집!T886</f>
        <v/>
      </c>
      <c r="I1265" s="5" t="inlineStr">
        <is>
          <t>만1세 37 / 만2세 37 / 만3세 18 / 만4세 16 / 만5세 14 / 기타(연령구분 없음) 17</t>
        </is>
      </c>
    </row>
    <row r="1266">
      <c r="A1266" s="5" t="inlineStr">
        <is>
          <t>한나어린이집</t>
        </is>
      </c>
      <c r="B1266" s="5" t="inlineStr">
        <is>
          <t>어린이집</t>
        </is>
      </c>
      <c r="C1266" s="5" t="inlineStr">
        <is>
          <t>민간</t>
        </is>
      </c>
      <c r="D1266" s="5" t="inlineStr">
        <is>
          <t>사하구</t>
        </is>
      </c>
      <c r="E1266" s="5" t="inlineStr">
        <is>
          <t>부산광역시 사하구 승학로71번길 60 (당리동)</t>
        </is>
      </c>
      <c r="F1266" s="5" t="inlineStr"/>
      <c r="G1266" s="5" t="inlineStr">
        <is>
          <t>051-293-4748</t>
        </is>
      </c>
      <c r="H1266" s="12">
        <f>어린이집!T887</f>
        <v/>
      </c>
      <c r="I1266" s="5" t="inlineStr">
        <is>
          <t>영아혼합반 8 / 유아혼합반 11 / 기타(연령구분 없음) 29</t>
        </is>
      </c>
    </row>
    <row r="1267">
      <c r="A1267" s="5" t="inlineStr">
        <is>
          <t>한빛어린이집</t>
        </is>
      </c>
      <c r="B1267" s="5" t="inlineStr">
        <is>
          <t>어린이집</t>
        </is>
      </c>
      <c r="C1267" s="5" t="inlineStr">
        <is>
          <t>사회복지법인</t>
        </is>
      </c>
      <c r="D1267" s="5" t="inlineStr">
        <is>
          <t>사하구</t>
        </is>
      </c>
      <c r="E1267" s="5" t="inlineStr">
        <is>
          <t>부산광역시 사하구 다송로68번길 26 (다대동)</t>
        </is>
      </c>
      <c r="F1267" s="11" t="inlineStr">
        <is>
          <t>https://blog.naver.com/hanvitkids-dadae</t>
        </is>
      </c>
      <c r="G1267" s="5" t="inlineStr">
        <is>
          <t>051-261-0085</t>
        </is>
      </c>
      <c r="H1267" s="12">
        <f>어린이집!T888</f>
        <v/>
      </c>
      <c r="I1267" s="5" t="inlineStr">
        <is>
          <t>만0세 6 / 만1세 22 / 만2세 19 / 기타(연령구분 없음) 9</t>
        </is>
      </c>
    </row>
    <row r="1268">
      <c r="A1268" s="5" t="inlineStr">
        <is>
          <t>해담어린이집</t>
        </is>
      </c>
      <c r="B1268" s="5" t="inlineStr">
        <is>
          <t>어린이집</t>
        </is>
      </c>
      <c r="C1268" s="5" t="inlineStr">
        <is>
          <t>가정</t>
        </is>
      </c>
      <c r="D1268" s="5" t="inlineStr">
        <is>
          <t>사하구</t>
        </is>
      </c>
      <c r="E1268" s="5" t="inlineStr">
        <is>
          <t>부산광역시 사하구 낙동대로356번길 17 당리동</t>
        </is>
      </c>
      <c r="F1268" s="5" t="inlineStr"/>
      <c r="G1268" s="5" t="inlineStr">
        <is>
          <t>051-205-2662</t>
        </is>
      </c>
      <c r="H1268" s="12">
        <f>어린이집!T889</f>
        <v/>
      </c>
      <c r="I1268" s="5" t="inlineStr">
        <is>
          <t>만0세 2 / 만1세 4 / 만2세 6 / 기타(연령구분 없음) 3</t>
        </is>
      </c>
    </row>
    <row r="1269">
      <c r="A1269" s="5" t="inlineStr">
        <is>
          <t>햇님어린이집</t>
        </is>
      </c>
      <c r="B1269" s="5" t="inlineStr">
        <is>
          <t>어린이집</t>
        </is>
      </c>
      <c r="C1269" s="5" t="inlineStr">
        <is>
          <t>국공립</t>
        </is>
      </c>
      <c r="D1269" s="5" t="inlineStr">
        <is>
          <t>사하구</t>
        </is>
      </c>
      <c r="E1269" s="5" t="inlineStr">
        <is>
          <t>부산광역시 사하구 승학로31번길 1 햇님어린이집 (당리동)</t>
        </is>
      </c>
      <c r="F1269" s="5" t="inlineStr"/>
      <c r="G1269" s="5" t="inlineStr">
        <is>
          <t>051-203-0258</t>
        </is>
      </c>
      <c r="H1269" s="12">
        <f>어린이집!T890</f>
        <v/>
      </c>
      <c r="I1269" s="5" t="inlineStr">
        <is>
          <t>만0세 12 / 만1세 13 / 만2세 17 / 만3세 21 / 만4세 14 / 만5세 14 / 기타(연령구분 없음) 23</t>
        </is>
      </c>
    </row>
    <row r="1270">
      <c r="A1270" s="5" t="inlineStr">
        <is>
          <t>햇볕어린이집</t>
        </is>
      </c>
      <c r="B1270" s="5" t="inlineStr">
        <is>
          <t>어린이집</t>
        </is>
      </c>
      <c r="C1270" s="5" t="inlineStr">
        <is>
          <t>민간</t>
        </is>
      </c>
      <c r="D1270" s="5" t="inlineStr">
        <is>
          <t>사하구</t>
        </is>
      </c>
      <c r="E1270" s="5" t="inlineStr">
        <is>
          <t>부산광역시 사하구 장평로 132 (장림동)</t>
        </is>
      </c>
      <c r="F1270" s="5" t="inlineStr"/>
      <c r="G1270" s="5" t="inlineStr">
        <is>
          <t>051-261-4551</t>
        </is>
      </c>
      <c r="H1270" s="12">
        <f>어린이집!T891</f>
        <v/>
      </c>
      <c r="I1270" s="5" t="inlineStr">
        <is>
          <t>만1세 5 / 만2세 7 / 영아혼합반 11 / 유아혼합반 12 / 기타(연령구분 없음) 7</t>
        </is>
      </c>
    </row>
    <row r="1271">
      <c r="A1271" s="5" t="inlineStr">
        <is>
          <t>현대어린이집</t>
        </is>
      </c>
      <c r="B1271" s="5" t="inlineStr">
        <is>
          <t>어린이집</t>
        </is>
      </c>
      <c r="C1271" s="5" t="inlineStr">
        <is>
          <t>가정</t>
        </is>
      </c>
      <c r="D1271" s="5" t="inlineStr">
        <is>
          <t>사하구</t>
        </is>
      </c>
      <c r="E1271" s="5" t="inlineStr">
        <is>
          <t>부산광역시 사하구 다대로 473 109동 104호(다대동, 현대아파트)</t>
        </is>
      </c>
      <c r="F1271" s="5" t="inlineStr"/>
      <c r="G1271" s="5" t="inlineStr">
        <is>
          <t>051-264-6881</t>
        </is>
      </c>
      <c r="H1271" s="12">
        <f>어린이집!T892</f>
        <v/>
      </c>
      <c r="I1271" s="5" t="inlineStr">
        <is>
          <t>만0세 1 / 만1세 4 / 만2세 4 / 기타(연령구분 없음) 6</t>
        </is>
      </c>
    </row>
    <row r="1272">
      <c r="A1272" s="5" t="inlineStr">
        <is>
          <t>혜성어린이집</t>
        </is>
      </c>
      <c r="B1272" s="5" t="inlineStr">
        <is>
          <t>어린이집</t>
        </is>
      </c>
      <c r="C1272" s="5" t="inlineStr">
        <is>
          <t>민간</t>
        </is>
      </c>
      <c r="D1272" s="5" t="inlineStr">
        <is>
          <t>사하구</t>
        </is>
      </c>
      <c r="E1272" s="5" t="inlineStr">
        <is>
          <t>부산광역시 사하구 감천로21번길 35 부영벽산아파트관리동</t>
        </is>
      </c>
      <c r="F1272" s="5" t="inlineStr"/>
      <c r="G1272" s="5" t="inlineStr">
        <is>
          <t>051-292-1080</t>
        </is>
      </c>
      <c r="H1272" s="12">
        <f>어린이집!T893</f>
        <v/>
      </c>
      <c r="I1272" s="5" t="inlineStr">
        <is>
          <t>만1세 3 / 만2세 3 / 기타(연령구분 없음) 2</t>
        </is>
      </c>
    </row>
    <row r="1273">
      <c r="A1273" s="5" t="inlineStr">
        <is>
          <t>효원어린이집</t>
        </is>
      </c>
      <c r="B1273" s="5" t="inlineStr">
        <is>
          <t>어린이집</t>
        </is>
      </c>
      <c r="C1273" s="5" t="inlineStr">
        <is>
          <t>국공립</t>
        </is>
      </c>
      <c r="D1273" s="5" t="inlineStr">
        <is>
          <t>사하구</t>
        </is>
      </c>
      <c r="E1273" s="5" t="inlineStr">
        <is>
          <t>부산광역시 사하구 괴정로 267</t>
        </is>
      </c>
      <c r="F1273" s="5" t="inlineStr"/>
      <c r="G1273" s="5" t="inlineStr">
        <is>
          <t>051-294-2095</t>
        </is>
      </c>
      <c r="H1273" s="12">
        <f>어린이집!T894</f>
        <v/>
      </c>
      <c r="I1273" s="5" t="inlineStr">
        <is>
          <t>만0세 8 / 만1세 9 / 만2세 10 / 만3세 6 / 유아혼합반 12 / 기타(연령구분 없음) 5</t>
        </is>
      </c>
    </row>
    <row r="1274">
      <c r="A1274" s="5" t="inlineStr">
        <is>
          <t>힐스테이트사하역어린이집</t>
        </is>
      </c>
      <c r="B1274" s="5" t="inlineStr">
        <is>
          <t>어린이집</t>
        </is>
      </c>
      <c r="C1274" s="5" t="inlineStr">
        <is>
          <t>국공립</t>
        </is>
      </c>
      <c r="D1274" s="5" t="inlineStr">
        <is>
          <t>사하구</t>
        </is>
      </c>
      <c r="E1274" s="5" t="inlineStr">
        <is>
          <t>부산광역시 사하구 괴정로 166 201동</t>
        </is>
      </c>
      <c r="F1274" s="5" t="inlineStr"/>
      <c r="G1274" s="5" t="inlineStr">
        <is>
          <t>051-996-0969</t>
        </is>
      </c>
      <c r="H1274" s="12">
        <f>어린이집!T895</f>
        <v/>
      </c>
      <c r="I1274" s="5" t="inlineStr">
        <is>
          <t>만0세 7 / 만1세 20 / 만2세 18 / 기타(연령구분 없음) 8</t>
        </is>
      </c>
    </row>
    <row r="1275">
      <c r="A1275" s="5" t="inlineStr">
        <is>
          <t>가람어린이집</t>
        </is>
      </c>
      <c r="B1275" s="5" t="inlineStr">
        <is>
          <t>어린이집</t>
        </is>
      </c>
      <c r="C1275" s="5" t="inlineStr">
        <is>
          <t>민간</t>
        </is>
      </c>
      <c r="D1275" s="5" t="inlineStr">
        <is>
          <t>서구</t>
        </is>
      </c>
      <c r="E1275" s="5" t="inlineStr">
        <is>
          <t>부산광역시 서구 해돋이로 420 (서대신동2가)</t>
        </is>
      </c>
      <c r="F1275" s="5" t="inlineStr"/>
      <c r="G1275" s="5" t="inlineStr">
        <is>
          <t>051-255-5294</t>
        </is>
      </c>
      <c r="H1275" s="12">
        <f>어린이집!T896</f>
        <v/>
      </c>
      <c r="I1275" s="5" t="inlineStr">
        <is>
          <t>만0세 2 / 만1세 5 / 만2세 4 / 영아혼합반 2 / 유아혼합반 12 / 기타(연령구분 없음) 5</t>
        </is>
      </c>
    </row>
    <row r="1276">
      <c r="A1276" s="5" t="inlineStr">
        <is>
          <t>꼬마동네어린이집</t>
        </is>
      </c>
      <c r="B1276" s="5" t="inlineStr">
        <is>
          <t>어린이집</t>
        </is>
      </c>
      <c r="C1276" s="5" t="inlineStr">
        <is>
          <t>민간</t>
        </is>
      </c>
      <c r="D1276" s="5" t="inlineStr">
        <is>
          <t>서구</t>
        </is>
      </c>
      <c r="E1276" s="5" t="inlineStr">
        <is>
          <t>부산광역시 서구 암남로14번길 19 꼬마동네어린이집</t>
        </is>
      </c>
      <c r="F1276" s="11" t="inlineStr">
        <is>
          <t>http://club.cyworld.com/ccomadongne</t>
        </is>
      </c>
      <c r="G1276" s="5" t="inlineStr">
        <is>
          <t>051-255-7735</t>
        </is>
      </c>
      <c r="H1276" s="12">
        <f>어린이집!T897</f>
        <v/>
      </c>
      <c r="I1276" s="5" t="inlineStr">
        <is>
          <t>만0세 8 / 만1세 9 / 만2세 4 / 유아혼합반 10 / 기타(연령구분 없음) 5</t>
        </is>
      </c>
    </row>
    <row r="1277">
      <c r="A1277" s="5" t="inlineStr">
        <is>
          <t>내원정사어린이집</t>
        </is>
      </c>
      <c r="B1277" s="5" t="inlineStr">
        <is>
          <t>어린이집</t>
        </is>
      </c>
      <c r="C1277" s="5" t="inlineStr">
        <is>
          <t>법인·단체등</t>
        </is>
      </c>
      <c r="D1277" s="5" t="inlineStr">
        <is>
          <t>서구</t>
        </is>
      </c>
      <c r="E1277" s="5" t="inlineStr">
        <is>
          <t>부산광역시 서구 엄광산로40번길 26 내원정사어린이집 (서대신동3가)</t>
        </is>
      </c>
      <c r="F1277" s="5" t="inlineStr"/>
      <c r="G1277" s="5" t="inlineStr">
        <is>
          <t>051-244-0690</t>
        </is>
      </c>
      <c r="H1277" s="12">
        <f>어린이집!T898</f>
        <v/>
      </c>
      <c r="I1277" s="5" t="inlineStr">
        <is>
          <t>만1세 8 / 만2세 20</t>
        </is>
      </c>
    </row>
    <row r="1278">
      <c r="A1278" s="5" t="inlineStr">
        <is>
          <t>대신어린이집</t>
        </is>
      </c>
      <c r="B1278" s="5" t="inlineStr">
        <is>
          <t>어린이집</t>
        </is>
      </c>
      <c r="C1278" s="5" t="inlineStr">
        <is>
          <t>국공립</t>
        </is>
      </c>
      <c r="D1278" s="5" t="inlineStr">
        <is>
          <t>서구</t>
        </is>
      </c>
      <c r="E1278" s="5" t="inlineStr">
        <is>
          <t>부산광역시 서구 구덕로333번길 41-8 대신어린이집 (서대신동3가)</t>
        </is>
      </c>
      <c r="F1278" s="11" t="inlineStr">
        <is>
          <t>http://cafe.daum.net/daesinkids</t>
        </is>
      </c>
      <c r="G1278" s="5" t="inlineStr">
        <is>
          <t>051-256-1245</t>
        </is>
      </c>
      <c r="H1278" s="12">
        <f>어린이집!T899</f>
        <v/>
      </c>
      <c r="I1278" s="5" t="inlineStr">
        <is>
          <t>만0세 3 / 만1세 12 / 만2세 13 / 기타(연령구분 없음) 5</t>
        </is>
      </c>
    </row>
    <row r="1279">
      <c r="A1279" s="5" t="inlineStr">
        <is>
          <t>더샵어린이집</t>
        </is>
      </c>
      <c r="B1279" s="5" t="inlineStr">
        <is>
          <t>어린이집</t>
        </is>
      </c>
      <c r="C1279" s="5" t="inlineStr">
        <is>
          <t>국공립</t>
        </is>
      </c>
      <c r="D1279" s="5" t="inlineStr">
        <is>
          <t>서구</t>
        </is>
      </c>
      <c r="E1279" s="5" t="inlineStr">
        <is>
          <t>부산광역시 서구 서대신동3가 꽃마을로 48 더샵아파트</t>
        </is>
      </c>
      <c r="F1279" s="5" t="inlineStr"/>
      <c r="G1279" s="5" t="inlineStr">
        <is>
          <t>051-243-8811</t>
        </is>
      </c>
      <c r="H1279" s="12">
        <f>어린이집!T900</f>
        <v/>
      </c>
      <c r="I1279" s="5" t="inlineStr">
        <is>
          <t>만0세 8 / 만1세 7 / 만2세 9 / 기타(연령구분 없음) 8</t>
        </is>
      </c>
    </row>
    <row r="1280">
      <c r="A1280" s="5" t="inlineStr">
        <is>
          <t>묘심영재어린이집</t>
        </is>
      </c>
      <c r="B1280" s="5" t="inlineStr">
        <is>
          <t>어린이집</t>
        </is>
      </c>
      <c r="C1280" s="5" t="inlineStr">
        <is>
          <t>민간</t>
        </is>
      </c>
      <c r="D1280" s="5" t="inlineStr">
        <is>
          <t>서구</t>
        </is>
      </c>
      <c r="E1280" s="5" t="inlineStr">
        <is>
          <t>부산광역시 서구 구덕로148번길 25 8/2 (토성동5가)</t>
        </is>
      </c>
      <c r="F1280" s="5" t="inlineStr"/>
      <c r="G1280" s="5" t="inlineStr">
        <is>
          <t>051-243-3262</t>
        </is>
      </c>
      <c r="H1280" s="12">
        <f>어린이집!T901</f>
        <v/>
      </c>
      <c r="I1280" s="5" t="inlineStr">
        <is>
          <t>만0세 2 / 만1세 3 / 만2세 6 / 유아혼합반 6 / 기타(연령구분 없음) 4</t>
        </is>
      </c>
    </row>
    <row r="1281">
      <c r="A1281" s="5" t="inlineStr">
        <is>
          <t>복된어린이집</t>
        </is>
      </c>
      <c r="B1281" s="5" t="inlineStr">
        <is>
          <t>어린이집</t>
        </is>
      </c>
      <c r="C1281" s="5" t="inlineStr">
        <is>
          <t>민간</t>
        </is>
      </c>
      <c r="D1281" s="5" t="inlineStr">
        <is>
          <t>서구</t>
        </is>
      </c>
      <c r="E1281" s="5" t="inlineStr">
        <is>
          <t>부산광역시 서구 천마로199번길 11 (남부민동)</t>
        </is>
      </c>
      <c r="F1281" s="5" t="inlineStr"/>
      <c r="G1281" s="5" t="inlineStr">
        <is>
          <t>051-243-0448</t>
        </is>
      </c>
      <c r="H1281" s="12">
        <f>어린이집!T902</f>
        <v/>
      </c>
      <c r="I1281" s="5" t="inlineStr">
        <is>
          <t>만0세 2 / 영아혼합반 3 / 유아혼합반 6 / 기타(연령구분 없음) 9</t>
        </is>
      </c>
    </row>
    <row r="1282">
      <c r="A1282" s="5" t="inlineStr">
        <is>
          <t>부민교회어린이집</t>
        </is>
      </c>
      <c r="B1282" s="5" t="inlineStr">
        <is>
          <t>어린이집</t>
        </is>
      </c>
      <c r="C1282" s="5" t="inlineStr">
        <is>
          <t>법인·단체등</t>
        </is>
      </c>
      <c r="D1282" s="5" t="inlineStr">
        <is>
          <t>서구</t>
        </is>
      </c>
      <c r="E1282" s="5" t="inlineStr">
        <is>
          <t>부산광역시 서구 부민동2가 임시수도기념로 11-10</t>
        </is>
      </c>
      <c r="F1282" s="5" t="inlineStr"/>
      <c r="G1282" s="5" t="inlineStr">
        <is>
          <t>051-257-2577</t>
        </is>
      </c>
      <c r="H1282" s="12">
        <f>어린이집!T903</f>
        <v/>
      </c>
      <c r="I1282" s="5" t="inlineStr">
        <is>
          <t>만0세 2 / 만1세 9 / 만2세 10 / 유아혼합반 13 / 기타(연령구분 없음) 9</t>
        </is>
      </c>
    </row>
    <row r="1283">
      <c r="A1283" s="5" t="inlineStr">
        <is>
          <t>브라운스톤어린이집</t>
        </is>
      </c>
      <c r="B1283" s="5" t="inlineStr">
        <is>
          <t>어린이집</t>
        </is>
      </c>
      <c r="C1283" s="5" t="inlineStr">
        <is>
          <t>국공립</t>
        </is>
      </c>
      <c r="D1283" s="5" t="inlineStr">
        <is>
          <t>서구</t>
        </is>
      </c>
      <c r="E1283" s="5" t="inlineStr">
        <is>
          <t>부산광역시 서구 동대로19번길 32 (동대신동3가, 브라운스톤하이포레)</t>
        </is>
      </c>
      <c r="F1283" s="5" t="inlineStr"/>
      <c r="G1283" s="5" t="inlineStr">
        <is>
          <t>051-242-2795</t>
        </is>
      </c>
      <c r="H1283" s="12">
        <f>어린이집!T904</f>
        <v/>
      </c>
      <c r="I1283" s="5" t="inlineStr">
        <is>
          <t>만1세 13 / 만2세 15 / 만3세 6</t>
        </is>
      </c>
    </row>
    <row r="1284">
      <c r="A1284" s="5" t="inlineStr">
        <is>
          <t>비스타어린이집</t>
        </is>
      </c>
      <c r="B1284" s="5" t="inlineStr">
        <is>
          <t>어린이집</t>
        </is>
      </c>
      <c r="C1284" s="5" t="inlineStr">
        <is>
          <t>국공립</t>
        </is>
      </c>
      <c r="D1284" s="5" t="inlineStr">
        <is>
          <t>서구</t>
        </is>
      </c>
      <c r="E1284" s="5" t="inlineStr">
        <is>
          <t>부산광역시 서구 보수대로154번길 29 비스타동원 비스타어린이집</t>
        </is>
      </c>
      <c r="F1284" s="5" t="inlineStr"/>
      <c r="G1284" s="5" t="inlineStr">
        <is>
          <t>051-246-0776</t>
        </is>
      </c>
      <c r="H1284" s="12">
        <f>어린이집!T905</f>
        <v/>
      </c>
      <c r="I1284" s="5" t="inlineStr">
        <is>
          <t>만0세 6 / 만1세 15 / 만2세 7</t>
        </is>
      </c>
    </row>
    <row r="1285">
      <c r="A1285" s="5" t="inlineStr">
        <is>
          <t>송도힐스테이트어린이집</t>
        </is>
      </c>
      <c r="B1285" s="5" t="inlineStr">
        <is>
          <t>어린이집</t>
        </is>
      </c>
      <c r="C1285" s="5" t="inlineStr">
        <is>
          <t>국공립</t>
        </is>
      </c>
      <c r="D1285" s="5" t="inlineStr">
        <is>
          <t>서구</t>
        </is>
      </c>
      <c r="E1285" s="5" t="inlineStr">
        <is>
          <t>부산광역시 서구 송도해변로 192 송도힐스테이트이진베이시티</t>
        </is>
      </c>
      <c r="F1285" s="5" t="inlineStr"/>
      <c r="G1285" s="5" t="inlineStr">
        <is>
          <t>051-244-3531</t>
        </is>
      </c>
      <c r="H1285" s="12">
        <f>어린이집!T906</f>
        <v/>
      </c>
      <c r="I1285" s="5" t="inlineStr">
        <is>
          <t>만0세 6 / 만1세 25 / 만2세 25 / 기타(연령구분 없음) 5</t>
        </is>
      </c>
    </row>
    <row r="1286">
      <c r="A1286" s="5" t="inlineStr">
        <is>
          <t>수림어린이집</t>
        </is>
      </c>
      <c r="B1286" s="5" t="inlineStr">
        <is>
          <t>어린이집</t>
        </is>
      </c>
      <c r="C1286" s="5" t="inlineStr">
        <is>
          <t>민간</t>
        </is>
      </c>
      <c r="D1286" s="5" t="inlineStr">
        <is>
          <t>서구</t>
        </is>
      </c>
      <c r="E1286" s="5" t="inlineStr">
        <is>
          <t>부산광역시 서구 서대신동3가 시약로 34 수림어린이집</t>
        </is>
      </c>
      <c r="F1286" s="11" t="inlineStr">
        <is>
          <t>https://blog.naver.com/keon0927</t>
        </is>
      </c>
      <c r="G1286" s="5" t="inlineStr">
        <is>
          <t>051-241-1400</t>
        </is>
      </c>
      <c r="H1286" s="12">
        <f>어린이집!T907</f>
        <v/>
      </c>
      <c r="I1286" s="5" t="inlineStr">
        <is>
          <t>만1세 5 / 영아혼합반 8 / 유아혼합반 10 / 기타(연령구분 없음) 3</t>
        </is>
      </c>
    </row>
    <row r="1287">
      <c r="A1287" s="5" t="inlineStr">
        <is>
          <t>수피아어린이집</t>
        </is>
      </c>
      <c r="B1287" s="5" t="inlineStr">
        <is>
          <t>어린이집</t>
        </is>
      </c>
      <c r="C1287" s="5" t="inlineStr">
        <is>
          <t>가정</t>
        </is>
      </c>
      <c r="D1287" s="5" t="inlineStr">
        <is>
          <t>서구</t>
        </is>
      </c>
      <c r="E1287" s="5" t="inlineStr">
        <is>
          <t>부산광역시 서구 서대신동3가 대티로 161 (서대신동3가, 대신롯데캐슬 101동 201호)</t>
        </is>
      </c>
      <c r="F1287" s="5" t="inlineStr"/>
      <c r="G1287" s="5" t="inlineStr">
        <is>
          <t>051-257-8889</t>
        </is>
      </c>
      <c r="H1287" s="12">
        <f>어린이집!T908</f>
        <v/>
      </c>
      <c r="I1287" s="5" t="inlineStr">
        <is>
          <t>영아혼합반 8 / 기타(연령구분 없음) 8</t>
        </is>
      </c>
    </row>
    <row r="1288">
      <c r="A1288" s="5" t="inlineStr">
        <is>
          <t>신광어린이집</t>
        </is>
      </c>
      <c r="B1288" s="5" t="inlineStr">
        <is>
          <t>어린이집</t>
        </is>
      </c>
      <c r="C1288" s="5" t="inlineStr">
        <is>
          <t>민간</t>
        </is>
      </c>
      <c r="D1288" s="5" t="inlineStr">
        <is>
          <t>서구</t>
        </is>
      </c>
      <c r="E1288" s="5" t="inlineStr">
        <is>
          <t>부산광역시 서구 동대신동2가 보수대로210번길 8 (동대신동2가)</t>
        </is>
      </c>
      <c r="F1288" s="5" t="inlineStr"/>
      <c r="G1288" s="5" t="inlineStr">
        <is>
          <t>051-248-5004</t>
        </is>
      </c>
      <c r="H1288" s="12">
        <f>어린이집!T909</f>
        <v/>
      </c>
      <c r="I1288" s="5" t="inlineStr">
        <is>
          <t>만0세 3 / 만2세 7 / 영아혼합반 8 / 기타(연령구분 없음) 5</t>
        </is>
      </c>
    </row>
    <row r="1289">
      <c r="A1289" s="5" t="inlineStr">
        <is>
          <t>아미행복어린이집</t>
        </is>
      </c>
      <c r="B1289" s="5" t="inlineStr">
        <is>
          <t>어린이집</t>
        </is>
      </c>
      <c r="C1289" s="5" t="inlineStr">
        <is>
          <t>국공립</t>
        </is>
      </c>
      <c r="D1289" s="5" t="inlineStr">
        <is>
          <t>서구</t>
        </is>
      </c>
      <c r="E1289" s="5" t="inlineStr">
        <is>
          <t>부산광역시 서구 옥천로173번길 29 아미동2가,경동 포레스트힐</t>
        </is>
      </c>
      <c r="F1289" s="5" t="inlineStr"/>
      <c r="G1289" s="5" t="inlineStr">
        <is>
          <t>010-7297-1233</t>
        </is>
      </c>
      <c r="H1289" s="12">
        <f>어린이집!T910</f>
        <v/>
      </c>
      <c r="I1289" s="5" t="inlineStr">
        <is>
          <t>만0세 2 / 만1세 12 / 영아혼합반 4 / 유아혼합반 7 / 장애아반(특수) 2 / 기타(연령구분 없음) 13</t>
        </is>
      </c>
    </row>
    <row r="1290">
      <c r="A1290" s="5" t="inlineStr">
        <is>
          <t>아이숲어린이집</t>
        </is>
      </c>
      <c r="B1290" s="5" t="inlineStr">
        <is>
          <t>어린이집</t>
        </is>
      </c>
      <c r="C1290" s="5" t="inlineStr">
        <is>
          <t>가정</t>
        </is>
      </c>
      <c r="D1290" s="5" t="inlineStr">
        <is>
          <t>서구</t>
        </is>
      </c>
      <c r="E1290" s="5" t="inlineStr">
        <is>
          <t>부산광역시 서구 대신공원로 37-7 (서대신동3가)</t>
        </is>
      </c>
      <c r="F1290" s="11" t="inlineStr">
        <is>
          <t>http://cafe.naver.com/iesup</t>
        </is>
      </c>
      <c r="G1290" s="5" t="inlineStr">
        <is>
          <t>051-231-3138</t>
        </is>
      </c>
      <c r="H1290" s="12">
        <f>어린이집!T911</f>
        <v/>
      </c>
      <c r="I1290" s="5" t="inlineStr">
        <is>
          <t>만1세 5 / 만2세 4 / 기타(연령구분 없음) 6</t>
        </is>
      </c>
    </row>
    <row r="1291">
      <c r="A1291" s="5" t="inlineStr">
        <is>
          <t>영락어린이집</t>
        </is>
      </c>
      <c r="B1291" s="5" t="inlineStr">
        <is>
          <t>어린이집</t>
        </is>
      </c>
      <c r="C1291" s="5" t="inlineStr">
        <is>
          <t>사회복지법인</t>
        </is>
      </c>
      <c r="D1291" s="5" t="inlineStr">
        <is>
          <t>서구</t>
        </is>
      </c>
      <c r="E1291" s="5" t="inlineStr">
        <is>
          <t>부산광역시 서구 서대신동3가 꽃마을로 24 영락어린이집</t>
        </is>
      </c>
      <c r="F1291" s="11" t="inlineStr">
        <is>
          <t>https://cafe.naver.com/2473539</t>
        </is>
      </c>
      <c r="G1291" s="5" t="inlineStr">
        <is>
          <t>051-247-3539</t>
        </is>
      </c>
      <c r="H1291" s="12">
        <f>어린이집!T912</f>
        <v/>
      </c>
      <c r="I1291" s="5" t="inlineStr">
        <is>
          <t>만1세 10 / 만2세 4 / 만3세 22 / 만4세 11 / 만5세 11 / 영아혼합반 5 / 기타(연령구분 없음) 16</t>
        </is>
      </c>
    </row>
    <row r="1292">
      <c r="A1292" s="5" t="inlineStr">
        <is>
          <t>으뜸어린이집</t>
        </is>
      </c>
      <c r="B1292" s="5" t="inlineStr">
        <is>
          <t>어린이집</t>
        </is>
      </c>
      <c r="C1292" s="5" t="inlineStr">
        <is>
          <t>국공립</t>
        </is>
      </c>
      <c r="D1292" s="5" t="inlineStr">
        <is>
          <t>서구</t>
        </is>
      </c>
      <c r="E1292" s="5" t="inlineStr">
        <is>
          <t>부산광역시 서구 까치고개로 183</t>
        </is>
      </c>
      <c r="F1292" s="5" t="inlineStr"/>
      <c r="G1292" s="5" t="inlineStr">
        <is>
          <t>051-242-4455</t>
        </is>
      </c>
      <c r="H1292" s="12">
        <f>어린이집!T913</f>
        <v/>
      </c>
      <c r="I1292" s="5" t="inlineStr">
        <is>
          <t>만0세 9 / 만1세 12 / 만2세 10 / 만3세 9 / 만5세 9 / 유아혼합반 8 / 기타(연령구분 없음) 12</t>
        </is>
      </c>
    </row>
    <row r="1293">
      <c r="A1293" s="5" t="inlineStr">
        <is>
          <t>이편한세상송도어린이집</t>
        </is>
      </c>
      <c r="B1293" s="5" t="inlineStr">
        <is>
          <t>어린이집</t>
        </is>
      </c>
      <c r="C1293" s="5" t="inlineStr">
        <is>
          <t>국공립</t>
        </is>
      </c>
      <c r="D1293" s="5" t="inlineStr">
        <is>
          <t>서구</t>
        </is>
      </c>
      <c r="E1293" s="5" t="inlineStr">
        <is>
          <t>부산광역시 서구 충무대로21번길 9 e편한세상 송도더퍼스트비치</t>
        </is>
      </c>
      <c r="F1293" s="5" t="inlineStr"/>
      <c r="G1293" s="5" t="inlineStr">
        <is>
          <t>051-254-8288</t>
        </is>
      </c>
      <c r="H1293" s="12">
        <f>어린이집!T914</f>
        <v/>
      </c>
      <c r="I1293" s="5" t="inlineStr">
        <is>
          <t>만0세 3 / 만1세 30 / 만2세 20 / 만3세 6 / 기타(연령구분 없음) 5</t>
        </is>
      </c>
    </row>
    <row r="1294">
      <c r="A1294" s="5" t="inlineStr">
        <is>
          <t>천마어린이집</t>
        </is>
      </c>
      <c r="B1294" s="5" t="inlineStr">
        <is>
          <t>어린이집</t>
        </is>
      </c>
      <c r="C1294" s="5" t="inlineStr">
        <is>
          <t>국공립</t>
        </is>
      </c>
      <c r="D1294" s="5" t="inlineStr">
        <is>
          <t>서구</t>
        </is>
      </c>
      <c r="E1294" s="5" t="inlineStr">
        <is>
          <t>부산광역시 서구 천해로13번길 58</t>
        </is>
      </c>
      <c r="F1294" s="11" t="inlineStr">
        <is>
          <t>https://blog.naver.com/bscheonma3779</t>
        </is>
      </c>
      <c r="G1294" s="5" t="inlineStr">
        <is>
          <t>051-246-3779</t>
        </is>
      </c>
      <c r="H1294" s="12">
        <f>어린이집!T915</f>
        <v/>
      </c>
      <c r="I1294" s="5" t="inlineStr">
        <is>
          <t>만0세 4 / 만1세 8 / 만2세 10 / 만3세 17 / 유아혼합반 15 / 기타(연령구분 없음) 10</t>
        </is>
      </c>
    </row>
    <row r="1295">
      <c r="A1295" s="5" t="inlineStr">
        <is>
          <t>캐슬어린이집</t>
        </is>
      </c>
      <c r="B1295" s="5" t="inlineStr">
        <is>
          <t>어린이집</t>
        </is>
      </c>
      <c r="C1295" s="5" t="inlineStr">
        <is>
          <t>국공립</t>
        </is>
      </c>
      <c r="D1295" s="5" t="inlineStr">
        <is>
          <t>서구</t>
        </is>
      </c>
      <c r="E1295" s="5" t="inlineStr">
        <is>
          <t>부산광역시 서구 서대신동3가 대티로 161</t>
        </is>
      </c>
      <c r="F1295" s="11" t="inlineStr">
        <is>
          <t>https://cafe.daum.net/1004castle/erLE/21</t>
        </is>
      </c>
      <c r="G1295" s="5" t="inlineStr">
        <is>
          <t>051-248-5044</t>
        </is>
      </c>
      <c r="H1295" s="12">
        <f>어린이집!T916</f>
        <v/>
      </c>
      <c r="I1295" s="5" t="inlineStr">
        <is>
          <t>만0세 5 / 만1세 8 / 만2세 5 / 영아혼합반 4</t>
        </is>
      </c>
    </row>
    <row r="1296">
      <c r="A1296" s="5" t="inlineStr">
        <is>
          <t>푸르지오2차어린이집</t>
        </is>
      </c>
      <c r="B1296" s="5" t="inlineStr">
        <is>
          <t>어린이집</t>
        </is>
      </c>
      <c r="C1296" s="5" t="inlineStr">
        <is>
          <t>국공립</t>
        </is>
      </c>
      <c r="D1296" s="5" t="inlineStr">
        <is>
          <t>서구</t>
        </is>
      </c>
      <c r="E1296" s="5" t="inlineStr">
        <is>
          <t>부산광역시 서구 고운들로 181</t>
        </is>
      </c>
      <c r="F1296" s="5" t="inlineStr"/>
      <c r="G1296" s="5" t="inlineStr">
        <is>
          <t>051-254-7775</t>
        </is>
      </c>
      <c r="H1296" s="12">
        <f>어린이집!T917</f>
        <v/>
      </c>
      <c r="I1296" s="5" t="inlineStr">
        <is>
          <t>만0세 6 / 만1세 29 / 만2세 15 / 유아혼합반 5 / 기타(연령구분 없음) 5</t>
        </is>
      </c>
    </row>
    <row r="1297">
      <c r="A1297" s="5" t="inlineStr">
        <is>
          <t>푸르지오어린이집</t>
        </is>
      </c>
      <c r="B1297" s="5" t="inlineStr">
        <is>
          <t>어린이집</t>
        </is>
      </c>
      <c r="C1297" s="5" t="inlineStr">
        <is>
          <t>국공립</t>
        </is>
      </c>
      <c r="D1297" s="5" t="inlineStr">
        <is>
          <t>서구</t>
        </is>
      </c>
      <c r="E1297" s="5" t="inlineStr">
        <is>
          <t>부산광역시 서구 서대신동1가 대영로38번길 11 (서대신동1가, 대신 푸르지오)</t>
        </is>
      </c>
      <c r="F1297" s="5" t="inlineStr"/>
      <c r="G1297" s="5" t="inlineStr">
        <is>
          <t>051-242-9222</t>
        </is>
      </c>
      <c r="H1297" s="12">
        <f>어린이집!T918</f>
        <v/>
      </c>
      <c r="I1297" s="5" t="inlineStr">
        <is>
          <t>만0세 11 / 만1세 19 / 만2세 15 / 만3세 11 / 기타(연령구분 없음) 5</t>
        </is>
      </c>
    </row>
    <row r="1298">
      <c r="A1298" s="5" t="inlineStr">
        <is>
          <t>풀잎어린이집</t>
        </is>
      </c>
      <c r="B1298" s="5" t="inlineStr">
        <is>
          <t>어린이집</t>
        </is>
      </c>
      <c r="C1298" s="5" t="inlineStr">
        <is>
          <t>국공립</t>
        </is>
      </c>
      <c r="D1298" s="5" t="inlineStr">
        <is>
          <t>서구</t>
        </is>
      </c>
      <c r="E1298" s="5" t="inlineStr">
        <is>
          <t>부산광역시 서구 해돋이로 23</t>
        </is>
      </c>
      <c r="F1298" s="11" t="inlineStr">
        <is>
          <t>http://cafe.naver.com/pulipkids</t>
        </is>
      </c>
      <c r="G1298" s="5" t="inlineStr">
        <is>
          <t>051-253-5250</t>
        </is>
      </c>
      <c r="H1298" s="12">
        <f>어린이집!T919</f>
        <v/>
      </c>
      <c r="I1298" s="5" t="inlineStr">
        <is>
          <t>만0세 5 / 만1세 10 / 만2세 12 / 유아혼합반 11 / 기타(연령구분 없음) 3</t>
        </is>
      </c>
    </row>
    <row r="1299">
      <c r="A1299" s="5" t="inlineStr">
        <is>
          <t>한마음어린이집</t>
        </is>
      </c>
      <c r="B1299" s="5" t="inlineStr">
        <is>
          <t>어린이집</t>
        </is>
      </c>
      <c r="C1299" s="5" t="inlineStr">
        <is>
          <t>국공립</t>
        </is>
      </c>
      <c r="D1299" s="5" t="inlineStr">
        <is>
          <t>서구</t>
        </is>
      </c>
      <c r="E1299" s="5" t="inlineStr">
        <is>
          <t>부산광역시 서구 동대신동1가 망양로193번길 104 서구종합사회복지관 내 한마음어린이집 (동대신동1가)</t>
        </is>
      </c>
      <c r="F1299" s="5" t="inlineStr"/>
      <c r="G1299" s="5" t="inlineStr">
        <is>
          <t>051-253-1968</t>
        </is>
      </c>
      <c r="H1299" s="12">
        <f>어린이집!T920</f>
        <v/>
      </c>
      <c r="I1299" s="5" t="inlineStr">
        <is>
          <t>만2세 7 / 영아혼합반 4 / 유아혼합반 25 / 장애아반(특수) 6 / 기타(연령구분 없음) 12</t>
        </is>
      </c>
    </row>
    <row r="1300">
      <c r="A1300" s="5" t="inlineStr">
        <is>
          <t>해모로어린이집</t>
        </is>
      </c>
      <c r="B1300" s="5" t="inlineStr">
        <is>
          <t>어린이집</t>
        </is>
      </c>
      <c r="C1300" s="5" t="inlineStr">
        <is>
          <t>국공립</t>
        </is>
      </c>
      <c r="D1300" s="5" t="inlineStr">
        <is>
          <t>서구</t>
        </is>
      </c>
      <c r="E1300" s="5" t="inlineStr">
        <is>
          <t>부산광역시 서구 대티로 178 대신해모로센트럴</t>
        </is>
      </c>
      <c r="F1300" s="5" t="inlineStr"/>
      <c r="G1300" s="5" t="inlineStr">
        <is>
          <t>051-242-7972</t>
        </is>
      </c>
      <c r="H1300" s="12">
        <f>어린이집!T921</f>
        <v/>
      </c>
      <c r="I1300" s="5" t="inlineStr">
        <is>
          <t>만0세 9 / 만1세 14 / 만2세 14 / 기타(연령구분 없음) 5</t>
        </is>
      </c>
    </row>
    <row r="1301">
      <c r="A1301" s="5" t="inlineStr">
        <is>
          <t>휴플러스어린이집</t>
        </is>
      </c>
      <c r="B1301" s="5" t="inlineStr">
        <is>
          <t>어린이집</t>
        </is>
      </c>
      <c r="C1301" s="5" t="inlineStr">
        <is>
          <t>국공립</t>
        </is>
      </c>
      <c r="D1301" s="5" t="inlineStr">
        <is>
          <t>서구</t>
        </is>
      </c>
      <c r="E1301" s="5" t="inlineStr">
        <is>
          <t>부산광역시 서구 서대신동3가 보수대로 284</t>
        </is>
      </c>
      <c r="F1301" s="11" t="inlineStr">
        <is>
          <t>http://cafe.daum.net/hupluskid</t>
        </is>
      </c>
      <c r="G1301" s="5" t="inlineStr">
        <is>
          <t>051-243-7776</t>
        </is>
      </c>
      <c r="H1301" s="12">
        <f>어린이집!T922</f>
        <v/>
      </c>
      <c r="I1301" s="5" t="inlineStr">
        <is>
          <t>만0세 7 / 만1세 3 / 만2세 5 / 기타(연령구분 없음) 3</t>
        </is>
      </c>
    </row>
    <row r="1302">
      <c r="A1302" s="5" t="inlineStr">
        <is>
          <t>가림어린이집</t>
        </is>
      </c>
      <c r="B1302" s="5" t="inlineStr">
        <is>
          <t>어린이집</t>
        </is>
      </c>
      <c r="C1302" s="5" t="inlineStr">
        <is>
          <t>민간</t>
        </is>
      </c>
      <c r="D1302" s="5" t="inlineStr">
        <is>
          <t>수영구</t>
        </is>
      </c>
      <c r="E1302" s="5" t="inlineStr">
        <is>
          <t>부산광역시 수영구 광일로14번길 25-2</t>
        </is>
      </c>
      <c r="F1302" s="5" t="inlineStr"/>
      <c r="G1302" s="5" t="inlineStr">
        <is>
          <t>051-759-7814</t>
        </is>
      </c>
      <c r="H1302" s="12">
        <f>어린이집!T923</f>
        <v/>
      </c>
      <c r="I1302" s="5" t="inlineStr">
        <is>
          <t>만1세 5 / 영아혼합반 7 / 영유아혼합반 7 / 기타(연령구분 없음) 8</t>
        </is>
      </c>
    </row>
    <row r="1303">
      <c r="A1303" s="5" t="inlineStr">
        <is>
          <t>곰솔어린이집</t>
        </is>
      </c>
      <c r="B1303" s="5" t="inlineStr">
        <is>
          <t>어린이집</t>
        </is>
      </c>
      <c r="C1303" s="5" t="inlineStr">
        <is>
          <t>국공립</t>
        </is>
      </c>
      <c r="D1303" s="5" t="inlineStr">
        <is>
          <t>수영구</t>
        </is>
      </c>
      <c r="E1303" s="5" t="inlineStr">
        <is>
          <t>부산광역시 수영구 광일로 36</t>
        </is>
      </c>
      <c r="F1303" s="5" t="inlineStr"/>
      <c r="G1303" s="5" t="inlineStr">
        <is>
          <t>051-752-0062</t>
        </is>
      </c>
      <c r="H1303" s="12">
        <f>어린이집!T924</f>
        <v/>
      </c>
      <c r="I1303" s="5" t="inlineStr">
        <is>
          <t>만0세 6 / 만1세 15 / 만2세 12 / 기타(연령구분 없음) 5</t>
        </is>
      </c>
    </row>
    <row r="1304">
      <c r="A1304" s="5" t="inlineStr">
        <is>
          <t>광안마리나어린이집</t>
        </is>
      </c>
      <c r="B1304" s="5" t="inlineStr">
        <is>
          <t>어린이집</t>
        </is>
      </c>
      <c r="C1304" s="5" t="inlineStr">
        <is>
          <t>민간</t>
        </is>
      </c>
      <c r="D1304" s="5" t="inlineStr">
        <is>
          <t>수영구</t>
        </is>
      </c>
      <c r="E1304" s="5" t="inlineStr">
        <is>
          <t>부산광역시 수영구 민락수변로7번길 60 (민락동, e편한세상 광안비치아파트) 관리동</t>
        </is>
      </c>
      <c r="F1304" s="5" t="inlineStr"/>
      <c r="G1304" s="5" t="inlineStr">
        <is>
          <t>051-924-1003</t>
        </is>
      </c>
      <c r="H1304" s="12">
        <f>어린이집!T925</f>
        <v/>
      </c>
      <c r="I1304" s="5" t="inlineStr">
        <is>
          <t>만0세 6 / 만1세 5 / 만2세 7 / 영아혼합반 10 / 기타(연령구분 없음) 8</t>
        </is>
      </c>
    </row>
    <row r="1305">
      <c r="A1305" s="5" t="inlineStr">
        <is>
          <t>광안어린이집</t>
        </is>
      </c>
      <c r="B1305" s="5" t="inlineStr">
        <is>
          <t>어린이집</t>
        </is>
      </c>
      <c r="C1305" s="5" t="inlineStr">
        <is>
          <t>국공립</t>
        </is>
      </c>
      <c r="D1305" s="5" t="inlineStr">
        <is>
          <t>수영구</t>
        </is>
      </c>
      <c r="E1305" s="5" t="inlineStr">
        <is>
          <t>부산광역시 수영구 광일로29번가길 66 (광안동)</t>
        </is>
      </c>
      <c r="F1305" s="5" t="inlineStr"/>
      <c r="G1305" s="5" t="inlineStr">
        <is>
          <t>051-753-5697</t>
        </is>
      </c>
      <c r="H1305" s="12">
        <f>어린이집!T926</f>
        <v/>
      </c>
      <c r="I1305" s="5" t="inlineStr">
        <is>
          <t>만1세 15 / 만2세 14 / 만3세 12 / 만4세 15 / 기타(연령구분 없음) 13</t>
        </is>
      </c>
    </row>
    <row r="1306">
      <c r="A1306" s="5" t="inlineStr">
        <is>
          <t>광안자이어린이집</t>
        </is>
      </c>
      <c r="B1306" s="5" t="inlineStr">
        <is>
          <t>어린이집</t>
        </is>
      </c>
      <c r="C1306" s="5" t="inlineStr">
        <is>
          <t>국공립</t>
        </is>
      </c>
      <c r="D1306" s="5" t="inlineStr">
        <is>
          <t>수영구</t>
        </is>
      </c>
      <c r="E1306" s="5" t="inlineStr">
        <is>
          <t>부산광역시 수영구 호암로29번길 50 광안자이아파트 관리동</t>
        </is>
      </c>
      <c r="F1306" s="5" t="inlineStr"/>
      <c r="G1306" s="5" t="inlineStr">
        <is>
          <t>051-791-2553</t>
        </is>
      </c>
      <c r="H1306" s="12">
        <f>어린이집!T927</f>
        <v/>
      </c>
      <c r="I1306" s="5" t="inlineStr">
        <is>
          <t>만0세 12 / 만1세 15 / 만2세 18 / 기타(연령구분 없음) 13</t>
        </is>
      </c>
    </row>
    <row r="1307">
      <c r="A1307" s="5" t="inlineStr">
        <is>
          <t>글로벌비젼어린이집</t>
        </is>
      </c>
      <c r="B1307" s="5" t="inlineStr">
        <is>
          <t>어린이집</t>
        </is>
      </c>
      <c r="C1307" s="5" t="inlineStr">
        <is>
          <t>민간</t>
        </is>
      </c>
      <c r="D1307" s="5" t="inlineStr">
        <is>
          <t>수영구</t>
        </is>
      </c>
      <c r="E1307" s="5" t="inlineStr">
        <is>
          <t>부산광역시 수영구 민락로34번길 31-5 (민락동)</t>
        </is>
      </c>
      <c r="F1307" s="5" t="inlineStr"/>
      <c r="G1307" s="5" t="inlineStr">
        <is>
          <t>051-757-4446</t>
        </is>
      </c>
      <c r="H1307" s="12">
        <f>어린이집!T928</f>
        <v/>
      </c>
      <c r="I1307" s="5" t="inlineStr">
        <is>
          <t>만0세 3 / 만2세 4 / 영아혼합반 11 / 유아혼합반 10 / 장애아반(특수) 5 / 기타(연령구분 없음) 17</t>
        </is>
      </c>
    </row>
    <row r="1308">
      <c r="A1308" s="5" t="inlineStr">
        <is>
          <t>꼬꼬마어린이집</t>
        </is>
      </c>
      <c r="B1308" s="5" t="inlineStr">
        <is>
          <t>어린이집</t>
        </is>
      </c>
      <c r="C1308" s="5" t="inlineStr">
        <is>
          <t>민간</t>
        </is>
      </c>
      <c r="D1308" s="5" t="inlineStr">
        <is>
          <t>수영구</t>
        </is>
      </c>
      <c r="E1308" s="5" t="inlineStr">
        <is>
          <t>부산광역시 수영구 장대골로 27-1 (광안동)</t>
        </is>
      </c>
      <c r="F1308" s="5" t="inlineStr"/>
      <c r="G1308" s="5" t="inlineStr">
        <is>
          <t>051-758-5222</t>
        </is>
      </c>
      <c r="H1308" s="12">
        <f>어린이집!T929</f>
        <v/>
      </c>
      <c r="I1308" s="5" t="inlineStr">
        <is>
          <t>만0세 6 / 만1세 5 / 만2세 7 / 영아혼합반 8 / 기타(연령구분 없음) 5</t>
        </is>
      </c>
    </row>
    <row r="1309">
      <c r="A1309" s="5" t="inlineStr">
        <is>
          <t>꼬마또래어린이집</t>
        </is>
      </c>
      <c r="B1309" s="5" t="inlineStr">
        <is>
          <t>어린이집</t>
        </is>
      </c>
      <c r="C1309" s="5" t="inlineStr">
        <is>
          <t>가정</t>
        </is>
      </c>
      <c r="D1309" s="5" t="inlineStr">
        <is>
          <t>수영구</t>
        </is>
      </c>
      <c r="E1309" s="5" t="inlineStr">
        <is>
          <t>부산광역시 수영구 좌수영로 204 203동 102호(망미동, 이편한세상2차)</t>
        </is>
      </c>
      <c r="F1309" s="5" t="inlineStr"/>
      <c r="G1309" s="5" t="inlineStr">
        <is>
          <t>051-753-7921</t>
        </is>
      </c>
      <c r="H1309" s="12">
        <f>어린이집!T930</f>
        <v/>
      </c>
      <c r="I1309" s="5" t="inlineStr">
        <is>
          <t>만0세 3 / 만1세 3 / 기타(연령구분 없음) 5</t>
        </is>
      </c>
    </row>
    <row r="1310">
      <c r="A1310" s="5" t="inlineStr">
        <is>
          <t>남천더샵어린이집</t>
        </is>
      </c>
      <c r="B1310" s="5" t="inlineStr">
        <is>
          <t>어린이집</t>
        </is>
      </c>
      <c r="C1310" s="5" t="inlineStr">
        <is>
          <t>국공립</t>
        </is>
      </c>
      <c r="D1310" s="5" t="inlineStr">
        <is>
          <t>수영구</t>
        </is>
      </c>
      <c r="E1310" s="5" t="inlineStr">
        <is>
          <t>부산광역시 수영구 수영로 389 어린이집</t>
        </is>
      </c>
      <c r="F1310" s="5" t="inlineStr"/>
      <c r="G1310" s="5" t="inlineStr">
        <is>
          <t>051-988-1001</t>
        </is>
      </c>
      <c r="H1310" s="12">
        <f>어린이집!T931</f>
        <v/>
      </c>
      <c r="I1310" s="5" t="inlineStr">
        <is>
          <t>만0세 6 / 만1세 15 / 만2세 28</t>
        </is>
      </c>
    </row>
    <row r="1311">
      <c r="A1311" s="5" t="inlineStr">
        <is>
          <t>남천어린이집</t>
        </is>
      </c>
      <c r="B1311" s="5" t="inlineStr">
        <is>
          <t>어린이집</t>
        </is>
      </c>
      <c r="C1311" s="5" t="inlineStr">
        <is>
          <t>민간</t>
        </is>
      </c>
      <c r="D1311" s="5" t="inlineStr">
        <is>
          <t>수영구</t>
        </is>
      </c>
      <c r="E1311" s="5" t="inlineStr">
        <is>
          <t>부산광역시 수영구 남천동로22번길 28</t>
        </is>
      </c>
      <c r="F1311" s="5" t="inlineStr"/>
      <c r="G1311" s="5" t="inlineStr">
        <is>
          <t>051-611-9277</t>
        </is>
      </c>
      <c r="H1311" s="12">
        <f>어린이집!T932</f>
        <v/>
      </c>
      <c r="I1311" s="5" t="inlineStr">
        <is>
          <t>만0세 15 / 만1세 30 / 만2세 28 / 만3세 13 / 유아혼합반 13</t>
        </is>
      </c>
    </row>
    <row r="1312">
      <c r="A1312" s="5" t="inlineStr">
        <is>
          <t>남천자이어린이집</t>
        </is>
      </c>
      <c r="B1312" s="5" t="inlineStr">
        <is>
          <t>어린이집</t>
        </is>
      </c>
      <c r="C1312" s="5" t="inlineStr">
        <is>
          <t>국공립</t>
        </is>
      </c>
      <c r="D1312" s="5" t="inlineStr">
        <is>
          <t>수영구</t>
        </is>
      </c>
      <c r="E1312" s="5" t="inlineStr">
        <is>
          <t>부산광역시 수영구 남천동로 46 남천자이어린이집</t>
        </is>
      </c>
      <c r="F1312" s="5" t="inlineStr"/>
      <c r="G1312" s="5" t="inlineStr">
        <is>
          <t>051-710-7953</t>
        </is>
      </c>
      <c r="H1312" s="12">
        <f>어린이집!T933</f>
        <v/>
      </c>
      <c r="I1312" s="5" t="inlineStr">
        <is>
          <t>만0세 7 / 만1세 20 / 만2세 18 / 장애아반(특수) 4 / 기타(연령구분 없음) 13</t>
        </is>
      </c>
    </row>
    <row r="1313">
      <c r="A1313" s="5" t="inlineStr">
        <is>
          <t>늘해랑어린이집</t>
        </is>
      </c>
      <c r="B1313" s="5" t="inlineStr">
        <is>
          <t>어린이집</t>
        </is>
      </c>
      <c r="C1313" s="5" t="inlineStr">
        <is>
          <t>가정</t>
        </is>
      </c>
      <c r="D1313" s="5" t="inlineStr">
        <is>
          <t>수영구</t>
        </is>
      </c>
      <c r="E1313" s="5" t="inlineStr">
        <is>
          <t>부산광역시 수영구 연수로249번길 12-7 2동 105호(망미동, 산호맨션)</t>
        </is>
      </c>
      <c r="F1313" s="11" t="inlineStr">
        <is>
          <t>http://thhp://cafa.naver.com/gukran</t>
        </is>
      </c>
      <c r="G1313" s="5" t="inlineStr">
        <is>
          <t>051-754-6457</t>
        </is>
      </c>
      <c r="H1313" s="12">
        <f>어린이집!T934</f>
        <v/>
      </c>
      <c r="I1313" s="5" t="inlineStr">
        <is>
          <t>만0세 3 / 만1세 4 / 기타(연령구분 없음) 3</t>
        </is>
      </c>
    </row>
    <row r="1314">
      <c r="A1314" s="5" t="inlineStr">
        <is>
          <t>다솜어린이집</t>
        </is>
      </c>
      <c r="B1314" s="5" t="inlineStr">
        <is>
          <t>어린이집</t>
        </is>
      </c>
      <c r="C1314" s="5" t="inlineStr">
        <is>
          <t>사회복지법인</t>
        </is>
      </c>
      <c r="D1314" s="5" t="inlineStr">
        <is>
          <t>수영구</t>
        </is>
      </c>
      <c r="E1314" s="5" t="inlineStr">
        <is>
          <t>부산광역시 수영구 수영로528번길 12-1</t>
        </is>
      </c>
      <c r="F1314" s="5" t="inlineStr"/>
      <c r="G1314" s="5" t="inlineStr">
        <is>
          <t>051-753-6662</t>
        </is>
      </c>
      <c r="H1314" s="12">
        <f>어린이집!T935</f>
        <v/>
      </c>
      <c r="I1314" s="5" t="inlineStr">
        <is>
          <t>만0세 9 / 만1세 15 / 만2세 11 / 기타(연령구분 없음) 8</t>
        </is>
      </c>
    </row>
    <row r="1315">
      <c r="A1315" s="5" t="inlineStr">
        <is>
          <t>동산어린이집</t>
        </is>
      </c>
      <c r="B1315" s="5" t="inlineStr">
        <is>
          <t>어린이집</t>
        </is>
      </c>
      <c r="C1315" s="5" t="inlineStr">
        <is>
          <t>민간</t>
        </is>
      </c>
      <c r="D1315" s="5" t="inlineStr">
        <is>
          <t>수영구</t>
        </is>
      </c>
      <c r="E1315" s="5" t="inlineStr">
        <is>
          <t>부산광역시 수영구 연수로385번길 21 (수영동)</t>
        </is>
      </c>
      <c r="F1315" s="11" t="inlineStr">
        <is>
          <t>http://suyeongdongsan.com</t>
        </is>
      </c>
      <c r="G1315" s="5" t="inlineStr">
        <is>
          <t>051-751-0260</t>
        </is>
      </c>
      <c r="H1315" s="12">
        <f>어린이집!T936</f>
        <v/>
      </c>
      <c r="I1315" s="5" t="inlineStr">
        <is>
          <t>만0세 7 / 만1세 20 / 만2세 28 / 만3세 23 / 영아혼합반 5 / 유아혼합반 38 / 기타(연령구분 없음) 20</t>
        </is>
      </c>
    </row>
    <row r="1316">
      <c r="A1316" s="5" t="inlineStr">
        <is>
          <t>동원자연어린이집</t>
        </is>
      </c>
      <c r="B1316" s="5" t="inlineStr">
        <is>
          <t>어린이집</t>
        </is>
      </c>
      <c r="C1316" s="5" t="inlineStr">
        <is>
          <t>민간</t>
        </is>
      </c>
      <c r="D1316" s="5" t="inlineStr">
        <is>
          <t>수영구</t>
        </is>
      </c>
      <c r="E1316" s="5" t="inlineStr">
        <is>
          <t>부산광역시 수영구 수미로14번길 35 수영강동원로얄듀크아파트 107동1층(관리동)</t>
        </is>
      </c>
      <c r="F1316" s="5" t="inlineStr"/>
      <c r="G1316" s="5" t="inlineStr">
        <is>
          <t>051-761-1687</t>
        </is>
      </c>
      <c r="H1316" s="12">
        <f>어린이집!T937</f>
        <v/>
      </c>
      <c r="I1316" s="5" t="inlineStr">
        <is>
          <t>만1세 10 / 만2세 12 / 영아혼합반 7 / 기타(연령구분 없음) 7</t>
        </is>
      </c>
    </row>
    <row r="1317">
      <c r="A1317" s="5" t="inlineStr">
        <is>
          <t>망미이진캐스빌어린이집</t>
        </is>
      </c>
      <c r="B1317" s="5" t="inlineStr">
        <is>
          <t>어린이집</t>
        </is>
      </c>
      <c r="C1317" s="5" t="inlineStr">
        <is>
          <t>국공립</t>
        </is>
      </c>
      <c r="D1317" s="5" t="inlineStr">
        <is>
          <t>수영구</t>
        </is>
      </c>
      <c r="E1317" s="5" t="inlineStr">
        <is>
          <t>부산광역시 수영구 망미로30번길 51 망미이진캐스빌 105동</t>
        </is>
      </c>
      <c r="F1317" s="5" t="inlineStr"/>
      <c r="G1317" s="5" t="inlineStr">
        <is>
          <t>051-751-1900</t>
        </is>
      </c>
      <c r="H1317" s="12">
        <f>어린이집!T938</f>
        <v/>
      </c>
      <c r="I1317" s="5" t="inlineStr">
        <is>
          <t>만0세 5 / 만1세 8 / 만2세 7 / 기타(연령구분 없음) 4</t>
        </is>
      </c>
    </row>
    <row r="1318">
      <c r="A1318" s="5" t="inlineStr">
        <is>
          <t>목동어린이집</t>
        </is>
      </c>
      <c r="B1318" s="5" t="inlineStr">
        <is>
          <t>어린이집</t>
        </is>
      </c>
      <c r="C1318" s="5" t="inlineStr">
        <is>
          <t>가정</t>
        </is>
      </c>
      <c r="D1318" s="5" t="inlineStr">
        <is>
          <t>수영구</t>
        </is>
      </c>
      <c r="E1318" s="5" t="inlineStr">
        <is>
          <t>부산광역시 수영구 광서로39번길 20 나래아트빌 101호 (광안동)</t>
        </is>
      </c>
      <c r="F1318" s="5" t="inlineStr"/>
      <c r="G1318" s="5" t="inlineStr">
        <is>
          <t>051-751-7813</t>
        </is>
      </c>
      <c r="H1318" s="12">
        <f>어린이집!T939</f>
        <v/>
      </c>
      <c r="I1318" s="5" t="inlineStr">
        <is>
          <t>만0세 5 / 만1세 5 / 만2세 7 / 기타(연령구분 없음) 10</t>
        </is>
      </c>
    </row>
    <row r="1319">
      <c r="A1319" s="5" t="inlineStr">
        <is>
          <t>바다빛어린이집</t>
        </is>
      </c>
      <c r="B1319" s="5" t="inlineStr">
        <is>
          <t>어린이집</t>
        </is>
      </c>
      <c r="C1319" s="5" t="inlineStr">
        <is>
          <t>국공립</t>
        </is>
      </c>
      <c r="D1319" s="5" t="inlineStr">
        <is>
          <t>수영구</t>
        </is>
      </c>
      <c r="E1319" s="5" t="inlineStr">
        <is>
          <t>부산광역시 수영구 민락수변로7번길 60 바다빛어린이집</t>
        </is>
      </c>
      <c r="F1319" s="5" t="inlineStr"/>
      <c r="G1319" s="5" t="inlineStr">
        <is>
          <t>051-936-2121</t>
        </is>
      </c>
      <c r="H1319" s="12">
        <f>어린이집!T940</f>
        <v/>
      </c>
      <c r="I1319" s="5" t="inlineStr">
        <is>
          <t>만0세 7 / 만1세 19 / 만2세 13 / 만3세 10 / 만4세 6 / 기타(연령구분 없음) 5</t>
        </is>
      </c>
    </row>
    <row r="1320">
      <c r="A1320" s="5" t="inlineStr">
        <is>
          <t>부산중앙어린이집</t>
        </is>
      </c>
      <c r="B1320" s="5" t="inlineStr">
        <is>
          <t>어린이집</t>
        </is>
      </c>
      <c r="C1320" s="5" t="inlineStr">
        <is>
          <t>법인·단체등</t>
        </is>
      </c>
      <c r="D1320" s="5" t="inlineStr">
        <is>
          <t>수영구</t>
        </is>
      </c>
      <c r="E1320" s="5" t="inlineStr">
        <is>
          <t>부산광역시 수영구 황령산로 42</t>
        </is>
      </c>
      <c r="F1320" s="11" t="inlineStr">
        <is>
          <t>http://www.ejoongang1004.or.kr</t>
        </is>
      </c>
      <c r="G1320" s="5" t="inlineStr">
        <is>
          <t>051-624-6048</t>
        </is>
      </c>
      <c r="H1320" s="12">
        <f>어린이집!T941</f>
        <v/>
      </c>
      <c r="I1320" s="5" t="inlineStr">
        <is>
          <t>만1세 14 / 만2세 28 / 만3세 44 / 만4세 33 / 만5세 17 / 기타(연령구분 없음) 19</t>
        </is>
      </c>
    </row>
    <row r="1321">
      <c r="A1321" s="5" t="inlineStr">
        <is>
          <t>사랑가득어린이집</t>
        </is>
      </c>
      <c r="B1321" s="5" t="inlineStr">
        <is>
          <t>어린이집</t>
        </is>
      </c>
      <c r="C1321" s="5" t="inlineStr">
        <is>
          <t>국공립</t>
        </is>
      </c>
      <c r="D1321" s="5" t="inlineStr">
        <is>
          <t>수영구</t>
        </is>
      </c>
      <c r="E1321" s="5" t="inlineStr">
        <is>
          <t>부산광역시 수영구 민락로33번길 4</t>
        </is>
      </c>
      <c r="F1321" s="5" t="inlineStr"/>
      <c r="G1321" s="5" t="inlineStr">
        <is>
          <t>051-761-0200</t>
        </is>
      </c>
      <c r="H1321" s="12">
        <f>어린이집!T942</f>
        <v/>
      </c>
      <c r="I1321" s="5" t="inlineStr">
        <is>
          <t>만1세 13 / 만2세 14 / 만3세 12 / 영아혼합반 10 / 기타(연령구분 없음) 5</t>
        </is>
      </c>
    </row>
    <row r="1322">
      <c r="A1322" s="5" t="inlineStr">
        <is>
          <t>성모영아전담어린이집</t>
        </is>
      </c>
      <c r="B1322" s="5" t="inlineStr">
        <is>
          <t>어린이집</t>
        </is>
      </c>
      <c r="C1322" s="5" t="inlineStr">
        <is>
          <t>민간</t>
        </is>
      </c>
      <c r="D1322" s="5" t="inlineStr">
        <is>
          <t>수영구</t>
        </is>
      </c>
      <c r="E1322" s="5" t="inlineStr">
        <is>
          <t>부산광역시 수영구 망미로7번길 17 (망미동)</t>
        </is>
      </c>
      <c r="F1322" s="11" t="inlineStr">
        <is>
          <t>http://cafe.naver.com/sungmo9820</t>
        </is>
      </c>
      <c r="G1322" s="5" t="inlineStr">
        <is>
          <t>051-751-9820</t>
        </is>
      </c>
      <c r="H1322" s="12">
        <f>어린이집!T943</f>
        <v/>
      </c>
      <c r="I1322" s="5" t="inlineStr">
        <is>
          <t>만0세 3 / 만1세 5 / 만2세 7 / 영아혼합반 5 / 기타(연령구분 없음) 12</t>
        </is>
      </c>
    </row>
    <row r="1323">
      <c r="A1323" s="5" t="inlineStr">
        <is>
          <t>세림어린이집</t>
        </is>
      </c>
      <c r="B1323" s="5" t="inlineStr">
        <is>
          <t>어린이집</t>
        </is>
      </c>
      <c r="C1323" s="5" t="inlineStr">
        <is>
          <t>사회복지법인</t>
        </is>
      </c>
      <c r="D1323" s="5" t="inlineStr">
        <is>
          <t>수영구</t>
        </is>
      </c>
      <c r="E1323" s="5" t="inlineStr">
        <is>
          <t>부산광역시 수영구 망미배산로70번길 3 (망미동)</t>
        </is>
      </c>
      <c r="F1323" s="11" t="inlineStr">
        <is>
          <t>http://cafe.daum.net/SLkid</t>
        </is>
      </c>
      <c r="G1323" s="5" t="inlineStr">
        <is>
          <t>051-757-2260</t>
        </is>
      </c>
      <c r="H1323" s="12">
        <f>어린이집!T944</f>
        <v/>
      </c>
      <c r="I1323" s="5" t="inlineStr">
        <is>
          <t>장애아반(특수) 36</t>
        </is>
      </c>
    </row>
    <row r="1324">
      <c r="A1324" s="5" t="inlineStr">
        <is>
          <t>센텀비스타동원1차어린이집</t>
        </is>
      </c>
      <c r="B1324" s="5" t="inlineStr">
        <is>
          <t>어린이집</t>
        </is>
      </c>
      <c r="C1324" s="5" t="inlineStr">
        <is>
          <t>국공립</t>
        </is>
      </c>
      <c r="D1324" s="5" t="inlineStr">
        <is>
          <t>수영구</t>
        </is>
      </c>
      <c r="E1324" s="5" t="inlineStr">
        <is>
          <t>부산광역시 수영구 수영로 754 센텀비스타동원1차아파트 관리동</t>
        </is>
      </c>
      <c r="F1324" s="5" t="inlineStr"/>
      <c r="G1324" s="5" t="inlineStr">
        <is>
          <t>051-752-3221</t>
        </is>
      </c>
      <c r="H1324" s="12">
        <f>어린이집!T945</f>
        <v/>
      </c>
      <c r="I1324" s="5" t="inlineStr">
        <is>
          <t>만0세 9 / 만1세 25 / 만2세 24 / 장애아반(특수) 3 / 기타(연령구분 없음) 5</t>
        </is>
      </c>
    </row>
    <row r="1325">
      <c r="A1325" s="5" t="inlineStr">
        <is>
          <t>센텀비스타동원2차어린이집</t>
        </is>
      </c>
      <c r="B1325" s="5" t="inlineStr">
        <is>
          <t>어린이집</t>
        </is>
      </c>
      <c r="C1325" s="5" t="inlineStr">
        <is>
          <t>국공립</t>
        </is>
      </c>
      <c r="D1325" s="5" t="inlineStr">
        <is>
          <t>수영구</t>
        </is>
      </c>
      <c r="E1325" s="5" t="inlineStr">
        <is>
          <t>부산광역시 수영구 무학로63번길 142 센텀비스타 동원 2차 관리동</t>
        </is>
      </c>
      <c r="F1325" s="11" t="inlineStr">
        <is>
          <t>http://cafe.naver.com/centumvista2kids</t>
        </is>
      </c>
      <c r="G1325" s="5" t="inlineStr">
        <is>
          <t>051-761-0610</t>
        </is>
      </c>
      <c r="H1325" s="12">
        <f>어린이집!T946</f>
        <v/>
      </c>
      <c r="I1325" s="5" t="inlineStr">
        <is>
          <t>만0세 3 / 만1세 9 / 만2세 13</t>
        </is>
      </c>
    </row>
    <row r="1326">
      <c r="A1326" s="5" t="inlineStr">
        <is>
          <t>센텀포레어린이집</t>
        </is>
      </c>
      <c r="B1326" s="5" t="inlineStr">
        <is>
          <t>어린이집</t>
        </is>
      </c>
      <c r="C1326" s="5" t="inlineStr">
        <is>
          <t>민간</t>
        </is>
      </c>
      <c r="D1326" s="5" t="inlineStr">
        <is>
          <t>수영구</t>
        </is>
      </c>
      <c r="E1326" s="5" t="inlineStr">
        <is>
          <t>부산광역시 수영구 수영로 776 (민락동, 부산더샵센텀포레아파트 102동 관리동)</t>
        </is>
      </c>
      <c r="F1326" s="5" t="inlineStr"/>
      <c r="G1326" s="5" t="inlineStr">
        <is>
          <t>051-757-6682</t>
        </is>
      </c>
      <c r="H1326" s="12">
        <f>어린이집!T947</f>
        <v/>
      </c>
      <c r="I1326" s="5" t="inlineStr">
        <is>
          <t>만0세 8 / 만1세 20 / 만2세 13 / 기타(연령구분 없음) 8</t>
        </is>
      </c>
    </row>
    <row r="1327">
      <c r="A1327" s="5" t="inlineStr">
        <is>
          <t>수아&amp;영이어린이집</t>
        </is>
      </c>
      <c r="B1327" s="5" t="inlineStr">
        <is>
          <t>어린이집</t>
        </is>
      </c>
      <c r="C1327" s="5" t="inlineStr">
        <is>
          <t>국공립</t>
        </is>
      </c>
      <c r="D1327" s="5" t="inlineStr">
        <is>
          <t>수영구</t>
        </is>
      </c>
      <c r="E1327" s="5" t="inlineStr">
        <is>
          <t>부산광역시 수영구 광안로35번길 9</t>
        </is>
      </c>
      <c r="F1327" s="11" t="inlineStr">
        <is>
          <t>http://cafe.daum.net/newsooanyounge</t>
        </is>
      </c>
      <c r="G1327" s="5" t="inlineStr">
        <is>
          <t>051-761-5111</t>
        </is>
      </c>
      <c r="H1327" s="12">
        <f>어린이집!T948</f>
        <v/>
      </c>
      <c r="I1327" s="5" t="inlineStr">
        <is>
          <t>만2세 24 / 만3세 20 / 만4세 14 / 만5세 20 / 유아혼합반 15 / 장애아반(특수) 5 / 기타(연령구분 없음) 69</t>
        </is>
      </c>
    </row>
    <row r="1328">
      <c r="A1328" s="5" t="inlineStr">
        <is>
          <t>수영SK뷰어린이집</t>
        </is>
      </c>
      <c r="B1328" s="5" t="inlineStr">
        <is>
          <t>어린이집</t>
        </is>
      </c>
      <c r="C1328" s="5" t="inlineStr">
        <is>
          <t>국공립</t>
        </is>
      </c>
      <c r="D1328" s="5" t="inlineStr">
        <is>
          <t>수영구</t>
        </is>
      </c>
      <c r="E1328" s="5" t="inlineStr">
        <is>
          <t>부산광역시 수영구 망미배산로 56 수영SK뷰 관리동</t>
        </is>
      </c>
      <c r="F1328" s="5" t="inlineStr"/>
      <c r="G1328" s="5" t="inlineStr">
        <is>
          <t>051-757-4859</t>
        </is>
      </c>
      <c r="H1328" s="12">
        <f>어린이집!T949</f>
        <v/>
      </c>
      <c r="I1328" s="5" t="inlineStr">
        <is>
          <t>만1세 9 / 만2세 14 / 영아혼합반 10 / 유아혼합반 7 / 기타(연령구분 없음) 5</t>
        </is>
      </c>
    </row>
    <row r="1329">
      <c r="A1329" s="5" t="inlineStr">
        <is>
          <t>수영중앙어린이집</t>
        </is>
      </c>
      <c r="B1329" s="5" t="inlineStr">
        <is>
          <t>어린이집</t>
        </is>
      </c>
      <c r="C1329" s="5" t="inlineStr">
        <is>
          <t>민간</t>
        </is>
      </c>
      <c r="D1329" s="5" t="inlineStr">
        <is>
          <t>수영구</t>
        </is>
      </c>
      <c r="E1329" s="5" t="inlineStr">
        <is>
          <t>부산광역시 수영구 망미번영로74번길 88 (수영동)</t>
        </is>
      </c>
      <c r="F1329" s="5" t="inlineStr"/>
      <c r="G1329" s="5" t="inlineStr">
        <is>
          <t>051-754-3331</t>
        </is>
      </c>
      <c r="H1329" s="12">
        <f>어린이집!T950</f>
        <v/>
      </c>
      <c r="I1329" s="5" t="inlineStr">
        <is>
          <t>만0세 2 / 만2세 6 / 영아혼합반 2 / 유아혼합반 10 / 기타(연령구분 없음) 5</t>
        </is>
      </c>
    </row>
    <row r="1330">
      <c r="A1330" s="5" t="inlineStr">
        <is>
          <t>쌍용예가어린이집</t>
        </is>
      </c>
      <c r="B1330" s="5" t="inlineStr">
        <is>
          <t>어린이집</t>
        </is>
      </c>
      <c r="C1330" s="5" t="inlineStr">
        <is>
          <t>민간</t>
        </is>
      </c>
      <c r="D1330" s="5" t="inlineStr">
        <is>
          <t>수영구</t>
        </is>
      </c>
      <c r="E1330" s="5" t="inlineStr">
        <is>
          <t>부산광역시 수영구 광안로 20 쌍용예가디오션 105동(관리동)</t>
        </is>
      </c>
      <c r="F1330" s="5" t="inlineStr"/>
      <c r="G1330" s="5" t="inlineStr">
        <is>
          <t>051-754-8383</t>
        </is>
      </c>
      <c r="H1330" s="12">
        <f>어린이집!T951</f>
        <v/>
      </c>
      <c r="I1330" s="5" t="inlineStr">
        <is>
          <t>만0세 9 / 만1세 15 / 만2세 17</t>
        </is>
      </c>
    </row>
    <row r="1331">
      <c r="A1331" s="5" t="inlineStr">
        <is>
          <t>어울림어린이집</t>
        </is>
      </c>
      <c r="B1331" s="5" t="inlineStr">
        <is>
          <t>어린이집</t>
        </is>
      </c>
      <c r="C1331" s="5" t="inlineStr">
        <is>
          <t>민간</t>
        </is>
      </c>
      <c r="D1331" s="5" t="inlineStr">
        <is>
          <t>수영구</t>
        </is>
      </c>
      <c r="E1331" s="5" t="inlineStr">
        <is>
          <t>부산광역시 수영구 남천동로 91</t>
        </is>
      </c>
      <c r="F1331" s="5" t="inlineStr"/>
      <c r="G1331" s="5" t="inlineStr">
        <is>
          <t>051-912-2727</t>
        </is>
      </c>
      <c r="H1331" s="12">
        <f>어린이집!T952</f>
        <v/>
      </c>
      <c r="I1331" s="5" t="inlineStr">
        <is>
          <t>만0세 6 / 만1세 10 / 만2세 13 / 기타(연령구분 없음) 5</t>
        </is>
      </c>
    </row>
    <row r="1332">
      <c r="A1332" s="5" t="inlineStr">
        <is>
          <t>영주암어린이집</t>
        </is>
      </c>
      <c r="B1332" s="5" t="inlineStr">
        <is>
          <t>어린이집</t>
        </is>
      </c>
      <c r="C1332" s="5" t="inlineStr">
        <is>
          <t>사회복지법인</t>
        </is>
      </c>
      <c r="D1332" s="5" t="inlineStr">
        <is>
          <t>수영구</t>
        </is>
      </c>
      <c r="E1332" s="5" t="inlineStr">
        <is>
          <t>부산광역시 수영구 망미배산로76번가길 37 영주암 어린이집</t>
        </is>
      </c>
      <c r="F1332" s="11" t="inlineStr">
        <is>
          <t>http://kid.bulgukto.or.kr</t>
        </is>
      </c>
      <c r="G1332" s="5" t="inlineStr">
        <is>
          <t>051-755-2888</t>
        </is>
      </c>
      <c r="H1332" s="12">
        <f>어린이집!T953</f>
        <v/>
      </c>
      <c r="I1332" s="5" t="inlineStr">
        <is>
          <t>만1세 20 / 만2세 23 / 만3세 12 / 기타(연령구분 없음) 5</t>
        </is>
      </c>
    </row>
    <row r="1333">
      <c r="A1333" s="5" t="inlineStr">
        <is>
          <t>오션그린어린이집</t>
        </is>
      </c>
      <c r="B1333" s="5" t="inlineStr">
        <is>
          <t>어린이집</t>
        </is>
      </c>
      <c r="C1333" s="5" t="inlineStr">
        <is>
          <t>국공립</t>
        </is>
      </c>
      <c r="D1333" s="5" t="inlineStr">
        <is>
          <t>수영구</t>
        </is>
      </c>
      <c r="E1333" s="5" t="inlineStr">
        <is>
          <t>부산광역시 수영구 광안해변로326번길 31 오션테라스4단지</t>
        </is>
      </c>
      <c r="F1333" s="5" t="inlineStr"/>
      <c r="G1333" s="5" t="inlineStr">
        <is>
          <t>051-758-0202</t>
        </is>
      </c>
      <c r="H1333" s="12">
        <f>어린이집!T954</f>
        <v/>
      </c>
      <c r="I1333" s="5" t="inlineStr">
        <is>
          <t>만0세 9 / 만1세 10 / 만2세 24 / 기타(연령구분 없음) 5</t>
        </is>
      </c>
    </row>
    <row r="1334">
      <c r="A1334" s="5" t="inlineStr">
        <is>
          <t>오션블루어린이집</t>
        </is>
      </c>
      <c r="B1334" s="5" t="inlineStr">
        <is>
          <t>어린이집</t>
        </is>
      </c>
      <c r="C1334" s="5" t="inlineStr">
        <is>
          <t>국공립</t>
        </is>
      </c>
      <c r="D1334" s="5" t="inlineStr">
        <is>
          <t>수영구</t>
        </is>
      </c>
      <c r="E1334" s="5" t="inlineStr">
        <is>
          <t>부산광역시 수영구 광안해변로326번길 32 오션테라스3단지</t>
        </is>
      </c>
      <c r="F1334" s="5" t="inlineStr"/>
      <c r="G1334" s="5" t="inlineStr">
        <is>
          <t>051-758-3700</t>
        </is>
      </c>
      <c r="H1334" s="12">
        <f>어린이집!T955</f>
        <v/>
      </c>
      <c r="I1334" s="5" t="inlineStr">
        <is>
          <t>만0세 6 / 만1세 11 / 만2세 13 / 기타(연령구분 없음) 7</t>
        </is>
      </c>
    </row>
    <row r="1335">
      <c r="A1335" s="5" t="inlineStr">
        <is>
          <t>은솔어린이집</t>
        </is>
      </c>
      <c r="B1335" s="5" t="inlineStr">
        <is>
          <t>어린이집</t>
        </is>
      </c>
      <c r="C1335" s="5" t="inlineStr">
        <is>
          <t>사회복지법인</t>
        </is>
      </c>
      <c r="D1335" s="5" t="inlineStr">
        <is>
          <t>수영구</t>
        </is>
      </c>
      <c r="E1335" s="5" t="inlineStr">
        <is>
          <t>부산광역시 수영구 구락로25번길 16 (수영동)</t>
        </is>
      </c>
      <c r="F1335" s="11" t="inlineStr">
        <is>
          <t>https://blog.naver.com/eunsol2662</t>
        </is>
      </c>
      <c r="G1335" s="5" t="inlineStr">
        <is>
          <t>051-756-2662</t>
        </is>
      </c>
      <c r="H1335" s="12">
        <f>어린이집!T956</f>
        <v/>
      </c>
      <c r="I1335" s="5" t="inlineStr">
        <is>
          <t>만0세 5 / 만1세 9 / 만2세 5 / 영아혼합반 2 / 기타(연령구분 없음) 2</t>
        </is>
      </c>
    </row>
    <row r="1336">
      <c r="A1336" s="5" t="inlineStr">
        <is>
          <t>이편한어린이집</t>
        </is>
      </c>
      <c r="B1336" s="5" t="inlineStr">
        <is>
          <t>어린이집</t>
        </is>
      </c>
      <c r="C1336" s="5" t="inlineStr">
        <is>
          <t>민간</t>
        </is>
      </c>
      <c r="D1336" s="5" t="inlineStr">
        <is>
          <t>수영구</t>
        </is>
      </c>
      <c r="E1336" s="5" t="inlineStr">
        <is>
          <t>부산광역시 수영구 좌수영로 192   관리동</t>
        </is>
      </c>
      <c r="F1336" s="5" t="inlineStr"/>
      <c r="G1336" s="5" t="inlineStr">
        <is>
          <t>051-754-2232</t>
        </is>
      </c>
      <c r="H1336" s="12">
        <f>어린이집!T957</f>
        <v/>
      </c>
      <c r="I1336" s="5" t="inlineStr">
        <is>
          <t>만0세 5 / 만1세 10 / 만2세 13 / 기타(연령구분 없음) 5</t>
        </is>
      </c>
    </row>
    <row r="1337">
      <c r="A1337" s="5" t="inlineStr">
        <is>
          <t>장한어린이집</t>
        </is>
      </c>
      <c r="B1337" s="5" t="inlineStr">
        <is>
          <t>어린이집</t>
        </is>
      </c>
      <c r="C1337" s="5" t="inlineStr">
        <is>
          <t>민간</t>
        </is>
      </c>
      <c r="D1337" s="5" t="inlineStr">
        <is>
          <t>수영구</t>
        </is>
      </c>
      <c r="E1337" s="5" t="inlineStr">
        <is>
          <t>부산광역시 수영구 광일로20번길 38 (광안동)</t>
        </is>
      </c>
      <c r="F1337" s="11" t="inlineStr">
        <is>
          <t>http://cafe.daum.net/0517520866</t>
        </is>
      </c>
      <c r="G1337" s="5" t="inlineStr">
        <is>
          <t>051-752-0866</t>
        </is>
      </c>
      <c r="H1337" s="12">
        <f>어린이집!T958</f>
        <v/>
      </c>
      <c r="I1337" s="5" t="inlineStr">
        <is>
          <t>장애아반(특수) 30</t>
        </is>
      </c>
    </row>
    <row r="1338">
      <c r="A1338" s="5" t="inlineStr">
        <is>
          <t>정다운어린이집</t>
        </is>
      </c>
      <c r="B1338" s="5" t="inlineStr">
        <is>
          <t>어린이집</t>
        </is>
      </c>
      <c r="C1338" s="5" t="inlineStr">
        <is>
          <t>민간</t>
        </is>
      </c>
      <c r="D1338" s="5" t="inlineStr">
        <is>
          <t>수영구</t>
        </is>
      </c>
      <c r="E1338" s="5" t="inlineStr">
        <is>
          <t>부산광역시 수영구 장대골로52번길 5 (광안동)</t>
        </is>
      </c>
      <c r="F1338" s="5" t="inlineStr"/>
      <c r="G1338" s="5" t="inlineStr">
        <is>
          <t>051-752-3133</t>
        </is>
      </c>
      <c r="H1338" s="12">
        <f>어린이집!T959</f>
        <v/>
      </c>
      <c r="I1338" s="5" t="inlineStr">
        <is>
          <t>만1세 4 / 만2세 5 / 만3세 4 / 기타(연령구분 없음) 4</t>
        </is>
      </c>
    </row>
    <row r="1339">
      <c r="A1339" s="5" t="inlineStr">
        <is>
          <t>좋은강안어린이집</t>
        </is>
      </c>
      <c r="B1339" s="5" t="inlineStr">
        <is>
          <t>어린이집</t>
        </is>
      </c>
      <c r="C1339" s="5" t="inlineStr">
        <is>
          <t>직장</t>
        </is>
      </c>
      <c r="D1339" s="5" t="inlineStr">
        <is>
          <t>수영구</t>
        </is>
      </c>
      <c r="E1339" s="5" t="inlineStr">
        <is>
          <t>부산광역시 수영구 수영로 493 좋은강안병원</t>
        </is>
      </c>
      <c r="F1339" s="5" t="inlineStr"/>
      <c r="G1339" s="5" t="inlineStr">
        <is>
          <t>051-610-9966</t>
        </is>
      </c>
      <c r="H1339" s="12">
        <f>어린이집!T960</f>
        <v/>
      </c>
      <c r="I1339" s="5" t="inlineStr">
        <is>
          <t>영아혼합반 7</t>
        </is>
      </c>
    </row>
    <row r="1340">
      <c r="A1340" s="5" t="inlineStr">
        <is>
          <t>참조은어린이집</t>
        </is>
      </c>
      <c r="B1340" s="5" t="inlineStr">
        <is>
          <t>어린이집</t>
        </is>
      </c>
      <c r="C1340" s="5" t="inlineStr">
        <is>
          <t>가정</t>
        </is>
      </c>
      <c r="D1340" s="5" t="inlineStr">
        <is>
          <t>수영구</t>
        </is>
      </c>
      <c r="E1340" s="5" t="inlineStr">
        <is>
          <t>부산광역시 수영구 광안로21번가길 12-1</t>
        </is>
      </c>
      <c r="F1340" s="5" t="inlineStr"/>
      <c r="G1340" s="5" t="inlineStr">
        <is>
          <t>051-755-2426</t>
        </is>
      </c>
      <c r="H1340" s="12">
        <f>어린이집!T961</f>
        <v/>
      </c>
      <c r="I1340" s="5" t="inlineStr">
        <is>
          <t>만0세 2 / 영아혼합반 7 / 기타(연령구분 없음) 3</t>
        </is>
      </c>
    </row>
    <row r="1341">
      <c r="A1341" s="5" t="inlineStr">
        <is>
          <t>초예어린이집</t>
        </is>
      </c>
      <c r="B1341" s="5" t="inlineStr">
        <is>
          <t>어린이집</t>
        </is>
      </c>
      <c r="C1341" s="5" t="inlineStr">
        <is>
          <t>민간</t>
        </is>
      </c>
      <c r="D1341" s="5" t="inlineStr">
        <is>
          <t>수영구</t>
        </is>
      </c>
      <c r="E1341" s="5" t="inlineStr">
        <is>
          <t>부산광역시 수영구 광일로29번길 16 (광안동)</t>
        </is>
      </c>
      <c r="F1341" s="5" t="inlineStr"/>
      <c r="G1341" s="5" t="inlineStr">
        <is>
          <t>051-756-5631</t>
        </is>
      </c>
      <c r="H1341" s="12">
        <f>어린이집!T962</f>
        <v/>
      </c>
      <c r="I1341" s="5" t="inlineStr">
        <is>
          <t>만0세 8 / 만1세 15 / 만2세 13 / 기타(연령구분 없음) 8</t>
        </is>
      </c>
    </row>
    <row r="1342">
      <c r="A1342" s="5" t="inlineStr">
        <is>
          <t>코오롱하늘채어린이집</t>
        </is>
      </c>
      <c r="B1342" s="5" t="inlineStr">
        <is>
          <t>어린이집</t>
        </is>
      </c>
      <c r="C1342" s="5" t="inlineStr">
        <is>
          <t>민간</t>
        </is>
      </c>
      <c r="D1342" s="5" t="inlineStr">
        <is>
          <t>수영구</t>
        </is>
      </c>
      <c r="E1342" s="5" t="inlineStr">
        <is>
          <t>부산광역시 수영구 남천동로 41 코오롱하늘채골든비치  단지내 관리동</t>
        </is>
      </c>
      <c r="F1342" s="5" t="inlineStr"/>
      <c r="G1342" s="5" t="inlineStr">
        <is>
          <t>051-626-0087</t>
        </is>
      </c>
      <c r="H1342" s="12">
        <f>어린이집!T963</f>
        <v/>
      </c>
      <c r="I1342" s="5" t="inlineStr">
        <is>
          <t>만0세 9 / 만1세 15 / 만2세 12 / 영아혼합반 3</t>
        </is>
      </c>
    </row>
    <row r="1343">
      <c r="A1343" s="5" t="inlineStr">
        <is>
          <t>푸르지오어린이집</t>
        </is>
      </c>
      <c r="B1343" s="5" t="inlineStr">
        <is>
          <t>어린이집</t>
        </is>
      </c>
      <c r="C1343" s="5" t="inlineStr">
        <is>
          <t>민간</t>
        </is>
      </c>
      <c r="D1343" s="5" t="inlineStr">
        <is>
          <t>수영구</t>
        </is>
      </c>
      <c r="E1343" s="5" t="inlineStr">
        <is>
          <t>부산광역시 수영구 광안해변로 418</t>
        </is>
      </c>
      <c r="F1343" s="5" t="inlineStr"/>
      <c r="G1343" s="5" t="inlineStr">
        <is>
          <t>051-757-5986</t>
        </is>
      </c>
      <c r="H1343" s="12">
        <f>어린이집!T964</f>
        <v/>
      </c>
      <c r="I1343" s="5" t="inlineStr">
        <is>
          <t>만0세 8 / 만1세 5 / 만2세 13 / 영아혼합반 4 / 기타(연령구분 없음) 10</t>
        </is>
      </c>
    </row>
    <row r="1344">
      <c r="A1344" s="5" t="inlineStr">
        <is>
          <t>하늘바다어린이집</t>
        </is>
      </c>
      <c r="B1344" s="5" t="inlineStr">
        <is>
          <t>어린이집</t>
        </is>
      </c>
      <c r="C1344" s="5" t="inlineStr">
        <is>
          <t>가정</t>
        </is>
      </c>
      <c r="D1344" s="5" t="inlineStr">
        <is>
          <t>수영구</t>
        </is>
      </c>
      <c r="E1344" s="5" t="inlineStr">
        <is>
          <t>부산광역시 수영구 수영로741번길 38 205동 1층(수영동, 수영협성르네상스타운)</t>
        </is>
      </c>
      <c r="F1344" s="5" t="inlineStr"/>
      <c r="G1344" s="5" t="inlineStr">
        <is>
          <t>051-761-2999</t>
        </is>
      </c>
      <c r="H1344" s="12">
        <f>어린이집!T965</f>
        <v/>
      </c>
      <c r="I1344" s="5" t="inlineStr">
        <is>
          <t>만0세 5 / 만1세 5 / 만2세 5 / 기타(연령구분 없음) 5</t>
        </is>
      </c>
    </row>
    <row r="1345">
      <c r="A1345" s="5" t="inlineStr">
        <is>
          <t>한솔어린이집</t>
        </is>
      </c>
      <c r="B1345" s="5" t="inlineStr">
        <is>
          <t>어린이집</t>
        </is>
      </c>
      <c r="C1345" s="5" t="inlineStr">
        <is>
          <t>가정</t>
        </is>
      </c>
      <c r="D1345" s="5" t="inlineStr">
        <is>
          <t>수영구</t>
        </is>
      </c>
      <c r="E1345" s="5" t="inlineStr">
        <is>
          <t>부산광역시 수영구 수영로540번길 66 해변빌라 102호 (광안동)</t>
        </is>
      </c>
      <c r="F1345" s="11" t="inlineStr">
        <is>
          <t>http://cafe.daum.net/hansol/7516048</t>
        </is>
      </c>
      <c r="G1345" s="5" t="inlineStr">
        <is>
          <t>051-751-6048</t>
        </is>
      </c>
      <c r="H1345" s="12">
        <f>어린이집!T966</f>
        <v/>
      </c>
      <c r="I1345" s="5" t="inlineStr">
        <is>
          <t>만0세 5 / 만1세 5 / 영아혼합반 8 / 기타(연령구분 없음) 5</t>
        </is>
      </c>
    </row>
    <row r="1346">
      <c r="A1346" s="5" t="inlineStr">
        <is>
          <t>함박어린이집</t>
        </is>
      </c>
      <c r="B1346" s="5" t="inlineStr">
        <is>
          <t>어린이집</t>
        </is>
      </c>
      <c r="C1346" s="5" t="inlineStr">
        <is>
          <t>국공립</t>
        </is>
      </c>
      <c r="D1346" s="5" t="inlineStr">
        <is>
          <t>수영구</t>
        </is>
      </c>
      <c r="E1346" s="5" t="inlineStr">
        <is>
          <t>부산광역시 수영구 연수로275번길 30</t>
        </is>
      </c>
      <c r="F1346" s="5" t="inlineStr"/>
      <c r="G1346" s="5" t="inlineStr">
        <is>
          <t>051-752-4377</t>
        </is>
      </c>
      <c r="H1346" s="12">
        <f>어린이집!T967</f>
        <v/>
      </c>
      <c r="I1346" s="5" t="inlineStr">
        <is>
          <t>만0세 9 / 만1세 16 / 만2세 11 / 기타(연령구분 없음) 5</t>
        </is>
      </c>
    </row>
    <row r="1347">
      <c r="A1347" s="5" t="inlineStr">
        <is>
          <t>혜승어린이집</t>
        </is>
      </c>
      <c r="B1347" s="5" t="inlineStr">
        <is>
          <t>어린이집</t>
        </is>
      </c>
      <c r="C1347" s="5" t="inlineStr">
        <is>
          <t>사회복지법인</t>
        </is>
      </c>
      <c r="D1347" s="5" t="inlineStr">
        <is>
          <t>수영구</t>
        </is>
      </c>
      <c r="E1347" s="5" t="inlineStr">
        <is>
          <t>부산광역시 수영구 과정로91번가길 10-8</t>
        </is>
      </c>
      <c r="F1347" s="11" t="inlineStr">
        <is>
          <t>https://instagram.com/hyeseung2294?igshid=YmMyMTA2M2Y=</t>
        </is>
      </c>
      <c r="G1347" s="5" t="inlineStr">
        <is>
          <t>051-758-2294</t>
        </is>
      </c>
      <c r="H1347" s="12">
        <f>어린이집!T968</f>
        <v/>
      </c>
      <c r="I1347" s="5" t="inlineStr">
        <is>
          <t>만0세 5 / 만1세 8 / 만2세 6 / 유아혼합반 13 / 기타(연령구분 없음) 7</t>
        </is>
      </c>
    </row>
    <row r="1348">
      <c r="A1348" s="5" t="inlineStr">
        <is>
          <t>ABC어린이집</t>
        </is>
      </c>
      <c r="B1348" s="5" t="inlineStr">
        <is>
          <t>어린이집</t>
        </is>
      </c>
      <c r="C1348" s="5" t="inlineStr">
        <is>
          <t>민간</t>
        </is>
      </c>
      <c r="D1348" s="5" t="inlineStr">
        <is>
          <t>연제구</t>
        </is>
      </c>
      <c r="E1348" s="5" t="inlineStr">
        <is>
          <t>부산광역시 연제구 월드컵대로165번길 51 (연산동)</t>
        </is>
      </c>
      <c r="F1348" s="11" t="inlineStr">
        <is>
          <t>http://http//cafe.daum.net/7942abc</t>
        </is>
      </c>
      <c r="G1348" s="5" t="inlineStr">
        <is>
          <t>051-851-0978</t>
        </is>
      </c>
      <c r="H1348" s="12">
        <f>어린이집!T969</f>
        <v/>
      </c>
      <c r="I1348" s="5" t="inlineStr">
        <is>
          <t>만0세 12 / 만1세 14 / 만2세 20 / 만3세 11 / 유아혼합반 17 / 기타(연령구분 없음) 5</t>
        </is>
      </c>
    </row>
    <row r="1349">
      <c r="A1349" s="5" t="inlineStr">
        <is>
          <t>LG토현영아전담어린이집</t>
        </is>
      </c>
      <c r="B1349" s="5" t="inlineStr">
        <is>
          <t>어린이집</t>
        </is>
      </c>
      <c r="C1349" s="5" t="inlineStr">
        <is>
          <t>가정</t>
        </is>
      </c>
      <c r="D1349" s="5" t="inlineStr">
        <is>
          <t>연제구</t>
        </is>
      </c>
      <c r="E1349" s="5" t="inlineStr">
        <is>
          <t>부산광역시 연제구 고분로 200 103동 101호(연산동, 연산엘지아파트)</t>
        </is>
      </c>
      <c r="F1349" s="5" t="inlineStr"/>
      <c r="G1349" s="5" t="inlineStr">
        <is>
          <t>051-755-2120</t>
        </is>
      </c>
      <c r="H1349" s="12">
        <f>어린이집!T970</f>
        <v/>
      </c>
      <c r="I1349" s="5" t="inlineStr">
        <is>
          <t>만0세 2 / 만2세 4 / 영아혼합반 4 / 기타(연령구분 없음) 2</t>
        </is>
      </c>
    </row>
    <row r="1350">
      <c r="A1350" s="5" t="inlineStr">
        <is>
          <t>거제드림어린이집</t>
        </is>
      </c>
      <c r="B1350" s="5" t="inlineStr">
        <is>
          <t>어린이집</t>
        </is>
      </c>
      <c r="C1350" s="5" t="inlineStr">
        <is>
          <t>법인·단체등</t>
        </is>
      </c>
      <c r="D1350" s="5" t="inlineStr">
        <is>
          <t>연제구</t>
        </is>
      </c>
      <c r="E1350" s="5" t="inlineStr">
        <is>
          <t>부산광역시 연제구 아시아드대로 12 (거제동)</t>
        </is>
      </c>
      <c r="F1350" s="11" t="inlineStr">
        <is>
          <t>https://cafe.daum.net/geojedreamkid</t>
        </is>
      </c>
      <c r="G1350" s="5" t="inlineStr">
        <is>
          <t>051-503-0113</t>
        </is>
      </c>
      <c r="H1350" s="12">
        <f>어린이집!T971</f>
        <v/>
      </c>
      <c r="I1350" s="5" t="inlineStr">
        <is>
          <t>만1세 15 / 만2세 20 / 만3세 14 / 만4세 16 / 만5세 16 / 기타(연령구분 없음) 19</t>
        </is>
      </c>
    </row>
    <row r="1351">
      <c r="A1351" s="5" t="inlineStr">
        <is>
          <t>꿈나무영재어린이집</t>
        </is>
      </c>
      <c r="B1351" s="5" t="inlineStr">
        <is>
          <t>어린이집</t>
        </is>
      </c>
      <c r="C1351" s="5" t="inlineStr">
        <is>
          <t>민간</t>
        </is>
      </c>
      <c r="D1351" s="5" t="inlineStr">
        <is>
          <t>연제구</t>
        </is>
      </c>
      <c r="E1351" s="5" t="inlineStr">
        <is>
          <t>부산광역시 연제구 대리로22번길 8 (연산동)</t>
        </is>
      </c>
      <c r="F1351" s="5" t="inlineStr"/>
      <c r="G1351" s="5" t="inlineStr">
        <is>
          <t>051-865-0542</t>
        </is>
      </c>
      <c r="H1351" s="12">
        <f>어린이집!T972</f>
        <v/>
      </c>
      <c r="I1351" s="5" t="inlineStr">
        <is>
          <t>만0세 16 / 만1세 14 / 만2세 16 / 기타(연령구분 없음) 9</t>
        </is>
      </c>
    </row>
    <row r="1352">
      <c r="A1352" s="5" t="inlineStr">
        <is>
          <t>대양어린이집</t>
        </is>
      </c>
      <c r="B1352" s="5" t="inlineStr">
        <is>
          <t>어린이집</t>
        </is>
      </c>
      <c r="C1352" s="5" t="inlineStr">
        <is>
          <t>민간</t>
        </is>
      </c>
      <c r="D1352" s="5" t="inlineStr">
        <is>
          <t>연제구</t>
        </is>
      </c>
      <c r="E1352" s="5" t="inlineStr">
        <is>
          <t>부산광역시 연제구 안연로8번길 88 (연산동)</t>
        </is>
      </c>
      <c r="F1352" s="5" t="inlineStr"/>
      <c r="G1352" s="5" t="inlineStr">
        <is>
          <t>051-759-9974</t>
        </is>
      </c>
      <c r="H1352" s="12">
        <f>어린이집!T973</f>
        <v/>
      </c>
      <c r="I1352" s="5" t="inlineStr">
        <is>
          <t>만0세 9 / 만1세 7 / 만2세 14 / 만3세 9 / 유아혼합반 17 / 기타(연령구분 없음) 4</t>
        </is>
      </c>
    </row>
    <row r="1353">
      <c r="A1353" s="5" t="inlineStr">
        <is>
          <t>더샵파크시티어린이집</t>
        </is>
      </c>
      <c r="B1353" s="5" t="inlineStr">
        <is>
          <t>어린이집</t>
        </is>
      </c>
      <c r="C1353" s="5" t="inlineStr">
        <is>
          <t>민간</t>
        </is>
      </c>
      <c r="D1353" s="5" t="inlineStr">
        <is>
          <t>연제구</t>
        </is>
      </c>
      <c r="E1353" s="5" t="inlineStr">
        <is>
          <t>부산광역시 연제구 안연로 33 106동(연산동, 더샵파크시티아파트)</t>
        </is>
      </c>
      <c r="F1353" s="5" t="inlineStr"/>
      <c r="G1353" s="5" t="inlineStr">
        <is>
          <t>051-862-7004</t>
        </is>
      </c>
      <c r="H1353" s="12">
        <f>어린이집!T974</f>
        <v/>
      </c>
      <c r="I1353" s="5" t="inlineStr">
        <is>
          <t>만0세 9 / 만1세 40 / 만2세 41 / 만3세 15 / 기타(연령구분 없음) 13</t>
        </is>
      </c>
    </row>
    <row r="1354">
      <c r="A1354" s="5" t="inlineStr">
        <is>
          <t>디즈니영아전담어린이집</t>
        </is>
      </c>
      <c r="B1354" s="5" t="inlineStr">
        <is>
          <t>어린이집</t>
        </is>
      </c>
      <c r="C1354" s="5" t="inlineStr">
        <is>
          <t>가정</t>
        </is>
      </c>
      <c r="D1354" s="5" t="inlineStr">
        <is>
          <t>연제구</t>
        </is>
      </c>
      <c r="E1354" s="5" t="inlineStr">
        <is>
          <t>부산광역시 연제구 해맞이로 23 112동 103호(거제동, 거제유림아시아드아파트)</t>
        </is>
      </c>
      <c r="F1354" s="11" t="inlineStr">
        <is>
          <t>http://cafe.daum.net/5042234</t>
        </is>
      </c>
      <c r="G1354" s="5" t="inlineStr">
        <is>
          <t>051-504-2234</t>
        </is>
      </c>
      <c r="H1354" s="12">
        <f>어린이집!T975</f>
        <v/>
      </c>
      <c r="I1354" s="5" t="inlineStr">
        <is>
          <t>만0세 6 / 만1세 4 / 만2세 6 / 영아혼합반 2 / 기타(연령구분 없음) 3</t>
        </is>
      </c>
    </row>
    <row r="1355">
      <c r="A1355" s="5" t="inlineStr">
        <is>
          <t>레이카운티4단지어린이집</t>
        </is>
      </c>
      <c r="B1355" s="5" t="inlineStr">
        <is>
          <t>어린이집</t>
        </is>
      </c>
      <c r="C1355" s="5" t="inlineStr">
        <is>
          <t>민간</t>
        </is>
      </c>
      <c r="D1355" s="5" t="inlineStr">
        <is>
          <t>연제구</t>
        </is>
      </c>
      <c r="E1355" s="5" t="inlineStr">
        <is>
          <t>부산광역시 연제구 아시아드대로 39 레이카운티아파트 4단지 관리동</t>
        </is>
      </c>
      <c r="F1355" s="5" t="inlineStr"/>
      <c r="G1355" s="5" t="inlineStr">
        <is>
          <t>051-506-2578</t>
        </is>
      </c>
      <c r="H1355" s="12">
        <f>어린이집!T976</f>
        <v/>
      </c>
      <c r="I1355" s="5" t="inlineStr">
        <is>
          <t>만0세 30 / 만1세 24 / 만2세 7 / 기타(연령구분 없음) 10</t>
        </is>
      </c>
    </row>
    <row r="1356">
      <c r="A1356" s="5" t="inlineStr">
        <is>
          <t>레이카운티5단지어린이집</t>
        </is>
      </c>
      <c r="B1356" s="5" t="inlineStr">
        <is>
          <t>어린이집</t>
        </is>
      </c>
      <c r="C1356" s="5" t="inlineStr">
        <is>
          <t>민간</t>
        </is>
      </c>
      <c r="D1356" s="5" t="inlineStr">
        <is>
          <t>연제구</t>
        </is>
      </c>
      <c r="E1356" s="5" t="inlineStr">
        <is>
          <t>부산광역시 연제구 아시아드대로 39 레이카운티아파트 5단지 관리동</t>
        </is>
      </c>
      <c r="F1356" s="5" t="inlineStr"/>
      <c r="G1356" s="5" t="inlineStr">
        <is>
          <t>051-927-5932</t>
        </is>
      </c>
      <c r="H1356" s="12">
        <f>어린이집!T977</f>
        <v/>
      </c>
      <c r="I1356" s="5" t="inlineStr">
        <is>
          <t>만0세 15 / 만1세 15 / 영아혼합반 23 / 유아혼합반 8 / 기타(연령구분 없음) 5</t>
        </is>
      </c>
    </row>
    <row r="1357">
      <c r="A1357" s="5" t="inlineStr">
        <is>
          <t>롯데캐슬어린이집</t>
        </is>
      </c>
      <c r="B1357" s="5" t="inlineStr">
        <is>
          <t>어린이집</t>
        </is>
      </c>
      <c r="C1357" s="5" t="inlineStr">
        <is>
          <t>민간</t>
        </is>
      </c>
      <c r="D1357" s="5" t="inlineStr">
        <is>
          <t>연제구</t>
        </is>
      </c>
      <c r="E1357" s="5" t="inlineStr">
        <is>
          <t>부산광역시 연제구 세병로 44 관리동 1층</t>
        </is>
      </c>
      <c r="F1357" s="5" t="inlineStr"/>
      <c r="G1357" s="5" t="inlineStr">
        <is>
          <t>051-863-0510</t>
        </is>
      </c>
      <c r="H1357" s="12">
        <f>어린이집!T978</f>
        <v/>
      </c>
      <c r="I1357" s="5" t="inlineStr">
        <is>
          <t>만0세 3 / 영아혼합반 3</t>
        </is>
      </c>
    </row>
    <row r="1358">
      <c r="A1358" s="5" t="inlineStr">
        <is>
          <t>메르빌아이어린이집</t>
        </is>
      </c>
      <c r="B1358" s="5" t="inlineStr">
        <is>
          <t>어린이집</t>
        </is>
      </c>
      <c r="C1358" s="5" t="inlineStr">
        <is>
          <t>민간</t>
        </is>
      </c>
      <c r="D1358" s="5" t="inlineStr">
        <is>
          <t>연제구</t>
        </is>
      </c>
      <c r="E1358" s="5" t="inlineStr">
        <is>
          <t>부산광역시 연제구 연수로 110 (연산동, 연산 경동메르빌아파트)</t>
        </is>
      </c>
      <c r="F1358" s="5" t="inlineStr"/>
      <c r="G1358" s="5" t="inlineStr">
        <is>
          <t>051-868-8006</t>
        </is>
      </c>
      <c r="H1358" s="12">
        <f>어린이집!T979</f>
        <v/>
      </c>
      <c r="I1358" s="5" t="inlineStr">
        <is>
          <t>만0세 6 / 만1세 20 / 만2세 20 / 기타(연령구분 없음) 10</t>
        </is>
      </c>
    </row>
    <row r="1359">
      <c r="A1359" s="5" t="inlineStr">
        <is>
          <t>미라주어린이집</t>
        </is>
      </c>
      <c r="B1359" s="5" t="inlineStr">
        <is>
          <t>어린이집</t>
        </is>
      </c>
      <c r="C1359" s="5" t="inlineStr">
        <is>
          <t>민간</t>
        </is>
      </c>
      <c r="D1359" s="5" t="inlineStr">
        <is>
          <t>연제구</t>
        </is>
      </c>
      <c r="E1359" s="5" t="inlineStr">
        <is>
          <t>부산광역시 연제구 반송로 80 113동 1층 (연산동, 일동미라주더스타)</t>
        </is>
      </c>
      <c r="F1359" s="5" t="inlineStr"/>
      <c r="G1359" s="5" t="inlineStr">
        <is>
          <t>051-867-4233</t>
        </is>
      </c>
      <c r="H1359" s="12">
        <f>어린이집!T980</f>
        <v/>
      </c>
      <c r="I1359" s="5" t="inlineStr">
        <is>
          <t>만0세 12 / 만1세 15 / 만2세 14 / 영아혼합반 8 / 기타(연령구분 없음) 5</t>
        </is>
      </c>
    </row>
    <row r="1360">
      <c r="A1360" s="5" t="inlineStr">
        <is>
          <t>백합어린이집</t>
        </is>
      </c>
      <c r="B1360" s="5" t="inlineStr">
        <is>
          <t>어린이집</t>
        </is>
      </c>
      <c r="C1360" s="5" t="inlineStr">
        <is>
          <t>사회복지법인</t>
        </is>
      </c>
      <c r="D1360" s="5" t="inlineStr">
        <is>
          <t>연제구</t>
        </is>
      </c>
      <c r="E1360" s="5" t="inlineStr">
        <is>
          <t>부산광역시 연제구 과정로260번길 27-1 (연산동)</t>
        </is>
      </c>
      <c r="F1360" s="11" t="inlineStr">
        <is>
          <t>http://cafe.naver.com/baghapdaycarecenter</t>
        </is>
      </c>
      <c r="G1360" s="5" t="inlineStr">
        <is>
          <t>051-851-5008</t>
        </is>
      </c>
      <c r="H1360" s="12">
        <f>어린이집!T981</f>
        <v/>
      </c>
      <c r="I1360" s="5" t="inlineStr">
        <is>
          <t>만0세 6 / 만1세 10 / 만2세 13 / 영아혼합반 3 / 유아혼합반 9</t>
        </is>
      </c>
    </row>
    <row r="1361">
      <c r="A1361" s="5" t="inlineStr">
        <is>
          <t>벧엘어린이집</t>
        </is>
      </c>
      <c r="B1361" s="5" t="inlineStr">
        <is>
          <t>어린이집</t>
        </is>
      </c>
      <c r="C1361" s="5" t="inlineStr">
        <is>
          <t>가정</t>
        </is>
      </c>
      <c r="D1361" s="5" t="inlineStr">
        <is>
          <t>연제구</t>
        </is>
      </c>
      <c r="E1361" s="5" t="inlineStr">
        <is>
          <t>부산광역시 연제구 월드컵대로165번길 74 (연산동)</t>
        </is>
      </c>
      <c r="F1361" s="5" t="inlineStr"/>
      <c r="G1361" s="5" t="inlineStr">
        <is>
          <t>051-866-8493</t>
        </is>
      </c>
      <c r="H1361" s="12">
        <f>어린이집!T982</f>
        <v/>
      </c>
      <c r="I1361" s="5" t="inlineStr">
        <is>
          <t>만0세 4 / 만1세 5 / 만2세 5 / 영아혼합반 2 / 기타(연령구분 없음) 5</t>
        </is>
      </c>
    </row>
    <row r="1362">
      <c r="A1362" s="5" t="inlineStr">
        <is>
          <t>부산 하나금융 공동직장어린이집</t>
        </is>
      </c>
      <c r="B1362" s="5" t="inlineStr">
        <is>
          <t>어린이집</t>
        </is>
      </c>
      <c r="C1362" s="5" t="inlineStr">
        <is>
          <t>직장</t>
        </is>
      </c>
      <c r="D1362" s="5" t="inlineStr">
        <is>
          <t>연제구</t>
        </is>
      </c>
      <c r="E1362" s="5" t="inlineStr">
        <is>
          <t>부산광역시 연제구 반송로 10 2층</t>
        </is>
      </c>
      <c r="F1362" s="5" t="inlineStr"/>
      <c r="G1362" s="5" t="inlineStr">
        <is>
          <t>051-852-9372</t>
        </is>
      </c>
      <c r="H1362" s="12">
        <f>어린이집!T983</f>
        <v/>
      </c>
      <c r="I1362" s="5" t="inlineStr">
        <is>
          <t>만1세 6 / 만2세 12 / 만3세 6 / 유아혼합반 7 / 기타(연령구분 없음) 27</t>
        </is>
      </c>
    </row>
    <row r="1363">
      <c r="A1363" s="5" t="inlineStr">
        <is>
          <t>부산검찰어린이집</t>
        </is>
      </c>
      <c r="B1363" s="5" t="inlineStr">
        <is>
          <t>어린이집</t>
        </is>
      </c>
      <c r="C1363" s="5" t="inlineStr">
        <is>
          <t>직장</t>
        </is>
      </c>
      <c r="D1363" s="5" t="inlineStr">
        <is>
          <t>연제구</t>
        </is>
      </c>
      <c r="E1363" s="5" t="inlineStr">
        <is>
          <t>부산광역시 연제구 법원로 15 (거제동)</t>
        </is>
      </c>
      <c r="F1363" s="5" t="inlineStr"/>
      <c r="G1363" s="5" t="inlineStr">
        <is>
          <t>051-506-8860</t>
        </is>
      </c>
      <c r="H1363" s="12">
        <f>어린이집!T984</f>
        <v/>
      </c>
      <c r="I1363" s="5" t="inlineStr">
        <is>
          <t>만1세 9 / 만2세 14 / 만3세 10 / 만4세 7 / 만5세 16 / 기타(연령구분 없음) 37</t>
        </is>
      </c>
    </row>
    <row r="1364">
      <c r="A1364" s="5" t="inlineStr">
        <is>
          <t>부산광역시곰두리어린이집</t>
        </is>
      </c>
      <c r="B1364" s="5" t="inlineStr">
        <is>
          <t>어린이집</t>
        </is>
      </c>
      <c r="C1364" s="5" t="inlineStr">
        <is>
          <t>국공립</t>
        </is>
      </c>
      <c r="D1364" s="5" t="inlineStr">
        <is>
          <t>연제구</t>
        </is>
      </c>
      <c r="E1364" s="5" t="inlineStr">
        <is>
          <t>부산광역시 연제구 중앙대로1150번길 15 부산광역시장애인종합복지관 3층 (연산동)</t>
        </is>
      </c>
      <c r="F1364" s="5" t="inlineStr"/>
      <c r="G1364" s="5" t="inlineStr">
        <is>
          <t>051-790-6440</t>
        </is>
      </c>
      <c r="H1364" s="12">
        <f>어린이집!T985</f>
        <v/>
      </c>
      <c r="I1364" s="5" t="inlineStr">
        <is>
          <t>장애아반(특수) 33</t>
        </is>
      </c>
    </row>
    <row r="1365">
      <c r="A1365" s="5" t="inlineStr">
        <is>
          <t>부산법원어린이집</t>
        </is>
      </c>
      <c r="B1365" s="5" t="inlineStr">
        <is>
          <t>어린이집</t>
        </is>
      </c>
      <c r="C1365" s="5" t="inlineStr">
        <is>
          <t>직장</t>
        </is>
      </c>
      <c r="D1365" s="5" t="inlineStr">
        <is>
          <t>연제구</t>
        </is>
      </c>
      <c r="E1365" s="5" t="inlineStr">
        <is>
          <t>부산광역시 연제구 법원로 31 (거제동)</t>
        </is>
      </c>
      <c r="F1365" s="11" t="inlineStr">
        <is>
          <t>http://www.ecocourtchild.or.kr</t>
        </is>
      </c>
      <c r="G1365" s="5" t="inlineStr">
        <is>
          <t>051-501-3357</t>
        </is>
      </c>
      <c r="H1365" s="12">
        <f>어린이집!T986</f>
        <v/>
      </c>
      <c r="I1365" s="5" t="inlineStr">
        <is>
          <t>만1세 6 / 만2세 11 / 만3세 11 / 만4세 16 / 만5세 8 / 영아혼합반 7 / 기타(연령구분 없음) 48</t>
        </is>
      </c>
    </row>
    <row r="1366">
      <c r="A1366" s="5" t="inlineStr">
        <is>
          <t>부산의료원어린이집</t>
        </is>
      </c>
      <c r="B1366" s="5" t="inlineStr">
        <is>
          <t>어린이집</t>
        </is>
      </c>
      <c r="C1366" s="5" t="inlineStr">
        <is>
          <t>직장</t>
        </is>
      </c>
      <c r="D1366" s="5" t="inlineStr">
        <is>
          <t>연제구</t>
        </is>
      </c>
      <c r="E1366" s="5" t="inlineStr">
        <is>
          <t>부산광역시 연제구 월드컵대로 359 (거제동) 부산광역시의료원</t>
        </is>
      </c>
      <c r="F1366" s="5" t="inlineStr"/>
      <c r="G1366" s="5" t="inlineStr">
        <is>
          <t>051-607-2553</t>
        </is>
      </c>
      <c r="H1366" s="12">
        <f>어린이집!T987</f>
        <v/>
      </c>
      <c r="I1366" s="5" t="inlineStr">
        <is>
          <t>만0세 6 / 영아혼합반 10 / 유아혼합반 5 / 기타(연령구분 없음) 15</t>
        </is>
      </c>
    </row>
    <row r="1367">
      <c r="A1367" s="5" t="inlineStr">
        <is>
          <t>부산지방국세청 우리누리어린이집</t>
        </is>
      </c>
      <c r="B1367" s="5" t="inlineStr">
        <is>
          <t>어린이집</t>
        </is>
      </c>
      <c r="C1367" s="5" t="inlineStr">
        <is>
          <t>직장</t>
        </is>
      </c>
      <c r="D1367" s="5" t="inlineStr">
        <is>
          <t>연제구</t>
        </is>
      </c>
      <c r="E1367" s="5" t="inlineStr">
        <is>
          <t>부산광역시 연제구 연제로 12 부산지방국세청 1층</t>
        </is>
      </c>
      <c r="F1367" s="5" t="inlineStr"/>
      <c r="G1367" s="5" t="inlineStr">
        <is>
          <t>051-759-8814</t>
        </is>
      </c>
      <c r="H1367" s="12">
        <f>어린이집!T988</f>
        <v/>
      </c>
      <c r="I1367" s="5" t="inlineStr">
        <is>
          <t>만0세 6 / 만1세 5 / 만2세 6 / 기타(연령구분 없음) 1</t>
        </is>
      </c>
    </row>
    <row r="1368">
      <c r="A1368" s="5" t="inlineStr">
        <is>
          <t>센텀리버마리별어린이집</t>
        </is>
      </c>
      <c r="B1368" s="5" t="inlineStr">
        <is>
          <t>어린이집</t>
        </is>
      </c>
      <c r="C1368" s="5" t="inlineStr">
        <is>
          <t>민간</t>
        </is>
      </c>
      <c r="D1368" s="5" t="inlineStr">
        <is>
          <t>연제구</t>
        </is>
      </c>
      <c r="E1368" s="5" t="inlineStr">
        <is>
          <t>부산광역시 연제구 좌수영로 225 203동(연산동 센텀리버 SK VIEW 아파트)</t>
        </is>
      </c>
      <c r="F1368" s="5" t="inlineStr"/>
      <c r="G1368" s="5" t="inlineStr">
        <is>
          <t>051-755-3598</t>
        </is>
      </c>
      <c r="H1368" s="12">
        <f>어린이집!T989</f>
        <v/>
      </c>
      <c r="I1368" s="5" t="inlineStr">
        <is>
          <t>만0세 11 / 만1세 20 / 만2세 14 / 기타(연령구분 없음) 3</t>
        </is>
      </c>
    </row>
    <row r="1369">
      <c r="A1369" s="5" t="inlineStr">
        <is>
          <t>센트럴어린이집</t>
        </is>
      </c>
      <c r="B1369" s="5" t="inlineStr">
        <is>
          <t>어린이집</t>
        </is>
      </c>
      <c r="C1369" s="5" t="inlineStr">
        <is>
          <t>민간</t>
        </is>
      </c>
      <c r="D1369" s="5" t="inlineStr">
        <is>
          <t>연제구</t>
        </is>
      </c>
      <c r="E1369" s="5" t="inlineStr">
        <is>
          <t>부산광역시 연제구 중앙천로 81-12 102동 1층 관리동</t>
        </is>
      </c>
      <c r="F1369" s="5" t="inlineStr"/>
      <c r="G1369" s="5" t="inlineStr">
        <is>
          <t>051-911-3967</t>
        </is>
      </c>
      <c r="H1369" s="12">
        <f>어린이집!T990</f>
        <v/>
      </c>
      <c r="I1369" s="5" t="inlineStr">
        <is>
          <t>만0세 6 / 만1세 20 / 만2세 8 / 기타(연령구분 없음) 3</t>
        </is>
      </c>
    </row>
    <row r="1370">
      <c r="A1370" s="5" t="inlineStr">
        <is>
          <t>소담어린이집</t>
        </is>
      </c>
      <c r="B1370" s="5" t="inlineStr">
        <is>
          <t>어린이집</t>
        </is>
      </c>
      <c r="C1370" s="5" t="inlineStr">
        <is>
          <t>민간</t>
        </is>
      </c>
      <c r="D1370" s="5" t="inlineStr">
        <is>
          <t>연제구</t>
        </is>
      </c>
      <c r="E1370" s="5" t="inlineStr">
        <is>
          <t>부산광역시 연제구 배산북로 22 (연산동)</t>
        </is>
      </c>
      <c r="F1370" s="5" t="inlineStr"/>
      <c r="G1370" s="5" t="inlineStr">
        <is>
          <t>051-867-8403</t>
        </is>
      </c>
      <c r="H1370" s="12">
        <f>어린이집!T991</f>
        <v/>
      </c>
      <c r="I1370" s="5" t="inlineStr">
        <is>
          <t>만0세 3 / 만2세 14 / 만3세 7 / 영아혼합반 3 / 유아혼합반 12 / 기타(연령구분 없음) 10</t>
        </is>
      </c>
    </row>
    <row r="1371">
      <c r="A1371" s="5" t="inlineStr">
        <is>
          <t>쌍용해랑어린이집</t>
        </is>
      </c>
      <c r="B1371" s="5" t="inlineStr">
        <is>
          <t>어린이집</t>
        </is>
      </c>
      <c r="C1371" s="5" t="inlineStr">
        <is>
          <t>민간</t>
        </is>
      </c>
      <c r="D1371" s="5" t="inlineStr">
        <is>
          <t>연제구</t>
        </is>
      </c>
      <c r="E1371" s="5" t="inlineStr">
        <is>
          <t>부산광역시 연제구 법원북로 13 관리동(거제동, 쌍용스윗닷홈아파트)</t>
        </is>
      </c>
      <c r="F1371" s="5" t="inlineStr"/>
      <c r="G1371" s="5" t="inlineStr">
        <is>
          <t>051-507-1162</t>
        </is>
      </c>
      <c r="H1371" s="12">
        <f>어린이집!T992</f>
        <v/>
      </c>
      <c r="I1371" s="5" t="inlineStr">
        <is>
          <t>만0세 5 / 만1세 8 / 만2세 7 / 기타(연령구분 없음) 6</t>
        </is>
      </c>
    </row>
    <row r="1372">
      <c r="A1372" s="5" t="inlineStr">
        <is>
          <t>연산꿈꾸는어린이집</t>
        </is>
      </c>
      <c r="B1372" s="5" t="inlineStr">
        <is>
          <t>어린이집</t>
        </is>
      </c>
      <c r="C1372" s="5" t="inlineStr">
        <is>
          <t>가정</t>
        </is>
      </c>
      <c r="D1372" s="5" t="inlineStr">
        <is>
          <t>연제구</t>
        </is>
      </c>
      <c r="E1372" s="5" t="inlineStr">
        <is>
          <t>부산광역시 연제구 진남로 607</t>
        </is>
      </c>
      <c r="F1372" s="5" t="inlineStr"/>
      <c r="G1372" s="5" t="inlineStr">
        <is>
          <t>051-868-3592</t>
        </is>
      </c>
      <c r="H1372" s="12">
        <f>어린이집!T993</f>
        <v/>
      </c>
      <c r="I1372" s="5" t="inlineStr">
        <is>
          <t>만0세 8 / 만1세 5 / 영아혼합반 4 / 기타(연령구분 없음) 2</t>
        </is>
      </c>
    </row>
    <row r="1373">
      <c r="A1373" s="5" t="inlineStr">
        <is>
          <t>연산꿈나래어린이집</t>
        </is>
      </c>
      <c r="B1373" s="5" t="inlineStr">
        <is>
          <t>어린이집</t>
        </is>
      </c>
      <c r="C1373" s="5" t="inlineStr">
        <is>
          <t>민간</t>
        </is>
      </c>
      <c r="D1373" s="5" t="inlineStr">
        <is>
          <t>연제구</t>
        </is>
      </c>
      <c r="E1373" s="5" t="inlineStr">
        <is>
          <t>부산광역시 연제구 고분로55번길 11 (연산동)</t>
        </is>
      </c>
      <c r="F1373" s="5" t="inlineStr"/>
      <c r="G1373" s="5" t="inlineStr">
        <is>
          <t>051-851-1158</t>
        </is>
      </c>
      <c r="H1373" s="12">
        <f>어린이집!T994</f>
        <v/>
      </c>
      <c r="I1373" s="5" t="inlineStr">
        <is>
          <t>만0세 1 / 영아혼합반 3 / 유아혼합반 5 / 기타(연령구분 없음) 5</t>
        </is>
      </c>
    </row>
    <row r="1374">
      <c r="A1374" s="5" t="inlineStr">
        <is>
          <t>연산자이어린이집</t>
        </is>
      </c>
      <c r="B1374" s="5" t="inlineStr">
        <is>
          <t>어린이집</t>
        </is>
      </c>
      <c r="C1374" s="5" t="inlineStr">
        <is>
          <t>민간</t>
        </is>
      </c>
      <c r="D1374" s="5" t="inlineStr">
        <is>
          <t>연제구</t>
        </is>
      </c>
      <c r="E1374" s="5" t="inlineStr">
        <is>
          <t>부산광역시 연제구 과정로343번길 43 119동 1층(연산동, 연산자이)</t>
        </is>
      </c>
      <c r="F1374" s="5" t="inlineStr"/>
      <c r="G1374" s="5" t="inlineStr">
        <is>
          <t>051-853-3396</t>
        </is>
      </c>
      <c r="H1374" s="12">
        <f>어린이집!T995</f>
        <v/>
      </c>
      <c r="I1374" s="5" t="inlineStr">
        <is>
          <t>만0세 9 / 만1세 15 / 만2세 20 / 기타(연령구분 없음) 4</t>
        </is>
      </c>
    </row>
    <row r="1375">
      <c r="A1375" s="5" t="inlineStr">
        <is>
          <t>연산하늘채어린이집</t>
        </is>
      </c>
      <c r="B1375" s="5" t="inlineStr">
        <is>
          <t>어린이집</t>
        </is>
      </c>
      <c r="C1375" s="5" t="inlineStr">
        <is>
          <t>민간</t>
        </is>
      </c>
      <c r="D1375" s="5" t="inlineStr">
        <is>
          <t>연제구</t>
        </is>
      </c>
      <c r="E1375" s="5" t="inlineStr">
        <is>
          <t>부산광역시 연제구 세병로 7 연산하늘채엘센트로아파트 101동 1층</t>
        </is>
      </c>
      <c r="F1375" s="5" t="inlineStr"/>
      <c r="G1375" s="5" t="inlineStr">
        <is>
          <t>051-861-4184</t>
        </is>
      </c>
      <c r="H1375" s="12">
        <f>어린이집!T996</f>
        <v/>
      </c>
      <c r="I1375" s="5" t="inlineStr">
        <is>
          <t>만0세 12 / 만1세 10 / 만2세 12 / 기타(연령구분 없음) 7</t>
        </is>
      </c>
    </row>
    <row r="1376">
      <c r="A1376" s="5" t="inlineStr">
        <is>
          <t>연서어린이집</t>
        </is>
      </c>
      <c r="B1376" s="5" t="inlineStr">
        <is>
          <t>어린이집</t>
        </is>
      </c>
      <c r="C1376" s="5" t="inlineStr">
        <is>
          <t>민간</t>
        </is>
      </c>
      <c r="D1376" s="5" t="inlineStr">
        <is>
          <t>연제구</t>
        </is>
      </c>
      <c r="E1376" s="5" t="inlineStr">
        <is>
          <t>부산광역시 연제구 세병로 10-4</t>
        </is>
      </c>
      <c r="F1376" s="5" t="inlineStr"/>
      <c r="G1376" s="5" t="inlineStr">
        <is>
          <t>051-861-4184</t>
        </is>
      </c>
      <c r="H1376" s="12">
        <f>어린이집!T997</f>
        <v/>
      </c>
      <c r="I1376" s="5" t="inlineStr"/>
    </row>
    <row r="1377">
      <c r="A1377" s="5" t="inlineStr">
        <is>
          <t>연제구거제센트럴자이어린이집</t>
        </is>
      </c>
      <c r="B1377" s="5" t="inlineStr">
        <is>
          <t>어린이집</t>
        </is>
      </c>
      <c r="C1377" s="5" t="inlineStr">
        <is>
          <t>국공립</t>
        </is>
      </c>
      <c r="D1377" s="5" t="inlineStr">
        <is>
          <t>연제구</t>
        </is>
      </c>
      <c r="E1377" s="5" t="inlineStr">
        <is>
          <t>부산광역시 연제구 법원북로 93 거제센트럴자이아파트</t>
        </is>
      </c>
      <c r="F1377" s="11" t="inlineStr">
        <is>
          <t>https://cafe.daum.net/GeojeCentralCH</t>
        </is>
      </c>
      <c r="G1377" s="5" t="inlineStr">
        <is>
          <t>051-501-1155</t>
        </is>
      </c>
      <c r="H1377" s="12">
        <f>어린이집!T998</f>
        <v/>
      </c>
      <c r="I1377" s="5" t="inlineStr">
        <is>
          <t>만0세 6 / 만1세 20 / 만2세 20 / 기타(연령구분 없음) 13</t>
        </is>
      </c>
    </row>
    <row r="1378">
      <c r="A1378" s="5" t="inlineStr">
        <is>
          <t>연제구둥지어린이집</t>
        </is>
      </c>
      <c r="B1378" s="5" t="inlineStr">
        <is>
          <t>어린이집</t>
        </is>
      </c>
      <c r="C1378" s="5" t="inlineStr">
        <is>
          <t>국공립</t>
        </is>
      </c>
      <c r="D1378" s="5" t="inlineStr">
        <is>
          <t>연제구</t>
        </is>
      </c>
      <c r="E1378" s="5" t="inlineStr">
        <is>
          <t>부산광역시 연제구 거제대로124번길 22 (거제동)</t>
        </is>
      </c>
      <c r="F1378" s="11" t="inlineStr">
        <is>
          <t>https://youtu.be/dnivk-4E0gs?si=tAY4lt2DBL24amsj</t>
        </is>
      </c>
      <c r="G1378" s="5" t="inlineStr">
        <is>
          <t>051-503-6395</t>
        </is>
      </c>
      <c r="H1378" s="12">
        <f>어린이집!T999</f>
        <v/>
      </c>
      <c r="I1378" s="5" t="inlineStr">
        <is>
          <t>만1세 9 / 만2세 14 / 만3세 9 / 유아혼합반 16 / 기타(연령구분 없음) 5</t>
        </is>
      </c>
    </row>
    <row r="1379">
      <c r="A1379" s="5" t="inlineStr">
        <is>
          <t>연제구레이카운티1단지어린이집</t>
        </is>
      </c>
      <c r="B1379" s="5" t="inlineStr">
        <is>
          <t>어린이집</t>
        </is>
      </c>
      <c r="C1379" s="5" t="inlineStr">
        <is>
          <t>국공립</t>
        </is>
      </c>
      <c r="D1379" s="5" t="inlineStr">
        <is>
          <t>연제구</t>
        </is>
      </c>
      <c r="E1379" s="5" t="inlineStr">
        <is>
          <t>부산광역시 연제구 아시아드대로 39</t>
        </is>
      </c>
      <c r="F1379" s="5" t="inlineStr"/>
      <c r="G1379" s="5" t="inlineStr">
        <is>
          <t>051-921-1004</t>
        </is>
      </c>
      <c r="H1379" s="12">
        <f>어린이집!T1000</f>
        <v/>
      </c>
      <c r="I1379" s="5" t="inlineStr">
        <is>
          <t>만0세 5 / 만1세 20 / 만2세 26 / 만3세 17 / 만4세 12 / 만5세 16 / 기타(연령구분 없음) 25</t>
        </is>
      </c>
    </row>
    <row r="1380">
      <c r="A1380" s="5" t="inlineStr">
        <is>
          <t>연제구레이카운티2단지어린이집</t>
        </is>
      </c>
      <c r="B1380" s="5" t="inlineStr">
        <is>
          <t>어린이집</t>
        </is>
      </c>
      <c r="C1380" s="5" t="inlineStr">
        <is>
          <t>국공립</t>
        </is>
      </c>
      <c r="D1380" s="5" t="inlineStr">
        <is>
          <t>연제구</t>
        </is>
      </c>
      <c r="E1380" s="5" t="inlineStr">
        <is>
          <t>부산광역시 연제구 아시아드대로 39 레이카운티2단지아파트</t>
        </is>
      </c>
      <c r="F1380" s="5" t="inlineStr"/>
      <c r="G1380" s="5" t="inlineStr">
        <is>
          <t>051-987-7773</t>
        </is>
      </c>
      <c r="H1380" s="12">
        <f>어린이집!T1001</f>
        <v/>
      </c>
      <c r="I1380" s="5" t="inlineStr">
        <is>
          <t>만1세 20 / 만2세 28 / 만3세 13 / 만4세 11 / 만5세 13 / 기타(연령구분 없음) 54</t>
        </is>
      </c>
    </row>
    <row r="1381">
      <c r="A1381" s="5" t="inlineStr">
        <is>
          <t>연제구레이카운티3단지어린이집</t>
        </is>
      </c>
      <c r="B1381" s="5" t="inlineStr">
        <is>
          <t>어린이집</t>
        </is>
      </c>
      <c r="C1381" s="5" t="inlineStr">
        <is>
          <t>국공립</t>
        </is>
      </c>
      <c r="D1381" s="5" t="inlineStr">
        <is>
          <t>연제구</t>
        </is>
      </c>
      <c r="E1381" s="5" t="inlineStr">
        <is>
          <t>부산광역시 연제구 아시아드대로 39 레이카운티3단지아파트</t>
        </is>
      </c>
      <c r="F1381" s="5" t="inlineStr"/>
      <c r="G1381" s="5" t="inlineStr">
        <is>
          <t>051-916-1401</t>
        </is>
      </c>
      <c r="H1381" s="12">
        <f>어린이집!T1002</f>
        <v/>
      </c>
      <c r="I1381" s="5" t="inlineStr">
        <is>
          <t>만0세 5 / 만1세 20 / 만2세 21 / 만3세 17 / 만4세 14 / 유아혼합반 9 / 장애아반(특수) 3 / 기타(연령구분 없음) 20</t>
        </is>
      </c>
    </row>
    <row r="1382">
      <c r="A1382" s="5" t="inlineStr">
        <is>
          <t>연제구롯데캐슬골드포레어린이집</t>
        </is>
      </c>
      <c r="B1382" s="5" t="inlineStr">
        <is>
          <t>어린이집</t>
        </is>
      </c>
      <c r="C1382" s="5" t="inlineStr">
        <is>
          <t>국공립</t>
        </is>
      </c>
      <c r="D1382" s="5" t="inlineStr">
        <is>
          <t>연제구</t>
        </is>
      </c>
      <c r="E1382" s="5" t="inlineStr">
        <is>
          <t>부산광역시 연제구 황령산로 615 롯데캐슬골드포레아파트</t>
        </is>
      </c>
      <c r="F1382" s="11" t="inlineStr">
        <is>
          <t>http://cafe.daum.net/goldfore</t>
        </is>
      </c>
      <c r="G1382" s="5" t="inlineStr">
        <is>
          <t>051-851-5375</t>
        </is>
      </c>
      <c r="H1382" s="12">
        <f>어린이집!T1003</f>
        <v/>
      </c>
      <c r="I1382" s="5" t="inlineStr">
        <is>
          <t>만1세 15 / 만2세 18 / 만3세 14 / 만4세 14 / 만5세 15 / 장애아반(특수) 3 / 기타(연령구분 없음) 10</t>
        </is>
      </c>
    </row>
    <row r="1383">
      <c r="A1383" s="5" t="inlineStr">
        <is>
          <t>연제구롯데캐슬앤데시앙어린이집</t>
        </is>
      </c>
      <c r="B1383" s="5" t="inlineStr">
        <is>
          <t>어린이집</t>
        </is>
      </c>
      <c r="C1383" s="5" t="inlineStr">
        <is>
          <t>국공립</t>
        </is>
      </c>
      <c r="D1383" s="5" t="inlineStr">
        <is>
          <t>연제구</t>
        </is>
      </c>
      <c r="E1383" s="5" t="inlineStr">
        <is>
          <t>부산광역시 연제구 월드컵대로 55 연산동, 연제롯데캐슬앤데시앙</t>
        </is>
      </c>
      <c r="F1383" s="5" t="inlineStr"/>
      <c r="G1383" s="5" t="inlineStr">
        <is>
          <t>051-853-1880</t>
        </is>
      </c>
      <c r="H1383" s="12">
        <f>어린이집!T1004</f>
        <v/>
      </c>
      <c r="I1383" s="5" t="inlineStr">
        <is>
          <t>만0세 5 / 만1세 28 / 만2세 24 / 기타(연령구분 없음) 8</t>
        </is>
      </c>
    </row>
    <row r="1384">
      <c r="A1384" s="5" t="inlineStr">
        <is>
          <t>연제구브라운스톤연제어린이집</t>
        </is>
      </c>
      <c r="B1384" s="5" t="inlineStr">
        <is>
          <t>어린이집</t>
        </is>
      </c>
      <c r="C1384" s="5" t="inlineStr">
        <is>
          <t>국공립</t>
        </is>
      </c>
      <c r="D1384" s="5" t="inlineStr">
        <is>
          <t>연제구</t>
        </is>
      </c>
      <c r="E1384" s="5" t="inlineStr">
        <is>
          <t>부산광역시 연제구 연제로8번길 29</t>
        </is>
      </c>
      <c r="F1384" s="11" t="inlineStr">
        <is>
          <t>http://brownstoneyj@daum.net</t>
        </is>
      </c>
      <c r="G1384" s="5" t="inlineStr">
        <is>
          <t>051-851-0301</t>
        </is>
      </c>
      <c r="H1384" s="12">
        <f>어린이집!T1005</f>
        <v/>
      </c>
      <c r="I1384" s="5" t="inlineStr">
        <is>
          <t>만0세 4 / 만1세 13 / 만2세 19 / 기타(연령구분 없음) 9</t>
        </is>
      </c>
    </row>
    <row r="1385">
      <c r="A1385" s="5" t="inlineStr">
        <is>
          <t>연제구비스타동원어린이집</t>
        </is>
      </c>
      <c r="B1385" s="5" t="inlineStr">
        <is>
          <t>어린이집</t>
        </is>
      </c>
      <c r="C1385" s="5" t="inlineStr">
        <is>
          <t>국공립</t>
        </is>
      </c>
      <c r="D1385" s="5" t="inlineStr">
        <is>
          <t>연제구</t>
        </is>
      </c>
      <c r="E1385" s="5" t="inlineStr">
        <is>
          <t>부산광역시 연제구 연제로 30 시청역 비스타동원</t>
        </is>
      </c>
      <c r="F1385" s="5" t="inlineStr"/>
      <c r="G1385" s="5" t="inlineStr">
        <is>
          <t>051-851-5200</t>
        </is>
      </c>
      <c r="H1385" s="12">
        <f>어린이집!T1006</f>
        <v/>
      </c>
      <c r="I1385" s="5" t="inlineStr">
        <is>
          <t>만0세 6 / 만1세 20 / 만2세 21 / 기타(연령구분 없음) 6</t>
        </is>
      </c>
    </row>
    <row r="1386">
      <c r="A1386" s="5" t="inlineStr">
        <is>
          <t>연제구쌍용거제아시아드어린이집</t>
        </is>
      </c>
      <c r="B1386" s="5" t="inlineStr">
        <is>
          <t>어린이집</t>
        </is>
      </c>
      <c r="C1386" s="5" t="inlineStr">
        <is>
          <t>국공립</t>
        </is>
      </c>
      <c r="D1386" s="5" t="inlineStr">
        <is>
          <t>연제구</t>
        </is>
      </c>
      <c r="E1386" s="5" t="inlineStr">
        <is>
          <t>부산광역시 연제구 아시아드대로 7 쌍용더플래티넘거제아시아드아파트</t>
        </is>
      </c>
      <c r="F1386" s="5" t="inlineStr"/>
      <c r="G1386" s="5" t="inlineStr">
        <is>
          <t>051-501-5505</t>
        </is>
      </c>
      <c r="H1386" s="12">
        <f>어린이집!T1007</f>
        <v/>
      </c>
      <c r="I1386" s="5" t="inlineStr">
        <is>
          <t>만0세 6 / 만1세 9 / 만2세 14 / 만3세 10 / 기타(연령구분 없음) 18</t>
        </is>
      </c>
    </row>
    <row r="1387">
      <c r="A1387" s="5" t="inlineStr">
        <is>
          <t>연제구연산더샵어린이집</t>
        </is>
      </c>
      <c r="B1387" s="5" t="inlineStr">
        <is>
          <t>어린이집</t>
        </is>
      </c>
      <c r="C1387" s="5" t="inlineStr">
        <is>
          <t>국공립</t>
        </is>
      </c>
      <c r="D1387" s="5" t="inlineStr">
        <is>
          <t>연제구</t>
        </is>
      </c>
      <c r="E1387" s="5" t="inlineStr">
        <is>
          <t>부산광역시 연제구 연수로 130 (연산동, 연산더샵)</t>
        </is>
      </c>
      <c r="F1387" s="5" t="inlineStr"/>
      <c r="G1387" s="5" t="inlineStr">
        <is>
          <t>051-932-0011</t>
        </is>
      </c>
      <c r="H1387" s="12">
        <f>어린이집!T1008</f>
        <v/>
      </c>
      <c r="I1387" s="5" t="inlineStr">
        <is>
          <t>만1세 15 / 만2세 21 / 만3세 22 / 만4세 10 / 기타(연령구분 없음) 20</t>
        </is>
      </c>
    </row>
    <row r="1388">
      <c r="A1388" s="5" t="inlineStr">
        <is>
          <t>연제구연산복지관어린이집</t>
        </is>
      </c>
      <c r="B1388" s="5" t="inlineStr">
        <is>
          <t>어린이집</t>
        </is>
      </c>
      <c r="C1388" s="5" t="inlineStr">
        <is>
          <t>국공립</t>
        </is>
      </c>
      <c r="D1388" s="5" t="inlineStr">
        <is>
          <t>연제구</t>
        </is>
      </c>
      <c r="E1388" s="5" t="inlineStr">
        <is>
          <t>부산광역시 연제구 봉수로 17</t>
        </is>
      </c>
      <c r="F1388" s="11" t="inlineStr">
        <is>
          <t>https://cafe.naver.com/wv12</t>
        </is>
      </c>
      <c r="G1388" s="5" t="inlineStr">
        <is>
          <t>051-864-8363</t>
        </is>
      </c>
      <c r="H1388" s="12">
        <f>어린이집!T1009</f>
        <v/>
      </c>
      <c r="I1388" s="5" t="inlineStr">
        <is>
          <t>만1세 10 / 만2세 13 / 유아혼합반 14 / 장애아반(특수) 4 / 기타(연령구분 없음) 13</t>
        </is>
      </c>
    </row>
    <row r="1389">
      <c r="A1389" s="5" t="inlineStr">
        <is>
          <t>연제구연산서희어린이집</t>
        </is>
      </c>
      <c r="B1389" s="5" t="inlineStr">
        <is>
          <t>어린이집</t>
        </is>
      </c>
      <c r="C1389" s="5" t="inlineStr">
        <is>
          <t>국공립</t>
        </is>
      </c>
      <c r="D1389" s="5" t="inlineStr">
        <is>
          <t>연제구</t>
        </is>
      </c>
      <c r="E1389" s="5" t="inlineStr">
        <is>
          <t>부산광역시 연제구 묘봉산로 30 연산포레서희스타힐스아파트 내</t>
        </is>
      </c>
      <c r="F1389" s="5" t="inlineStr"/>
      <c r="G1389" s="5" t="inlineStr">
        <is>
          <t>051-868-3310</t>
        </is>
      </c>
      <c r="H1389" s="12">
        <f>어린이집!T1010</f>
        <v/>
      </c>
      <c r="I1389" s="5" t="inlineStr">
        <is>
          <t>만0세 5 / 만1세 10 / 만2세 14 / 영아혼합반 10 / 유아혼합반 8 / 기타(연령구분 없음) 16</t>
        </is>
      </c>
    </row>
    <row r="1390">
      <c r="A1390" s="5" t="inlineStr">
        <is>
          <t>연제구연산어린이집</t>
        </is>
      </c>
      <c r="B1390" s="5" t="inlineStr">
        <is>
          <t>어린이집</t>
        </is>
      </c>
      <c r="C1390" s="5" t="inlineStr">
        <is>
          <t>국공립</t>
        </is>
      </c>
      <c r="D1390" s="5" t="inlineStr">
        <is>
          <t>연제구</t>
        </is>
      </c>
      <c r="E1390" s="5" t="inlineStr">
        <is>
          <t>부산광역시 연제구 고분로20번길 84 (연산동)</t>
        </is>
      </c>
      <c r="F1390" s="5" t="inlineStr"/>
      <c r="G1390" s="5" t="inlineStr">
        <is>
          <t>051-861-0017</t>
        </is>
      </c>
      <c r="H1390" s="12">
        <f>어린이집!T1011</f>
        <v/>
      </c>
      <c r="I1390" s="5" t="inlineStr">
        <is>
          <t>만0세 8 / 만1세 15 / 만2세 12 / 기타(연령구분 없음) 5</t>
        </is>
      </c>
    </row>
    <row r="1391">
      <c r="A1391" s="5" t="inlineStr">
        <is>
          <t>연제구연산이편한어린이집</t>
        </is>
      </c>
      <c r="B1391" s="5" t="inlineStr">
        <is>
          <t>어린이집</t>
        </is>
      </c>
      <c r="C1391" s="5" t="inlineStr">
        <is>
          <t>국공립</t>
        </is>
      </c>
      <c r="D1391" s="5" t="inlineStr">
        <is>
          <t>연제구</t>
        </is>
      </c>
      <c r="E1391" s="5" t="inlineStr">
        <is>
          <t>부산광역시 연제구 반송로 40</t>
        </is>
      </c>
      <c r="F1391" s="5" t="inlineStr"/>
      <c r="G1391" s="5" t="inlineStr">
        <is>
          <t>051-864-7979</t>
        </is>
      </c>
      <c r="H1391" s="12">
        <f>어린이집!T1012</f>
        <v/>
      </c>
      <c r="I1391" s="5" t="inlineStr">
        <is>
          <t>만0세 6 / 만1세 14 / 만2세 13 / 기타(연령구분 없음) 5</t>
        </is>
      </c>
    </row>
    <row r="1392">
      <c r="A1392" s="5" t="inlineStr">
        <is>
          <t>연제구연아어린이집</t>
        </is>
      </c>
      <c r="B1392" s="5" t="inlineStr">
        <is>
          <t>어린이집</t>
        </is>
      </c>
      <c r="C1392" s="5" t="inlineStr">
        <is>
          <t>국공립</t>
        </is>
      </c>
      <c r="D1392" s="5" t="inlineStr">
        <is>
          <t>연제구</t>
        </is>
      </c>
      <c r="E1392" s="5" t="inlineStr">
        <is>
          <t>부산광역시 연제구 토곡남로20번길 9 연제구연아어린이집</t>
        </is>
      </c>
      <c r="F1392" s="5" t="inlineStr"/>
      <c r="G1392" s="5" t="inlineStr">
        <is>
          <t>051-759-6128</t>
        </is>
      </c>
      <c r="H1392" s="12">
        <f>어린이집!T1013</f>
        <v/>
      </c>
      <c r="I1392" s="5" t="inlineStr">
        <is>
          <t>만0세 9 / 만1세 13 / 만2세 13 / 유아혼합반 10 / 장애아반(특수) 3 / 기타(연령구분 없음) 5</t>
        </is>
      </c>
    </row>
    <row r="1393">
      <c r="A1393" s="5" t="inlineStr">
        <is>
          <t>연제구예랑어린이집</t>
        </is>
      </c>
      <c r="B1393" s="5" t="inlineStr">
        <is>
          <t>어린이집</t>
        </is>
      </c>
      <c r="C1393" s="5" t="inlineStr">
        <is>
          <t>국공립</t>
        </is>
      </c>
      <c r="D1393" s="5" t="inlineStr">
        <is>
          <t>연제구</t>
        </is>
      </c>
      <c r="E1393" s="5" t="inlineStr">
        <is>
          <t>부산광역시 연제구 과정로132번길 44-1 예랑어린이집</t>
        </is>
      </c>
      <c r="F1393" s="5" t="inlineStr"/>
      <c r="G1393" s="5" t="inlineStr">
        <is>
          <t>051-751-1063</t>
        </is>
      </c>
      <c r="H1393" s="12">
        <f>어린이집!T1014</f>
        <v/>
      </c>
      <c r="I1393" s="5" t="inlineStr">
        <is>
          <t>만0세 7 / 만1세 8 / 만2세 6 / 유아혼합반 9 / 장애아반(특수) 3 / 기타(연령구분 없음) 3</t>
        </is>
      </c>
    </row>
    <row r="1394">
      <c r="A1394" s="5" t="inlineStr">
        <is>
          <t>연제구진선미어린이집</t>
        </is>
      </c>
      <c r="B1394" s="5" t="inlineStr">
        <is>
          <t>어린이집</t>
        </is>
      </c>
      <c r="C1394" s="5" t="inlineStr">
        <is>
          <t>국공립</t>
        </is>
      </c>
      <c r="D1394" s="5" t="inlineStr">
        <is>
          <t>연제구</t>
        </is>
      </c>
      <c r="E1394" s="5" t="inlineStr">
        <is>
          <t>부산광역시 연제구 쌍미천로125번길 11 진선미 어린이집 (연산동)</t>
        </is>
      </c>
      <c r="F1394" s="5" t="inlineStr"/>
      <c r="G1394" s="5" t="inlineStr">
        <is>
          <t>051-862-5467</t>
        </is>
      </c>
      <c r="H1394" s="12">
        <f>어린이집!T1015</f>
        <v/>
      </c>
      <c r="I1394" s="5" t="inlineStr">
        <is>
          <t>만0세 13 / 만1세 9 / 영아혼합반 10 / 기타(연령구분 없음) 2</t>
        </is>
      </c>
    </row>
    <row r="1395">
      <c r="A1395" s="5" t="inlineStr">
        <is>
          <t>연제구키즈레일거제역어린이집</t>
        </is>
      </c>
      <c r="B1395" s="5" t="inlineStr">
        <is>
          <t>어린이집</t>
        </is>
      </c>
      <c r="C1395" s="5" t="inlineStr">
        <is>
          <t>국공립</t>
        </is>
      </c>
      <c r="D1395" s="5" t="inlineStr">
        <is>
          <t>연제구</t>
        </is>
      </c>
      <c r="E1395" s="5" t="inlineStr">
        <is>
          <t>부산광역시 연제구 법원남로9번길 17-1</t>
        </is>
      </c>
      <c r="F1395" s="5" t="inlineStr"/>
      <c r="G1395" s="5" t="inlineStr">
        <is>
          <t>051-852-0748</t>
        </is>
      </c>
      <c r="H1395" s="12">
        <f>어린이집!T1016</f>
        <v/>
      </c>
      <c r="I1395" s="5" t="inlineStr">
        <is>
          <t>만0세 6 / 만1세 10 / 만2세 11 / 기타(연령구분 없음) 5</t>
        </is>
      </c>
    </row>
    <row r="1396">
      <c r="A1396" s="5" t="inlineStr">
        <is>
          <t>연제구항도어린이집</t>
        </is>
      </c>
      <c r="B1396" s="5" t="inlineStr">
        <is>
          <t>어린이집</t>
        </is>
      </c>
      <c r="C1396" s="5" t="inlineStr">
        <is>
          <t>국공립</t>
        </is>
      </c>
      <c r="D1396" s="5" t="inlineStr">
        <is>
          <t>연제구</t>
        </is>
      </c>
      <c r="E1396" s="5" t="inlineStr">
        <is>
          <t>부산광역시 연제구 연제로8번길 92 (연산동)</t>
        </is>
      </c>
      <c r="F1396" s="11" t="inlineStr">
        <is>
          <t>http://8665166@daum.net</t>
        </is>
      </c>
      <c r="G1396" s="5" t="inlineStr">
        <is>
          <t>051-852-5195</t>
        </is>
      </c>
      <c r="H1396" s="12">
        <f>어린이집!T1017</f>
        <v/>
      </c>
      <c r="I1396" s="5" t="inlineStr">
        <is>
          <t>만2세 7 / 만3세 14 / 영아혼합반 16 / 유아혼합반 13 / 기타(연령구분 없음) 11</t>
        </is>
      </c>
    </row>
    <row r="1397">
      <c r="A1397" s="5" t="inlineStr">
        <is>
          <t>연제구햇살어린이집</t>
        </is>
      </c>
      <c r="B1397" s="5" t="inlineStr">
        <is>
          <t>어린이집</t>
        </is>
      </c>
      <c r="C1397" s="5" t="inlineStr">
        <is>
          <t>국공립</t>
        </is>
      </c>
      <c r="D1397" s="5" t="inlineStr">
        <is>
          <t>연제구</t>
        </is>
      </c>
      <c r="E1397" s="5" t="inlineStr">
        <is>
          <t>부산광역시 연제구 고분로248번길 55 55(연산동)</t>
        </is>
      </c>
      <c r="F1397" s="5" t="inlineStr"/>
      <c r="G1397" s="5" t="inlineStr">
        <is>
          <t>051-755-0025</t>
        </is>
      </c>
      <c r="H1397" s="12">
        <f>어린이집!T1018</f>
        <v/>
      </c>
      <c r="I1397" s="5" t="inlineStr">
        <is>
          <t>만0세 6 / 만1세 4 / 만2세 10 / 기타(연령구분 없음) 3</t>
        </is>
      </c>
    </row>
    <row r="1398">
      <c r="A1398" s="5" t="inlineStr">
        <is>
          <t>연제구행복어린이집</t>
        </is>
      </c>
      <c r="B1398" s="5" t="inlineStr">
        <is>
          <t>어린이집</t>
        </is>
      </c>
      <c r="C1398" s="5" t="inlineStr">
        <is>
          <t>국공립</t>
        </is>
      </c>
      <c r="D1398" s="5" t="inlineStr">
        <is>
          <t>연제구</t>
        </is>
      </c>
      <c r="E1398" s="5" t="inlineStr">
        <is>
          <t>부산광역시 연제구 중앙대로1038번길 40 시청앞 행복주택 204동</t>
        </is>
      </c>
      <c r="F1398" s="5" t="inlineStr"/>
      <c r="G1398" s="5" t="inlineStr">
        <is>
          <t>051-862-5505</t>
        </is>
      </c>
      <c r="H1398" s="12">
        <f>어린이집!T1019</f>
        <v/>
      </c>
      <c r="I1398" s="5" t="inlineStr">
        <is>
          <t>만0세 3 / 만1세 13 / 만2세 14 / 유아혼합반 13 / 기타(연령구분 없음) 18</t>
        </is>
      </c>
    </row>
    <row r="1399">
      <c r="A1399" s="5" t="inlineStr">
        <is>
          <t>연제구현대동심어린이집</t>
        </is>
      </c>
      <c r="B1399" s="5" t="inlineStr">
        <is>
          <t>어린이집</t>
        </is>
      </c>
      <c r="C1399" s="5" t="inlineStr">
        <is>
          <t>국공립</t>
        </is>
      </c>
      <c r="D1399" s="5" t="inlineStr">
        <is>
          <t>연제구</t>
        </is>
      </c>
      <c r="E1399" s="5" t="inlineStr">
        <is>
          <t>부산광역시 연제구 법원북로 34 관리동</t>
        </is>
      </c>
      <c r="F1399" s="5" t="inlineStr"/>
      <c r="G1399" s="5" t="inlineStr">
        <is>
          <t>051-505-2926</t>
        </is>
      </c>
      <c r="H1399" s="12">
        <f>어린이집!T1020</f>
        <v/>
      </c>
      <c r="I1399" s="5" t="inlineStr">
        <is>
          <t>만0세 6 / 만1세 11 / 만2세 7 / 기타(연령구분 없음) 7</t>
        </is>
      </c>
    </row>
    <row r="1400">
      <c r="A1400" s="5" t="inlineStr">
        <is>
          <t>연제구힐스테이트연산어린이집</t>
        </is>
      </c>
      <c r="B1400" s="5" t="inlineStr">
        <is>
          <t>어린이집</t>
        </is>
      </c>
      <c r="C1400" s="5" t="inlineStr">
        <is>
          <t>국공립</t>
        </is>
      </c>
      <c r="D1400" s="5" t="inlineStr">
        <is>
          <t>연제구</t>
        </is>
      </c>
      <c r="E1400" s="5" t="inlineStr">
        <is>
          <t>부산광역시 연제구 봉수로 25</t>
        </is>
      </c>
      <c r="F1400" s="5" t="inlineStr"/>
      <c r="G1400" s="5" t="inlineStr">
        <is>
          <t>051-867-8867</t>
        </is>
      </c>
      <c r="H1400" s="12">
        <f>어린이집!T1021</f>
        <v/>
      </c>
      <c r="I1400" s="5" t="inlineStr">
        <is>
          <t>만0세 5 / 만1세 20 / 만2세 15 / 기타(연령구분 없음) 5</t>
        </is>
      </c>
    </row>
    <row r="1401">
      <c r="A1401" s="5" t="inlineStr">
        <is>
          <t>연제어린이집</t>
        </is>
      </c>
      <c r="B1401" s="5" t="inlineStr">
        <is>
          <t>어린이집</t>
        </is>
      </c>
      <c r="C1401" s="5" t="inlineStr">
        <is>
          <t>직장</t>
        </is>
      </c>
      <c r="D1401" s="5" t="inlineStr">
        <is>
          <t>연제구</t>
        </is>
      </c>
      <c r="E1401" s="5" t="inlineStr">
        <is>
          <t>부산광역시 연제구 중앙천로19번길 20</t>
        </is>
      </c>
      <c r="F1401" s="5" t="inlineStr"/>
      <c r="G1401" s="5" t="inlineStr">
        <is>
          <t>051-989-1001</t>
        </is>
      </c>
      <c r="H1401" s="12">
        <f>어린이집!T1022</f>
        <v/>
      </c>
      <c r="I1401" s="5" t="inlineStr">
        <is>
          <t>만1세 4 / 만2세 5 / 만3세 5 / 유아혼합반 7 / 기타(연령구분 없음) 5</t>
        </is>
      </c>
    </row>
    <row r="1402">
      <c r="A1402" s="5" t="inlineStr">
        <is>
          <t>연제옥스포드어린이집</t>
        </is>
      </c>
      <c r="B1402" s="5" t="inlineStr">
        <is>
          <t>어린이집</t>
        </is>
      </c>
      <c r="C1402" s="5" t="inlineStr">
        <is>
          <t>민간</t>
        </is>
      </c>
      <c r="D1402" s="5" t="inlineStr">
        <is>
          <t>연제구</t>
        </is>
      </c>
      <c r="E1402" s="5" t="inlineStr">
        <is>
          <t>부산광역시 연제구 해맞이로61번길 49 (거제동)</t>
        </is>
      </c>
      <c r="F1402" s="5" t="inlineStr"/>
      <c r="G1402" s="5" t="inlineStr">
        <is>
          <t>051-503-7050</t>
        </is>
      </c>
      <c r="H1402" s="12">
        <f>어린이집!T1023</f>
        <v/>
      </c>
      <c r="I1402" s="5" t="inlineStr">
        <is>
          <t>만0세 1 / 만1세 4 / 만2세 6 / 만3세 6 / 영아혼합반 5 / 유아혼합반 18 / 기타(연령구분 없음) 16</t>
        </is>
      </c>
    </row>
    <row r="1403">
      <c r="A1403" s="5" t="inlineStr">
        <is>
          <t>연천영아전담어린이집</t>
        </is>
      </c>
      <c r="B1403" s="5" t="inlineStr">
        <is>
          <t>어린이집</t>
        </is>
      </c>
      <c r="C1403" s="5" t="inlineStr">
        <is>
          <t>민간</t>
        </is>
      </c>
      <c r="D1403" s="5" t="inlineStr">
        <is>
          <t>연제구</t>
        </is>
      </c>
      <c r="E1403" s="5" t="inlineStr">
        <is>
          <t>부산광역시 연제구 고분로143번길 41 (연산동)</t>
        </is>
      </c>
      <c r="F1403" s="11" t="inlineStr">
        <is>
          <t>https://instagram.com/yeoncheon_1020?igshid=YmMyMTA2M2Y=</t>
        </is>
      </c>
      <c r="G1403" s="5" t="inlineStr">
        <is>
          <t>051-863-1020</t>
        </is>
      </c>
      <c r="H1403" s="12">
        <f>어린이집!T1024</f>
        <v/>
      </c>
      <c r="I1403" s="5" t="inlineStr">
        <is>
          <t>만0세 2 / 만1세 8 / 만2세 7 / 영아혼합반 1 / 영유아혼합반 7 / 기타(연령구분 없음) 14</t>
        </is>
      </c>
    </row>
    <row r="1404">
      <c r="A1404" s="5" t="inlineStr">
        <is>
          <t>예지어린이집</t>
        </is>
      </c>
      <c r="B1404" s="5" t="inlineStr">
        <is>
          <t>어린이집</t>
        </is>
      </c>
      <c r="C1404" s="5" t="inlineStr">
        <is>
          <t>사회복지법인</t>
        </is>
      </c>
      <c r="D1404" s="5" t="inlineStr">
        <is>
          <t>연제구</t>
        </is>
      </c>
      <c r="E1404" s="5" t="inlineStr">
        <is>
          <t>부산광역시 연제구 해맞이로 97 (거제동)</t>
        </is>
      </c>
      <c r="F1404" s="5" t="inlineStr"/>
      <c r="G1404" s="5" t="inlineStr">
        <is>
          <t>051-504-2622</t>
        </is>
      </c>
      <c r="H1404" s="12">
        <f>어린이집!T1025</f>
        <v/>
      </c>
      <c r="I1404" s="5" t="inlineStr">
        <is>
          <t>만1세 12 / 만2세 18 / 만3세 12 / 만4세 12 / 만5세 14 / 기타(연령구분 없음) 20</t>
        </is>
      </c>
    </row>
    <row r="1405">
      <c r="A1405" s="5" t="inlineStr">
        <is>
          <t>월드림어린이집</t>
        </is>
      </c>
      <c r="B1405" s="5" t="inlineStr">
        <is>
          <t>어린이집</t>
        </is>
      </c>
      <c r="C1405" s="5" t="inlineStr">
        <is>
          <t>법인·단체등</t>
        </is>
      </c>
      <c r="D1405" s="5" t="inlineStr">
        <is>
          <t>연제구</t>
        </is>
      </c>
      <c r="E1405" s="5" t="inlineStr">
        <is>
          <t>부산광역시 연제구 연수로208번길 6 (연산동)</t>
        </is>
      </c>
      <c r="F1405" s="5" t="inlineStr"/>
      <c r="G1405" s="5" t="inlineStr">
        <is>
          <t>051-853-1233</t>
        </is>
      </c>
      <c r="H1405" s="12">
        <f>어린이집!T1026</f>
        <v/>
      </c>
      <c r="I1405" s="5" t="inlineStr">
        <is>
          <t>만1세 10 / 만2세 20 / 만3세 10 / 만5세 11 / 유아혼합반 11 / 기타(연령구분 없음) 5</t>
        </is>
      </c>
    </row>
    <row r="1406">
      <c r="A1406" s="5" t="inlineStr">
        <is>
          <t>월드메르디앙어린이집</t>
        </is>
      </c>
      <c r="B1406" s="5" t="inlineStr">
        <is>
          <t>어린이집</t>
        </is>
      </c>
      <c r="C1406" s="5" t="inlineStr">
        <is>
          <t>민간</t>
        </is>
      </c>
      <c r="D1406" s="5" t="inlineStr">
        <is>
          <t>연제구</t>
        </is>
      </c>
      <c r="E1406" s="5" t="inlineStr">
        <is>
          <t>부산광역시 연제구 거제천로 233 103동 1층 (거제동,거제동월드메르디앙아파트)</t>
        </is>
      </c>
      <c r="F1406" s="5" t="inlineStr"/>
      <c r="G1406" s="5" t="inlineStr">
        <is>
          <t>051-522-4323</t>
        </is>
      </c>
      <c r="H1406" s="12">
        <f>어린이집!T1027</f>
        <v/>
      </c>
      <c r="I1406" s="5" t="inlineStr">
        <is>
          <t>만0세 9 / 만1세 10 / 만2세 16 / 기타(연령구분 없음) 5</t>
        </is>
      </c>
    </row>
    <row r="1407">
      <c r="A1407" s="5" t="inlineStr">
        <is>
          <t>유림자연어린이집</t>
        </is>
      </c>
      <c r="B1407" s="5" t="inlineStr">
        <is>
          <t>어린이집</t>
        </is>
      </c>
      <c r="C1407" s="5" t="inlineStr">
        <is>
          <t>민간</t>
        </is>
      </c>
      <c r="D1407" s="5" t="inlineStr">
        <is>
          <t>연제구</t>
        </is>
      </c>
      <c r="E1407" s="5" t="inlineStr">
        <is>
          <t>부산광역시 연제구 해맞이로 23 유림자연어린이집 (거제동 거제유림아시아드)</t>
        </is>
      </c>
      <c r="F1407" s="5" t="inlineStr"/>
      <c r="G1407" s="5" t="inlineStr">
        <is>
          <t>051-504-5493</t>
        </is>
      </c>
      <c r="H1407" s="12">
        <f>어린이집!T1028</f>
        <v/>
      </c>
      <c r="I1407" s="5" t="inlineStr">
        <is>
          <t>만0세 6 / 만1세 10 / 만2세 7 / 영아혼합반 5 / 유아혼합반 7 / 기타(연령구분 없음) 6</t>
        </is>
      </c>
    </row>
    <row r="1408">
      <c r="A1408" s="5" t="inlineStr">
        <is>
          <t>자이어린이집</t>
        </is>
      </c>
      <c r="B1408" s="5" t="inlineStr">
        <is>
          <t>어린이집</t>
        </is>
      </c>
      <c r="C1408" s="5" t="inlineStr">
        <is>
          <t>가정</t>
        </is>
      </c>
      <c r="D1408" s="5" t="inlineStr">
        <is>
          <t>연제구</t>
        </is>
      </c>
      <c r="E1408" s="5" t="inlineStr">
        <is>
          <t>부산광역시 연제구 과정로343번길 43 103동 101호(연산동, 연산자이)</t>
        </is>
      </c>
      <c r="F1408" s="5" t="inlineStr"/>
      <c r="G1408" s="5" t="inlineStr">
        <is>
          <t>051-528-0466</t>
        </is>
      </c>
      <c r="H1408" s="12">
        <f>어린이집!T1029</f>
        <v/>
      </c>
      <c r="I1408" s="5" t="inlineStr">
        <is>
          <t>만0세 2 / 만1세 8 / 만2세 6 / 기타(연령구분 없음) 5</t>
        </is>
      </c>
    </row>
    <row r="1409">
      <c r="A1409" s="5" t="inlineStr">
        <is>
          <t>정성어린이집</t>
        </is>
      </c>
      <c r="B1409" s="5" t="inlineStr">
        <is>
          <t>어린이집</t>
        </is>
      </c>
      <c r="C1409" s="5" t="inlineStr">
        <is>
          <t>사회복지법인</t>
        </is>
      </c>
      <c r="D1409" s="5" t="inlineStr">
        <is>
          <t>연제구</t>
        </is>
      </c>
      <c r="E1409" s="5" t="inlineStr">
        <is>
          <t>부산광역시 연제구 연동로 22-3 (연산동)</t>
        </is>
      </c>
      <c r="F1409" s="11" t="inlineStr">
        <is>
          <t>http://www.instagram.com/js8670660</t>
        </is>
      </c>
      <c r="G1409" s="5" t="inlineStr">
        <is>
          <t>051-867-0660</t>
        </is>
      </c>
      <c r="H1409" s="12">
        <f>어린이집!T1030</f>
        <v/>
      </c>
      <c r="I1409" s="5" t="inlineStr">
        <is>
          <t>만0세 2 / 만1세 4 / 만2세 9 / 영아혼합반 4 / 유아혼합반 9</t>
        </is>
      </c>
    </row>
    <row r="1410">
      <c r="A1410" s="5" t="inlineStr">
        <is>
          <t>정언어린이집</t>
        </is>
      </c>
      <c r="B1410" s="5" t="inlineStr">
        <is>
          <t>어린이집</t>
        </is>
      </c>
      <c r="C1410" s="5" t="inlineStr">
        <is>
          <t>민간</t>
        </is>
      </c>
      <c r="D1410" s="5" t="inlineStr">
        <is>
          <t>연제구</t>
        </is>
      </c>
      <c r="E1410" s="5" t="inlineStr">
        <is>
          <t>부산광역시 연제구 연동로 32 (연산동)</t>
        </is>
      </c>
      <c r="F1410" s="11" t="inlineStr">
        <is>
          <t>http://phmjw1234@naver.com</t>
        </is>
      </c>
      <c r="G1410" s="5" t="inlineStr">
        <is>
          <t>051-866-7805</t>
        </is>
      </c>
      <c r="H1410" s="12">
        <f>어린이집!T1031</f>
        <v/>
      </c>
      <c r="I1410" s="5" t="inlineStr">
        <is>
          <t>만1세 9 / 만2세 13 / 만3세 14 / 만4세 11 / 만5세 14 / 영아혼합반 2 / 기타(연령구분 없음) 20</t>
        </is>
      </c>
    </row>
    <row r="1411">
      <c r="A1411" s="5" t="inlineStr">
        <is>
          <t>조은어린이집</t>
        </is>
      </c>
      <c r="B1411" s="5" t="inlineStr">
        <is>
          <t>어린이집</t>
        </is>
      </c>
      <c r="C1411" s="5" t="inlineStr">
        <is>
          <t>민간</t>
        </is>
      </c>
      <c r="D1411" s="5" t="inlineStr">
        <is>
          <t>연제구</t>
        </is>
      </c>
      <c r="E1411" s="5" t="inlineStr">
        <is>
          <t>부산광역시 연제구 거제대로230번길 50 (거제동)</t>
        </is>
      </c>
      <c r="F1411" s="5" t="inlineStr"/>
      <c r="G1411" s="5" t="inlineStr">
        <is>
          <t>051-853-4632</t>
        </is>
      </c>
      <c r="H1411" s="12">
        <f>어린이집!T1032</f>
        <v/>
      </c>
      <c r="I1411" s="5" t="inlineStr">
        <is>
          <t>만1세 5 / 만2세 7 / 영아혼합반 7 / 기타(연령구분 없음) 5</t>
        </is>
      </c>
    </row>
    <row r="1412">
      <c r="A1412" s="5" t="inlineStr">
        <is>
          <t>창의샘어린이집</t>
        </is>
      </c>
      <c r="B1412" s="5" t="inlineStr">
        <is>
          <t>어린이집</t>
        </is>
      </c>
      <c r="C1412" s="5" t="inlineStr">
        <is>
          <t>민간</t>
        </is>
      </c>
      <c r="D1412" s="5" t="inlineStr">
        <is>
          <t>연제구</t>
        </is>
      </c>
      <c r="E1412" s="5" t="inlineStr">
        <is>
          <t>부산광역시 연제구 쌍미천로47번길 19-1 (연산동)</t>
        </is>
      </c>
      <c r="F1412" s="5" t="inlineStr"/>
      <c r="G1412" s="5" t="inlineStr">
        <is>
          <t>051-866-4129</t>
        </is>
      </c>
      <c r="H1412" s="12">
        <f>어린이집!T1033</f>
        <v/>
      </c>
      <c r="I1412" s="5" t="inlineStr">
        <is>
          <t>만0세 12 / 만1세 10 / 만2세 7 / 기타(연령구분 없음) 5</t>
        </is>
      </c>
    </row>
    <row r="1413">
      <c r="A1413" s="5" t="inlineStr">
        <is>
          <t>토곡어린이집</t>
        </is>
      </c>
      <c r="B1413" s="5" t="inlineStr">
        <is>
          <t>어린이집</t>
        </is>
      </c>
      <c r="C1413" s="5" t="inlineStr">
        <is>
          <t>민간</t>
        </is>
      </c>
      <c r="D1413" s="5" t="inlineStr">
        <is>
          <t>연제구</t>
        </is>
      </c>
      <c r="E1413" s="5" t="inlineStr">
        <is>
          <t>부산광역시 연제구 과정로191번나길 17 (연산동)</t>
        </is>
      </c>
      <c r="F1413" s="5" t="inlineStr"/>
      <c r="G1413" s="5" t="inlineStr">
        <is>
          <t>051-759-7922</t>
        </is>
      </c>
      <c r="H1413" s="12">
        <f>어린이집!T1034</f>
        <v/>
      </c>
      <c r="I1413" s="5" t="inlineStr">
        <is>
          <t>만0세 3 / 만2세 7 / 영아혼합반 4 / 유아혼합반 8 / 기타(연령구분 없음) 8</t>
        </is>
      </c>
    </row>
    <row r="1414">
      <c r="A1414" s="5" t="inlineStr">
        <is>
          <t>토끼와당근어린이집</t>
        </is>
      </c>
      <c r="B1414" s="5" t="inlineStr">
        <is>
          <t>어린이집</t>
        </is>
      </c>
      <c r="C1414" s="5" t="inlineStr">
        <is>
          <t>민간</t>
        </is>
      </c>
      <c r="D1414" s="5" t="inlineStr">
        <is>
          <t>연제구</t>
        </is>
      </c>
      <c r="E1414" s="5" t="inlineStr">
        <is>
          <t>부산광역시 연제구 고분로235번길 26-1 (연산동)</t>
        </is>
      </c>
      <c r="F1414" s="11" t="inlineStr">
        <is>
          <t>http://cafe.daum.net/rc2011</t>
        </is>
      </c>
      <c r="G1414" s="5" t="inlineStr">
        <is>
          <t>051-865-0377</t>
        </is>
      </c>
      <c r="H1414" s="12">
        <f>어린이집!T1035</f>
        <v/>
      </c>
      <c r="I1414" s="5" t="inlineStr">
        <is>
          <t>만0세 15 / 만1세 29 / 만2세 20 / 만3세 17 / 만4세 12 / 만5세 18 / 기타(연령구분 없음) 18</t>
        </is>
      </c>
    </row>
    <row r="1415">
      <c r="A1415" s="5" t="inlineStr">
        <is>
          <t>푸르지오어린이집</t>
        </is>
      </c>
      <c r="B1415" s="5" t="inlineStr">
        <is>
          <t>어린이집</t>
        </is>
      </c>
      <c r="C1415" s="5" t="inlineStr">
        <is>
          <t>민간</t>
        </is>
      </c>
      <c r="D1415" s="5" t="inlineStr">
        <is>
          <t>연제구</t>
        </is>
      </c>
      <c r="E1415" s="5" t="inlineStr">
        <is>
          <t>부산광역시 연제구 고분로 280 (연산동, 센텀푸르지오아파트)</t>
        </is>
      </c>
      <c r="F1415" s="5" t="inlineStr"/>
      <c r="G1415" s="5" t="inlineStr">
        <is>
          <t>051-757-4313</t>
        </is>
      </c>
      <c r="H1415" s="12">
        <f>어린이집!T1036</f>
        <v/>
      </c>
      <c r="I1415" s="5" t="inlineStr">
        <is>
          <t>만0세 11 / 만1세 15 / 만2세 13 / 기타(연령구분 없음) 19</t>
        </is>
      </c>
    </row>
    <row r="1416">
      <c r="A1416" s="5" t="inlineStr">
        <is>
          <t>하나둘어린이집</t>
        </is>
      </c>
      <c r="B1416" s="5" t="inlineStr">
        <is>
          <t>어린이집</t>
        </is>
      </c>
      <c r="C1416" s="5" t="inlineStr">
        <is>
          <t>민간</t>
        </is>
      </c>
      <c r="D1416" s="5" t="inlineStr">
        <is>
          <t>연제구</t>
        </is>
      </c>
      <c r="E1416" s="5" t="inlineStr">
        <is>
          <t>부산광역시 연제구 여고로14번길 47 (거제동)</t>
        </is>
      </c>
      <c r="F1416" s="5" t="inlineStr"/>
      <c r="G1416" s="5" t="inlineStr">
        <is>
          <t>051-503-3077</t>
        </is>
      </c>
      <c r="H1416" s="12">
        <f>어린이집!T1037</f>
        <v/>
      </c>
      <c r="I1416" s="5" t="inlineStr">
        <is>
          <t>만0세 5 / 만1세 3 / 영아혼합반 5 / 유아혼합반 8</t>
        </is>
      </c>
    </row>
    <row r="1417">
      <c r="A1417" s="5" t="inlineStr">
        <is>
          <t>하나어린이집</t>
        </is>
      </c>
      <c r="B1417" s="5" t="inlineStr">
        <is>
          <t>어린이집</t>
        </is>
      </c>
      <c r="C1417" s="5" t="inlineStr">
        <is>
          <t>가정</t>
        </is>
      </c>
      <c r="D1417" s="5" t="inlineStr">
        <is>
          <t>연제구</t>
        </is>
      </c>
      <c r="E1417" s="5" t="inlineStr">
        <is>
          <t>부산광역시 연제구 해맞이로 23 111동 104호(거제동, 거제유림아시아드아파트)</t>
        </is>
      </c>
      <c r="F1417" s="5" t="inlineStr"/>
      <c r="G1417" s="5" t="inlineStr">
        <is>
          <t>051-504-9209</t>
        </is>
      </c>
      <c r="H1417" s="12">
        <f>어린이집!T1038</f>
        <v/>
      </c>
      <c r="I1417" s="5" t="inlineStr">
        <is>
          <t>영아혼합반 7 / 기타(연령구분 없음) 4</t>
        </is>
      </c>
    </row>
    <row r="1418">
      <c r="A1418" s="5" t="inlineStr">
        <is>
          <t>하늘어린이집</t>
        </is>
      </c>
      <c r="B1418" s="5" t="inlineStr">
        <is>
          <t>어린이집</t>
        </is>
      </c>
      <c r="C1418" s="5" t="inlineStr">
        <is>
          <t>민간</t>
        </is>
      </c>
      <c r="D1418" s="5" t="inlineStr">
        <is>
          <t>연제구</t>
        </is>
      </c>
      <c r="E1418" s="5" t="inlineStr">
        <is>
          <t>부산광역시 연제구 거제대로178번길 42 (거제동)</t>
        </is>
      </c>
      <c r="F1418" s="5" t="inlineStr"/>
      <c r="G1418" s="5" t="inlineStr">
        <is>
          <t>051-502-7976</t>
        </is>
      </c>
      <c r="H1418" s="12">
        <f>어린이집!T1039</f>
        <v/>
      </c>
      <c r="I1418" s="5" t="inlineStr">
        <is>
          <t>만0세 8 / 만1세 10 / 만2세 5 / 기타(연령구분 없음) 3</t>
        </is>
      </c>
    </row>
    <row r="1419">
      <c r="A1419" s="5" t="inlineStr">
        <is>
          <t>해님어린이집</t>
        </is>
      </c>
      <c r="B1419" s="5" t="inlineStr">
        <is>
          <t>어린이집</t>
        </is>
      </c>
      <c r="C1419" s="5" t="inlineStr">
        <is>
          <t>민간</t>
        </is>
      </c>
      <c r="D1419" s="5" t="inlineStr">
        <is>
          <t>연제구</t>
        </is>
      </c>
      <c r="E1419" s="5" t="inlineStr">
        <is>
          <t>부산광역시 연제구 연수로 194 (연산동)</t>
        </is>
      </c>
      <c r="F1419" s="5" t="inlineStr"/>
      <c r="G1419" s="5" t="inlineStr">
        <is>
          <t>051-865-6263</t>
        </is>
      </c>
      <c r="H1419" s="12">
        <f>어린이집!T1040</f>
        <v/>
      </c>
      <c r="I1419" s="5" t="inlineStr">
        <is>
          <t>만0세 10 / 만1세 9 / 만2세 12 / 기타(연령구분 없음) 10</t>
        </is>
      </c>
    </row>
    <row r="1420">
      <c r="A1420" s="5" t="inlineStr">
        <is>
          <t>해돋는어린이집</t>
        </is>
      </c>
      <c r="B1420" s="5" t="inlineStr">
        <is>
          <t>어린이집</t>
        </is>
      </c>
      <c r="C1420" s="5" t="inlineStr">
        <is>
          <t>가정</t>
        </is>
      </c>
      <c r="D1420" s="5" t="inlineStr">
        <is>
          <t>연제구</t>
        </is>
      </c>
      <c r="E1420" s="5" t="inlineStr">
        <is>
          <t>부산광역시 연제구 마곡천로 54 102동 101호(연산동, 연산동현대홈타운)</t>
        </is>
      </c>
      <c r="F1420" s="5" t="inlineStr"/>
      <c r="G1420" s="5" t="inlineStr">
        <is>
          <t>051-865-9135</t>
        </is>
      </c>
      <c r="H1420" s="12">
        <f>어린이집!T1041</f>
        <v/>
      </c>
      <c r="I1420" s="5" t="inlineStr">
        <is>
          <t>만0세 5 / 만1세 7 / 만2세 7 / 기타(연령구분 없음) 5</t>
        </is>
      </c>
    </row>
    <row r="1421">
      <c r="A1421" s="5" t="inlineStr">
        <is>
          <t>현대홈타운어린이집</t>
        </is>
      </c>
      <c r="B1421" s="5" t="inlineStr">
        <is>
          <t>어린이집</t>
        </is>
      </c>
      <c r="C1421" s="5" t="inlineStr">
        <is>
          <t>민간</t>
        </is>
      </c>
      <c r="D1421" s="5" t="inlineStr">
        <is>
          <t>연제구</t>
        </is>
      </c>
      <c r="E1421" s="5" t="inlineStr">
        <is>
          <t>부산광역시 연제구 법원북로 16 관리동 3호 (거제동 현대2차 현대홈타운 )</t>
        </is>
      </c>
      <c r="F1421" s="5" t="inlineStr"/>
      <c r="G1421" s="5" t="inlineStr">
        <is>
          <t>051-505-3500</t>
        </is>
      </c>
      <c r="H1421" s="12">
        <f>어린이집!T1042</f>
        <v/>
      </c>
      <c r="I1421" s="5" t="inlineStr">
        <is>
          <t>만0세 2 / 만1세 15 / 영아혼합반 8 / 기타(연령구분 없음) 5</t>
        </is>
      </c>
    </row>
    <row r="1422">
      <c r="A1422" s="5" t="inlineStr">
        <is>
          <t>희정어린이집</t>
        </is>
      </c>
      <c r="B1422" s="5" t="inlineStr">
        <is>
          <t>어린이집</t>
        </is>
      </c>
      <c r="C1422" s="5" t="inlineStr">
        <is>
          <t>가정</t>
        </is>
      </c>
      <c r="D1422" s="5" t="inlineStr">
        <is>
          <t>연제구</t>
        </is>
      </c>
      <c r="E1422" s="5" t="inlineStr">
        <is>
          <t>부산광역시 연제구 월드컵대로35번길 15 (연산동)</t>
        </is>
      </c>
      <c r="F1422" s="11" t="inlineStr">
        <is>
          <t>http://cafe.daum.net/kids-hj</t>
        </is>
      </c>
      <c r="G1422" s="5" t="inlineStr">
        <is>
          <t>051-862-2466</t>
        </is>
      </c>
      <c r="H1422" s="12">
        <f>어린이집!T1043</f>
        <v/>
      </c>
      <c r="I1422" s="5" t="inlineStr">
        <is>
          <t>만0세 9 / 만1세 5 / 기타(연령구분 없음) 3</t>
        </is>
      </c>
    </row>
    <row r="1423">
      <c r="A1423" s="5" t="inlineStr">
        <is>
          <t>힐스테이트리코어린이집</t>
        </is>
      </c>
      <c r="B1423" s="5" t="inlineStr">
        <is>
          <t>어린이집</t>
        </is>
      </c>
      <c r="C1423" s="5" t="inlineStr">
        <is>
          <t>가정</t>
        </is>
      </c>
      <c r="D1423" s="5" t="inlineStr">
        <is>
          <t>연제구</t>
        </is>
      </c>
      <c r="E1423" s="5" t="inlineStr">
        <is>
          <t>부산광역시 연제구 봉수로 2 연산동, 힐스테이트연산 1단지 105동 관리동</t>
        </is>
      </c>
      <c r="F1423" s="5" t="inlineStr"/>
      <c r="G1423" s="5" t="inlineStr">
        <is>
          <t>051-853-3353</t>
        </is>
      </c>
      <c r="H1423" s="12">
        <f>어린이집!T1044</f>
        <v/>
      </c>
      <c r="I1423" s="5" t="inlineStr">
        <is>
          <t>만0세 8 / 만1세 5 / 영아혼합반 7 / 기타(연령구분 없음) 3</t>
        </is>
      </c>
    </row>
    <row r="1424">
      <c r="A1424" s="5" t="inlineStr">
        <is>
          <t>고신대학교부설어린이집</t>
        </is>
      </c>
      <c r="B1424" s="5" t="inlineStr">
        <is>
          <t>어린이집</t>
        </is>
      </c>
      <c r="C1424" s="5" t="inlineStr">
        <is>
          <t>법인·단체등</t>
        </is>
      </c>
      <c r="D1424" s="5" t="inlineStr">
        <is>
          <t>영도구</t>
        </is>
      </c>
      <c r="E1424" s="5" t="inlineStr">
        <is>
          <t>부산광역시 영도구 와치로 194 (동삼동)</t>
        </is>
      </c>
      <c r="F1424" s="5" t="inlineStr"/>
      <c r="G1424" s="5" t="inlineStr">
        <is>
          <t>051-404-4360</t>
        </is>
      </c>
      <c r="H1424" s="12">
        <f>어린이집!T1045</f>
        <v/>
      </c>
      <c r="I1424" s="5" t="inlineStr">
        <is>
          <t>만3세 11 / 만4세 10 / 만5세 18 / 영아혼합반 7</t>
        </is>
      </c>
    </row>
    <row r="1425">
      <c r="A1425" s="5" t="inlineStr">
        <is>
          <t>꿈동산어린이집</t>
        </is>
      </c>
      <c r="B1425" s="5" t="inlineStr">
        <is>
          <t>어린이집</t>
        </is>
      </c>
      <c r="C1425" s="5" t="inlineStr">
        <is>
          <t>국공립</t>
        </is>
      </c>
      <c r="D1425" s="5" t="inlineStr">
        <is>
          <t>영도구</t>
        </is>
      </c>
      <c r="E1425" s="5" t="inlineStr">
        <is>
          <t>부산광역시 영도구 동삼로 85-9 꿈동산어린이집</t>
        </is>
      </c>
      <c r="F1425" s="5" t="inlineStr"/>
      <c r="G1425" s="5" t="inlineStr">
        <is>
          <t>051-405-0102</t>
        </is>
      </c>
      <c r="H1425" s="12">
        <f>어린이집!T1046</f>
        <v/>
      </c>
      <c r="I1425" s="5" t="inlineStr">
        <is>
          <t>만0세 5 / 만1세 7 / 만2세 13 / 만3세 12 / 영아혼합반 2 / 유아혼합반 14 / 기타(연령구분 없음) 14</t>
        </is>
      </c>
    </row>
    <row r="1426">
      <c r="A1426" s="5" t="inlineStr">
        <is>
          <t>남해지방해양경찰청어린이집</t>
        </is>
      </c>
      <c r="B1426" s="5" t="inlineStr">
        <is>
          <t>어린이집</t>
        </is>
      </c>
      <c r="C1426" s="5" t="inlineStr">
        <is>
          <t>직장</t>
        </is>
      </c>
      <c r="D1426" s="5" t="inlineStr">
        <is>
          <t>영도구</t>
        </is>
      </c>
      <c r="E1426" s="5" t="inlineStr">
        <is>
          <t>부산광역시 영도구 해양로 293 남해지방해양경찰청어린이집</t>
        </is>
      </c>
      <c r="F1426" s="11" t="inlineStr">
        <is>
          <t>http://.</t>
        </is>
      </c>
      <c r="G1426" s="5" t="inlineStr">
        <is>
          <t>051-717-3698</t>
        </is>
      </c>
      <c r="H1426" s="12">
        <f>어린이집!T1047</f>
        <v/>
      </c>
      <c r="I1426" s="5" t="inlineStr">
        <is>
          <t>만0세 3 / 만1세 8 / 만2세 4 / 만3세 9 / 유아혼합반 10 / 기타(연령구분 없음) 31</t>
        </is>
      </c>
    </row>
    <row r="1427">
      <c r="A1427" s="5" t="inlineStr">
        <is>
          <t>녹야어린이집</t>
        </is>
      </c>
      <c r="B1427" s="5" t="inlineStr">
        <is>
          <t>어린이집</t>
        </is>
      </c>
      <c r="C1427" s="5" t="inlineStr">
        <is>
          <t>민간</t>
        </is>
      </c>
      <c r="D1427" s="5" t="inlineStr">
        <is>
          <t>영도구</t>
        </is>
      </c>
      <c r="E1427" s="5" t="inlineStr">
        <is>
          <t>부산광역시 영도구 와치로 233 절영아파트 관리동 1층</t>
        </is>
      </c>
      <c r="F1427" s="5" t="inlineStr"/>
      <c r="G1427" s="5" t="inlineStr">
        <is>
          <t>051-403-3633</t>
        </is>
      </c>
      <c r="H1427" s="12">
        <f>어린이집!T1048</f>
        <v/>
      </c>
      <c r="I1427" s="5" t="inlineStr">
        <is>
          <t>만1세 5 / 만2세 4 / 영아혼합반 2 / 영유아혼합반 7 / 기타(연령구분 없음) 18</t>
        </is>
      </c>
    </row>
    <row r="1428">
      <c r="A1428" s="5" t="inlineStr">
        <is>
          <t>동삼중앙어린이집</t>
        </is>
      </c>
      <c r="B1428" s="5" t="inlineStr">
        <is>
          <t>어린이집</t>
        </is>
      </c>
      <c r="C1428" s="5" t="inlineStr">
        <is>
          <t>민간</t>
        </is>
      </c>
      <c r="D1428" s="5" t="inlineStr">
        <is>
          <t>영도구</t>
        </is>
      </c>
      <c r="E1428" s="5" t="inlineStr">
        <is>
          <t>부산광역시 영도구 웃서발로51번길 8 (동삼동)</t>
        </is>
      </c>
      <c r="F1428" s="11" t="inlineStr">
        <is>
          <t>https://cafe.daum.net/dongsamja</t>
        </is>
      </c>
      <c r="G1428" s="5" t="inlineStr">
        <is>
          <t>051-403-2627</t>
        </is>
      </c>
      <c r="H1428" s="12">
        <f>어린이집!T1049</f>
        <v/>
      </c>
      <c r="I1428" s="5" t="inlineStr">
        <is>
          <t>만0세 2 / 만1세 3 / 영아혼합반 6 / 유아혼합반 13 / 기타(연령구분 없음) 18</t>
        </is>
      </c>
    </row>
    <row r="1429">
      <c r="A1429" s="5" t="inlineStr">
        <is>
          <t>동심어린이집</t>
        </is>
      </c>
      <c r="B1429" s="5" t="inlineStr">
        <is>
          <t>어린이집</t>
        </is>
      </c>
      <c r="C1429" s="5" t="inlineStr">
        <is>
          <t>국공립</t>
        </is>
      </c>
      <c r="D1429" s="5" t="inlineStr">
        <is>
          <t>영도구</t>
        </is>
      </c>
      <c r="E1429" s="5" t="inlineStr">
        <is>
          <t>부산광역시 영도구 청학로80번길 2 (청학동)</t>
        </is>
      </c>
      <c r="F1429" s="11" t="inlineStr">
        <is>
          <t>https://m.blog.naver.com/ds4167707   https://www.instagram.com/dongsim__kids/</t>
        </is>
      </c>
      <c r="G1429" s="5" t="inlineStr">
        <is>
          <t>051-416-7707</t>
        </is>
      </c>
      <c r="H1429" s="12">
        <f>어린이집!T1050</f>
        <v/>
      </c>
      <c r="I1429" s="5" t="inlineStr">
        <is>
          <t>만0세 5 / 만1세 8 / 만2세 6 / 유아혼합반 14 / 영유아혼합반 7 / 기타(연령구분 없음) 22</t>
        </is>
      </c>
    </row>
    <row r="1430">
      <c r="A1430" s="5" t="inlineStr">
        <is>
          <t>롯데캐슬블루오션어린이집</t>
        </is>
      </c>
      <c r="B1430" s="5" t="inlineStr">
        <is>
          <t>어린이집</t>
        </is>
      </c>
      <c r="C1430" s="5" t="inlineStr">
        <is>
          <t>국공립</t>
        </is>
      </c>
      <c r="D1430" s="5" t="inlineStr">
        <is>
          <t>영도구</t>
        </is>
      </c>
      <c r="E1430" s="5" t="inlineStr">
        <is>
          <t>부산광역시 영도구 절영로 524 롯데캐슬블루오션 아파트 관리동(1층)</t>
        </is>
      </c>
      <c r="F1430" s="5" t="inlineStr"/>
      <c r="G1430" s="5" t="inlineStr">
        <is>
          <t>051-405-2289</t>
        </is>
      </c>
      <c r="H1430" s="12">
        <f>어린이집!T1051</f>
        <v/>
      </c>
      <c r="I1430" s="5" t="inlineStr">
        <is>
          <t>만2세 7 / 영아혼합반 13 / 기타(연령구분 없음) 3</t>
        </is>
      </c>
    </row>
    <row r="1431">
      <c r="A1431" s="5" t="inlineStr">
        <is>
          <t>미주어린이집</t>
        </is>
      </c>
      <c r="B1431" s="5" t="inlineStr">
        <is>
          <t>어린이집</t>
        </is>
      </c>
      <c r="C1431" s="5" t="inlineStr">
        <is>
          <t>가정</t>
        </is>
      </c>
      <c r="D1431" s="5" t="inlineStr">
        <is>
          <t>영도구</t>
        </is>
      </c>
      <c r="E1431" s="5" t="inlineStr">
        <is>
          <t>부산광역시 영도구 청학남로 48 신영도롯데낙천대아파트 관리동</t>
        </is>
      </c>
      <c r="F1431" s="5" t="inlineStr"/>
      <c r="G1431" s="5" t="inlineStr">
        <is>
          <t>051-415-3555</t>
        </is>
      </c>
      <c r="H1431" s="12">
        <f>어린이집!T1052</f>
        <v/>
      </c>
      <c r="I1431" s="5" t="inlineStr">
        <is>
          <t>만0세 2 / 만1세 5 / 만2세 4 / 영아혼합반 2 / 기타(연령구분 없음) 5</t>
        </is>
      </c>
    </row>
    <row r="1432">
      <c r="A1432" s="5" t="inlineStr">
        <is>
          <t>벧엘영아전담어린이집</t>
        </is>
      </c>
      <c r="B1432" s="5" t="inlineStr">
        <is>
          <t>어린이집</t>
        </is>
      </c>
      <c r="C1432" s="5" t="inlineStr">
        <is>
          <t>민간</t>
        </is>
      </c>
      <c r="D1432" s="5" t="inlineStr">
        <is>
          <t>영도구</t>
        </is>
      </c>
      <c r="E1432" s="5" t="inlineStr">
        <is>
          <t>부산광역시 영도구 영선동2가 절영로93번길 32-2</t>
        </is>
      </c>
      <c r="F1432" s="5" t="inlineStr"/>
      <c r="G1432" s="5" t="inlineStr">
        <is>
          <t>051-413-0766</t>
        </is>
      </c>
      <c r="H1432" s="12">
        <f>어린이집!T1053</f>
        <v/>
      </c>
      <c r="I1432" s="5" t="inlineStr">
        <is>
          <t>만0세 6 / 만2세 5 / 영아혼합반 3 / 기타(연령구분 없음) 3</t>
        </is>
      </c>
    </row>
    <row r="1433">
      <c r="A1433" s="5" t="inlineStr">
        <is>
          <t>부산오션시티푸르지오어린이집</t>
        </is>
      </c>
      <c r="B1433" s="5" t="inlineStr">
        <is>
          <t>어린이집</t>
        </is>
      </c>
      <c r="C1433" s="5" t="inlineStr">
        <is>
          <t>국공립</t>
        </is>
      </c>
      <c r="D1433" s="5" t="inlineStr">
        <is>
          <t>영도구</t>
        </is>
      </c>
      <c r="E1433" s="5" t="inlineStr">
        <is>
          <t>부산광역시 영도구 동삼오션로 30 관리동</t>
        </is>
      </c>
      <c r="F1433" s="5" t="inlineStr"/>
      <c r="G1433" s="5" t="inlineStr">
        <is>
          <t>051-403-3733</t>
        </is>
      </c>
      <c r="H1433" s="12">
        <f>어린이집!T1054</f>
        <v/>
      </c>
      <c r="I1433" s="5" t="inlineStr">
        <is>
          <t>만0세 11 / 만1세 17 / 만2세 16 / 기타(연령구분 없음) 10</t>
        </is>
      </c>
    </row>
    <row r="1434">
      <c r="A1434" s="5" t="inlineStr">
        <is>
          <t>브래뉴어린이집</t>
        </is>
      </c>
      <c r="B1434" s="5" t="inlineStr">
        <is>
          <t>어린이집</t>
        </is>
      </c>
      <c r="C1434" s="5" t="inlineStr">
        <is>
          <t>국공립</t>
        </is>
      </c>
      <c r="D1434" s="5" t="inlineStr">
        <is>
          <t>영도구</t>
        </is>
      </c>
      <c r="E1434" s="5" t="inlineStr">
        <is>
          <t>부산광역시 영도구 태종로 260 신도브래뉴아파트 관리동</t>
        </is>
      </c>
      <c r="F1434" s="5" t="inlineStr"/>
      <c r="G1434" s="5" t="inlineStr">
        <is>
          <t>051-418-8110</t>
        </is>
      </c>
      <c r="H1434" s="12">
        <f>어린이집!T1055</f>
        <v/>
      </c>
      <c r="I1434" s="5" t="inlineStr">
        <is>
          <t>만0세 3 / 만1세 5 / 만2세 4 / 기타(연령구분 없음) 5</t>
        </is>
      </c>
    </row>
    <row r="1435">
      <c r="A1435" s="5" t="inlineStr">
        <is>
          <t>삼진어린이집</t>
        </is>
      </c>
      <c r="B1435" s="5" t="inlineStr">
        <is>
          <t>어린이집</t>
        </is>
      </c>
      <c r="C1435" s="5" t="inlineStr">
        <is>
          <t>국공립</t>
        </is>
      </c>
      <c r="D1435" s="5" t="inlineStr">
        <is>
          <t>영도구</t>
        </is>
      </c>
      <c r="E1435" s="5" t="inlineStr">
        <is>
          <t>부산광역시 영도구 산정길 138 (신선동3가)</t>
        </is>
      </c>
      <c r="F1435" s="11" t="inlineStr">
        <is>
          <t>https://cafe.naver.com/4135008</t>
        </is>
      </c>
      <c r="G1435" s="5" t="inlineStr">
        <is>
          <t>051-413-5008</t>
        </is>
      </c>
      <c r="H1435" s="12">
        <f>어린이집!T1056</f>
        <v/>
      </c>
      <c r="I1435" s="5" t="inlineStr">
        <is>
          <t>만2세 6 / 영아혼합반 5 / 유아혼합반 9 / 장애아반(특수) 6 / 기타(연령구분 없음) 5</t>
        </is>
      </c>
    </row>
    <row r="1436">
      <c r="A1436" s="5" t="inlineStr">
        <is>
          <t>상리자연어린이집</t>
        </is>
      </c>
      <c r="B1436" s="5" t="inlineStr">
        <is>
          <t>어린이집</t>
        </is>
      </c>
      <c r="C1436" s="5" t="inlineStr">
        <is>
          <t>국공립</t>
        </is>
      </c>
      <c r="D1436" s="5" t="inlineStr">
        <is>
          <t>영도구</t>
        </is>
      </c>
      <c r="E1436" s="5" t="inlineStr">
        <is>
          <t>부산광역시 영도구 상리로 63-16 상리종합사회복지관 1층</t>
        </is>
      </c>
      <c r="F1436" s="5" t="inlineStr"/>
      <c r="G1436" s="5" t="inlineStr">
        <is>
          <t>051-404-5060</t>
        </is>
      </c>
      <c r="H1436" s="12">
        <f>어린이집!T1057</f>
        <v/>
      </c>
      <c r="I1436" s="5" t="inlineStr">
        <is>
          <t>만1세 4 / 만2세 8 / 만3세 6 / 유아혼합반 16 / 기타(연령구분 없음) 4</t>
        </is>
      </c>
    </row>
    <row r="1437">
      <c r="A1437" s="5" t="inlineStr">
        <is>
          <t>새싹어린이집</t>
        </is>
      </c>
      <c r="B1437" s="5" t="inlineStr">
        <is>
          <t>어린이집</t>
        </is>
      </c>
      <c r="C1437" s="5" t="inlineStr">
        <is>
          <t>민간</t>
        </is>
      </c>
      <c r="D1437" s="5" t="inlineStr">
        <is>
          <t>영도구</t>
        </is>
      </c>
      <c r="E1437" s="5" t="inlineStr">
        <is>
          <t>부산광역시 영도구 절영로490번길 63 (동삼동)</t>
        </is>
      </c>
      <c r="F1437" s="5" t="inlineStr"/>
      <c r="G1437" s="5" t="inlineStr">
        <is>
          <t>051-403-2336</t>
        </is>
      </c>
      <c r="H1437" s="12">
        <f>어린이집!T1058</f>
        <v/>
      </c>
      <c r="I1437" s="5" t="inlineStr">
        <is>
          <t>영아혼합반 5 / 유아혼합반 16 / 기타(연령구분 없음) 8</t>
        </is>
      </c>
    </row>
    <row r="1438">
      <c r="A1438" s="5" t="inlineStr">
        <is>
          <t>센트럴에일린의뜰어린이집</t>
        </is>
      </c>
      <c r="B1438" s="5" t="inlineStr">
        <is>
          <t>어린이집</t>
        </is>
      </c>
      <c r="C1438" s="5" t="inlineStr">
        <is>
          <t>국공립</t>
        </is>
      </c>
      <c r="D1438" s="5" t="inlineStr">
        <is>
          <t>영도구</t>
        </is>
      </c>
      <c r="E1438" s="5" t="inlineStr">
        <is>
          <t>부산광역시 영도구 태종로 172 센트럴 에일린의 뜰 아파트 관리동</t>
        </is>
      </c>
      <c r="F1438" s="5" t="inlineStr"/>
      <c r="G1438" s="5" t="inlineStr">
        <is>
          <t>051-414-1400</t>
        </is>
      </c>
      <c r="H1438" s="12">
        <f>어린이집!T1059</f>
        <v/>
      </c>
      <c r="I1438" s="5" t="inlineStr">
        <is>
          <t>만0세 10 / 만1세 20 / 만2세 20 / 만3세 11 / 유아혼합반 9 / 기타(연령구분 없음) 33</t>
        </is>
      </c>
    </row>
    <row r="1439">
      <c r="A1439" s="5" t="inlineStr">
        <is>
          <t>신선어린이집</t>
        </is>
      </c>
      <c r="B1439" s="5" t="inlineStr">
        <is>
          <t>어린이집</t>
        </is>
      </c>
      <c r="C1439" s="5" t="inlineStr">
        <is>
          <t>국공립</t>
        </is>
      </c>
      <c r="D1439" s="5" t="inlineStr">
        <is>
          <t>영도구</t>
        </is>
      </c>
      <c r="E1439" s="5" t="inlineStr">
        <is>
          <t>부산광역시 영도구 금잔디길 54 (신선동2가)</t>
        </is>
      </c>
      <c r="F1439" s="5" t="inlineStr"/>
      <c r="G1439" s="5" t="inlineStr">
        <is>
          <t>051-416-5843</t>
        </is>
      </c>
      <c r="H1439" s="12">
        <f>어린이집!T1060</f>
        <v/>
      </c>
      <c r="I1439" s="5" t="inlineStr">
        <is>
          <t>만0세 9 / 만1세 11 / 만2세 5 / 영아혼합반 7 / 유아혼합반 23 / 영유아혼합반 13 / 기타(연령구분 없음) 32</t>
        </is>
      </c>
    </row>
    <row r="1440">
      <c r="A1440" s="5" t="inlineStr">
        <is>
          <t>아이사랑어린이집</t>
        </is>
      </c>
      <c r="B1440" s="5" t="inlineStr">
        <is>
          <t>어린이집</t>
        </is>
      </c>
      <c r="C1440" s="5" t="inlineStr">
        <is>
          <t>민간</t>
        </is>
      </c>
      <c r="D1440" s="5" t="inlineStr">
        <is>
          <t>영도구</t>
        </is>
      </c>
      <c r="E1440" s="5" t="inlineStr">
        <is>
          <t>부산광역시 영도구 상리로 1 동삼그린힐아파트 관리사무소 2층</t>
        </is>
      </c>
      <c r="F1440" s="5" t="inlineStr"/>
      <c r="G1440" s="5" t="inlineStr">
        <is>
          <t>051-404-1919</t>
        </is>
      </c>
      <c r="H1440" s="12">
        <f>어린이집!T1061</f>
        <v/>
      </c>
      <c r="I1440" s="5" t="inlineStr">
        <is>
          <t>만1세 7 / 만2세 6 / 만3세 6 / 유아혼합반 10 / 기타(연령구분 없음) 6</t>
        </is>
      </c>
    </row>
    <row r="1441">
      <c r="A1441" s="5" t="inlineStr">
        <is>
          <t>아이존어린이집</t>
        </is>
      </c>
      <c r="B1441" s="5" t="inlineStr">
        <is>
          <t>어린이집</t>
        </is>
      </c>
      <c r="C1441" s="5" t="inlineStr">
        <is>
          <t>가정</t>
        </is>
      </c>
      <c r="D1441" s="5" t="inlineStr">
        <is>
          <t>영도구</t>
        </is>
      </c>
      <c r="E1441" s="5" t="inlineStr">
        <is>
          <t>부산광역시 영도구 영선동2가 영선대로 82 105동 105호(영선동2가, 동부산아이존빌)</t>
        </is>
      </c>
      <c r="F1441" s="5" t="inlineStr"/>
      <c r="G1441" s="5" t="inlineStr">
        <is>
          <t>051-415-6636</t>
        </is>
      </c>
      <c r="H1441" s="12">
        <f>어린이집!T1062</f>
        <v/>
      </c>
      <c r="I1441" s="5" t="inlineStr">
        <is>
          <t>만0세 2 / 만1세 6 / 영유아혼합반 6 / 기타(연령구분 없음) 8</t>
        </is>
      </c>
    </row>
    <row r="1442">
      <c r="A1442" s="5" t="inlineStr">
        <is>
          <t>영도초등학교어린이집</t>
        </is>
      </c>
      <c r="B1442" s="5" t="inlineStr">
        <is>
          <t>어린이집</t>
        </is>
      </c>
      <c r="C1442" s="5" t="inlineStr">
        <is>
          <t>국공립</t>
        </is>
      </c>
      <c r="D1442" s="5" t="inlineStr">
        <is>
          <t>영도구</t>
        </is>
      </c>
      <c r="E1442" s="5" t="inlineStr">
        <is>
          <t>부산광역시 영도구 꿈나무길 41 (신선동1가)</t>
        </is>
      </c>
      <c r="F1442" s="5" t="inlineStr"/>
      <c r="G1442" s="5" t="inlineStr">
        <is>
          <t>051-412-4664</t>
        </is>
      </c>
      <c r="H1442" s="12">
        <f>어린이집!T1063</f>
        <v/>
      </c>
      <c r="I1442" s="5" t="inlineStr">
        <is>
          <t>만0세 9 / 만1세 10 / 만2세 28 / 기타(연령구분 없음) 5</t>
        </is>
      </c>
    </row>
    <row r="1443">
      <c r="A1443" s="5" t="inlineStr">
        <is>
          <t>영선어린이집</t>
        </is>
      </c>
      <c r="B1443" s="5" t="inlineStr">
        <is>
          <t>어린이집</t>
        </is>
      </c>
      <c r="C1443" s="5" t="inlineStr">
        <is>
          <t>국공립</t>
        </is>
      </c>
      <c r="D1443" s="5" t="inlineStr">
        <is>
          <t>영도구</t>
        </is>
      </c>
      <c r="E1443" s="5" t="inlineStr">
        <is>
          <t>부산광역시 영도구 향토길 22 (영선동4가)</t>
        </is>
      </c>
      <c r="F1443" s="11" t="inlineStr">
        <is>
          <t>https://blog.naver.com/ys4963_</t>
        </is>
      </c>
      <c r="G1443" s="5" t="inlineStr">
        <is>
          <t>051-416-4963</t>
        </is>
      </c>
      <c r="H1443" s="12">
        <f>어린이집!T1064</f>
        <v/>
      </c>
      <c r="I1443" s="5" t="inlineStr">
        <is>
          <t>영아혼합반 6 / 유아혼합반 6 / 장애아반(특수) 6 / 기타(연령구분 없음) 6</t>
        </is>
      </c>
    </row>
    <row r="1444">
      <c r="A1444" s="5" t="inlineStr">
        <is>
          <t>영지어린이집</t>
        </is>
      </c>
      <c r="B1444" s="5" t="inlineStr">
        <is>
          <t>어린이집</t>
        </is>
      </c>
      <c r="C1444" s="5" t="inlineStr">
        <is>
          <t>민간</t>
        </is>
      </c>
      <c r="D1444" s="5" t="inlineStr">
        <is>
          <t>영도구</t>
        </is>
      </c>
      <c r="E1444" s="5" t="inlineStr">
        <is>
          <t>부산광역시 영도구 와치로 2-13</t>
        </is>
      </c>
      <c r="F1444" s="11" t="inlineStr">
        <is>
          <t>http://영지어린이집.kr</t>
        </is>
      </c>
      <c r="G1444" s="5" t="inlineStr">
        <is>
          <t>051-417-3534</t>
        </is>
      </c>
      <c r="H1444" s="12">
        <f>어린이집!T1065</f>
        <v/>
      </c>
      <c r="I1444" s="5" t="inlineStr">
        <is>
          <t>만1세 4 / 만2세 10 / 만3세 11 / 영아혼합반 3 / 유아혼합반 8 / 기타(연령구분 없음) 15</t>
        </is>
      </c>
    </row>
    <row r="1445">
      <c r="A1445" s="5" t="inlineStr">
        <is>
          <t>오션라이프에일린의뜰1단지어린이집</t>
        </is>
      </c>
      <c r="B1445" s="5" t="inlineStr">
        <is>
          <t>어린이집</t>
        </is>
      </c>
      <c r="C1445" s="5" t="inlineStr">
        <is>
          <t>국공립</t>
        </is>
      </c>
      <c r="D1445" s="5" t="inlineStr">
        <is>
          <t>영도구</t>
        </is>
      </c>
      <c r="E1445" s="5" t="inlineStr">
        <is>
          <t>부산광역시 영도구 태종로 611 오션라이프에일린의뜰1단지 관리동</t>
        </is>
      </c>
      <c r="F1445" s="5" t="inlineStr"/>
      <c r="G1445" s="5" t="inlineStr">
        <is>
          <t>051-403-2029</t>
        </is>
      </c>
      <c r="H1445" s="12">
        <f>어린이집!T1066</f>
        <v/>
      </c>
      <c r="I1445" s="5" t="inlineStr">
        <is>
          <t>만0세 6 / 만1세 10 / 만2세 11 / 영아혼합반 3 / 유아혼합반 10 / 기타(연령구분 없음) 15</t>
        </is>
      </c>
    </row>
    <row r="1446">
      <c r="A1446" s="5" t="inlineStr">
        <is>
          <t>오션라이프에일린의뜰2단지어린이집</t>
        </is>
      </c>
      <c r="B1446" s="5" t="inlineStr">
        <is>
          <t>어린이집</t>
        </is>
      </c>
      <c r="C1446" s="5" t="inlineStr">
        <is>
          <t>국공립</t>
        </is>
      </c>
      <c r="D1446" s="5" t="inlineStr">
        <is>
          <t>영도구</t>
        </is>
      </c>
      <c r="E1446" s="5" t="inlineStr">
        <is>
          <t>부산광역시 영도구 태종로 611 오션라이프에일린의뜰2단지 관리동</t>
        </is>
      </c>
      <c r="F1446" s="5" t="inlineStr"/>
      <c r="G1446" s="5" t="inlineStr">
        <is>
          <t>051-404-1123</t>
        </is>
      </c>
      <c r="H1446" s="12">
        <f>어린이집!T1067</f>
        <v/>
      </c>
      <c r="I1446" s="5" t="inlineStr">
        <is>
          <t>만0세 5 / 만1세 11 / 만2세 6 / 영유아혼합반 7 / 기타(연령구분 없음) 10</t>
        </is>
      </c>
    </row>
    <row r="1447">
      <c r="A1447" s="5" t="inlineStr">
        <is>
          <t>와치어린이집</t>
        </is>
      </c>
      <c r="B1447" s="5" t="inlineStr">
        <is>
          <t>어린이집</t>
        </is>
      </c>
      <c r="C1447" s="5" t="inlineStr">
        <is>
          <t>국공립</t>
        </is>
      </c>
      <c r="D1447" s="5" t="inlineStr">
        <is>
          <t>영도구</t>
        </is>
      </c>
      <c r="E1447" s="5" t="inlineStr">
        <is>
          <t>부산광역시 영도구 청학서로 11 (청학동)</t>
        </is>
      </c>
      <c r="F1447" s="11" t="inlineStr">
        <is>
          <t>https://www.instagram.com/wachii.kids</t>
        </is>
      </c>
      <c r="G1447" s="5" t="inlineStr">
        <is>
          <t>051-416-6602</t>
        </is>
      </c>
      <c r="H1447" s="12">
        <f>어린이집!T1068</f>
        <v/>
      </c>
      <c r="I1447" s="5" t="inlineStr">
        <is>
          <t>만1세 4 / 유아혼합반 13 / 영유아혼합반 7 / 기타(연령구분 없음) 17</t>
        </is>
      </c>
    </row>
    <row r="1448">
      <c r="A1448" s="5" t="inlineStr">
        <is>
          <t>원광어린이집</t>
        </is>
      </c>
      <c r="B1448" s="5" t="inlineStr">
        <is>
          <t>어린이집</t>
        </is>
      </c>
      <c r="C1448" s="5" t="inlineStr">
        <is>
          <t>법인·단체등</t>
        </is>
      </c>
      <c r="D1448" s="5" t="inlineStr">
        <is>
          <t>영도구</t>
        </is>
      </c>
      <c r="E1448" s="5" t="inlineStr">
        <is>
          <t>부산광역시 영도구 태종로409번길 16-5</t>
        </is>
      </c>
      <c r="F1448" s="5" t="inlineStr"/>
      <c r="G1448" s="5" t="inlineStr">
        <is>
          <t>051-416-5919</t>
        </is>
      </c>
      <c r="H1448" s="12">
        <f>어린이집!T1069</f>
        <v/>
      </c>
      <c r="I1448" s="5" t="inlineStr">
        <is>
          <t>만0세 2 / 만1세 4 / 만2세 5 / 영아혼합반 6 / 유아혼합반 22 / 기타(연령구분 없음) 9</t>
        </is>
      </c>
    </row>
    <row r="1449">
      <c r="A1449" s="5" t="inlineStr">
        <is>
          <t>절영어린이집</t>
        </is>
      </c>
      <c r="B1449" s="5" t="inlineStr">
        <is>
          <t>어린이집</t>
        </is>
      </c>
      <c r="C1449" s="5" t="inlineStr">
        <is>
          <t>국공립</t>
        </is>
      </c>
      <c r="D1449" s="5" t="inlineStr">
        <is>
          <t>영도구</t>
        </is>
      </c>
      <c r="E1449" s="5" t="inlineStr">
        <is>
          <t>부산광역시 영도구 함지로 33-10 절영종합사회복지관 2층 절영어린이집</t>
        </is>
      </c>
      <c r="F1449" s="11" t="inlineStr">
        <is>
          <t>http://www.jy.or.kr</t>
        </is>
      </c>
      <c r="G1449" s="5" t="inlineStr">
        <is>
          <t>051-405-8254</t>
        </is>
      </c>
      <c r="H1449" s="12">
        <f>어린이집!T1070</f>
        <v/>
      </c>
      <c r="I1449" s="5" t="inlineStr">
        <is>
          <t>만0세 2 / 만1세 5 / 만2세 6 / 만3세 17 / 만5세 11 / 영아혼합반 3 / 유아혼합반 11 / 장애아반(특수) 3 / 기타(연령구분 없음) 47</t>
        </is>
      </c>
    </row>
    <row r="1450">
      <c r="A1450" s="5" t="inlineStr">
        <is>
          <t>지성어린이집</t>
        </is>
      </c>
      <c r="B1450" s="5" t="inlineStr">
        <is>
          <t>어린이집</t>
        </is>
      </c>
      <c r="C1450" s="5" t="inlineStr">
        <is>
          <t>사회복지법인</t>
        </is>
      </c>
      <c r="D1450" s="5" t="inlineStr">
        <is>
          <t>영도구</t>
        </is>
      </c>
      <c r="E1450" s="5" t="inlineStr">
        <is>
          <t>부산광역시 영도구 아랫서발길 58 6통3반 (동삼동)</t>
        </is>
      </c>
      <c r="F1450" s="11" t="inlineStr">
        <is>
          <t>http://cafe.naver.com/4057404</t>
        </is>
      </c>
      <c r="G1450" s="5" t="inlineStr">
        <is>
          <t>051-405-7404</t>
        </is>
      </c>
      <c r="H1450" s="12">
        <f>어린이집!T1071</f>
        <v/>
      </c>
      <c r="I1450" s="5" t="inlineStr">
        <is>
          <t>만0세 2 / 만1세 5 / 만2세 6 / 유아혼합반 6 / 영유아혼합반 6 / 기타(연령구분 없음) 5</t>
        </is>
      </c>
    </row>
    <row r="1451">
      <c r="A1451" s="5" t="inlineStr">
        <is>
          <t>한국해양어린이집</t>
        </is>
      </c>
      <c r="B1451" s="5" t="inlineStr">
        <is>
          <t>어린이집</t>
        </is>
      </c>
      <c r="C1451" s="5" t="inlineStr">
        <is>
          <t>직장</t>
        </is>
      </c>
      <c r="D1451" s="5" t="inlineStr">
        <is>
          <t>영도구</t>
        </is>
      </c>
      <c r="E1451" s="5" t="inlineStr">
        <is>
          <t>부산광역시 영도구 태종로 727</t>
        </is>
      </c>
      <c r="F1451" s="5" t="inlineStr"/>
      <c r="G1451" s="5" t="inlineStr">
        <is>
          <t>051-410-5300</t>
        </is>
      </c>
      <c r="H1451" s="12">
        <f>어린이집!T1072</f>
        <v/>
      </c>
      <c r="I1451" s="5" t="inlineStr">
        <is>
          <t>만1세 8 / 만2세 9 / 만3세 5 / 유아혼합반 7 / 기타(연령구분 없음) 17</t>
        </is>
      </c>
    </row>
    <row r="1452">
      <c r="A1452" s="5" t="inlineStr">
        <is>
          <t>해돋이어린이집</t>
        </is>
      </c>
      <c r="B1452" s="5" t="inlineStr">
        <is>
          <t>어린이집</t>
        </is>
      </c>
      <c r="C1452" s="5" t="inlineStr">
        <is>
          <t>민간</t>
        </is>
      </c>
      <c r="D1452" s="5" t="inlineStr">
        <is>
          <t>영도구</t>
        </is>
      </c>
      <c r="E1452" s="5" t="inlineStr">
        <is>
          <t>부산광역시 영도구 절영로7번길 4 (봉래동1가)</t>
        </is>
      </c>
      <c r="F1452" s="11" t="inlineStr">
        <is>
          <t>http://haezzang5389@hanmail.net</t>
        </is>
      </c>
      <c r="G1452" s="5" t="inlineStr">
        <is>
          <t>051-415-5389</t>
        </is>
      </c>
      <c r="H1452" s="12">
        <f>어린이집!T1073</f>
        <v/>
      </c>
      <c r="I1452" s="5" t="inlineStr">
        <is>
          <t>만0세 9 / 만2세 15 / 만3세 11 / 영아혼합반 15 / 유아혼합반 28 / 기타(연령구분 없음) 5</t>
        </is>
      </c>
    </row>
    <row r="1453">
      <c r="A1453" s="5" t="inlineStr">
        <is>
          <t>효성어린이집</t>
        </is>
      </c>
      <c r="B1453" s="5" t="inlineStr">
        <is>
          <t>어린이집</t>
        </is>
      </c>
      <c r="C1453" s="5" t="inlineStr">
        <is>
          <t>법인·단체등</t>
        </is>
      </c>
      <c r="D1453" s="5" t="inlineStr">
        <is>
          <t>영도구</t>
        </is>
      </c>
      <c r="E1453" s="5" t="inlineStr">
        <is>
          <t>부산광역시 영도구 청학로 35 (청학동)</t>
        </is>
      </c>
      <c r="F1453" s="5" t="inlineStr"/>
      <c r="G1453" s="5" t="inlineStr">
        <is>
          <t>051-418-1296</t>
        </is>
      </c>
      <c r="H1453" s="12">
        <f>어린이집!T1074</f>
        <v/>
      </c>
      <c r="I1453" s="5" t="inlineStr">
        <is>
          <t>만0세 2 / 만1세 5 / 영아혼합반 5 / 유아혼합반 9 / 기타(연령구분 없음) 13</t>
        </is>
      </c>
    </row>
    <row r="1454">
      <c r="A1454" s="5" t="inlineStr">
        <is>
          <t>노틀담어린이집</t>
        </is>
      </c>
      <c r="B1454" s="5" t="inlineStr">
        <is>
          <t>어린이집</t>
        </is>
      </c>
      <c r="C1454" s="5" t="inlineStr">
        <is>
          <t>국공립</t>
        </is>
      </c>
      <c r="D1454" s="5" t="inlineStr">
        <is>
          <t>중구</t>
        </is>
      </c>
      <c r="E1454" s="5" t="inlineStr">
        <is>
          <t>부산광역시 중구 망양로 309 (대청동4가)</t>
        </is>
      </c>
      <c r="F1454" s="11" t="inlineStr">
        <is>
          <t>http://cafe.daum.net/ntdbusan</t>
        </is>
      </c>
      <c r="G1454" s="5" t="inlineStr">
        <is>
          <t>051-464-0570</t>
        </is>
      </c>
      <c r="H1454" s="12">
        <f>어린이집!T1075</f>
        <v/>
      </c>
      <c r="I1454" s="5" t="inlineStr">
        <is>
          <t>만1세 3 / 만2세 7 / 유아혼합반 5 / 장애아반(특수) 2 / 기타(연령구분 없음) 12</t>
        </is>
      </c>
    </row>
    <row r="1455">
      <c r="A1455" s="5" t="inlineStr">
        <is>
          <t>다사랑어린이집</t>
        </is>
      </c>
      <c r="B1455" s="5" t="inlineStr">
        <is>
          <t>어린이집</t>
        </is>
      </c>
      <c r="C1455" s="5" t="inlineStr">
        <is>
          <t>국공립</t>
        </is>
      </c>
      <c r="D1455" s="5" t="inlineStr">
        <is>
          <t>중구</t>
        </is>
      </c>
      <c r="E1455" s="5" t="inlineStr">
        <is>
          <t>부산광역시 중구 보수동1가 보수대로140번길 61 보수동주민센터3층 (보수동1가)</t>
        </is>
      </c>
      <c r="F1455" s="11" t="inlineStr">
        <is>
          <t>http://instagram.com/dasarang2455076</t>
        </is>
      </c>
      <c r="G1455" s="5" t="inlineStr">
        <is>
          <t>051-245-5078</t>
        </is>
      </c>
      <c r="H1455" s="12">
        <f>어린이집!T1076</f>
        <v/>
      </c>
      <c r="I1455" s="5" t="inlineStr">
        <is>
          <t>만0세 6 / 만1세 15 / 만2세 9 / 유아혼합반 9 / 기타(연령구분 없음) 3</t>
        </is>
      </c>
    </row>
    <row r="1456">
      <c r="A1456" s="5" t="inlineStr">
        <is>
          <t>대청어린이집</t>
        </is>
      </c>
      <c r="B1456" s="5" t="inlineStr">
        <is>
          <t>어린이집</t>
        </is>
      </c>
      <c r="C1456" s="5" t="inlineStr">
        <is>
          <t>민간</t>
        </is>
      </c>
      <c r="D1456" s="5" t="inlineStr">
        <is>
          <t>중구</t>
        </is>
      </c>
      <c r="E1456" s="5" t="inlineStr">
        <is>
          <t>부산광역시 중구 망양로383번안길 25 (영주동)</t>
        </is>
      </c>
      <c r="F1456" s="5" t="inlineStr"/>
      <c r="G1456" s="5" t="inlineStr">
        <is>
          <t>051-465-2922</t>
        </is>
      </c>
      <c r="H1456" s="12">
        <f>어린이집!T1077</f>
        <v/>
      </c>
      <c r="I1456" s="5" t="inlineStr">
        <is>
          <t>만0세 2 / 만2세 5 / 만3세 18 / 만5세 19 / 영아혼합반 11 / 유아혼합반 11 / 기타(연령구분 없음) 20</t>
        </is>
      </c>
    </row>
    <row r="1457">
      <c r="A1457" s="5" t="inlineStr">
        <is>
          <t>메리놀병원어린이집</t>
        </is>
      </c>
      <c r="B1457" s="5" t="inlineStr">
        <is>
          <t>어린이집</t>
        </is>
      </c>
      <c r="C1457" s="5" t="inlineStr">
        <is>
          <t>직장</t>
        </is>
      </c>
      <c r="D1457" s="5" t="inlineStr">
        <is>
          <t>중구</t>
        </is>
      </c>
      <c r="E1457" s="5" t="inlineStr">
        <is>
          <t>부산광역시 중구 대청동4가 중구로 121 (메리놀병원)</t>
        </is>
      </c>
      <c r="F1457" s="5" t="inlineStr"/>
      <c r="G1457" s="5" t="inlineStr">
        <is>
          <t>051-461-2319</t>
        </is>
      </c>
      <c r="H1457" s="12">
        <f>어린이집!T1078</f>
        <v/>
      </c>
      <c r="I1457" s="5" t="inlineStr">
        <is>
          <t>만0세 4 / 영아혼합반 5 / 기타(연령구분 없음) 7</t>
        </is>
      </c>
    </row>
    <row r="1458">
      <c r="A1458" s="5" t="inlineStr">
        <is>
          <t>보현어린이집</t>
        </is>
      </c>
      <c r="B1458" s="5" t="inlineStr">
        <is>
          <t>어린이집</t>
        </is>
      </c>
      <c r="C1458" s="5" t="inlineStr">
        <is>
          <t>사회복지법인</t>
        </is>
      </c>
      <c r="D1458" s="5" t="inlineStr">
        <is>
          <t>중구</t>
        </is>
      </c>
      <c r="E1458" s="5" t="inlineStr">
        <is>
          <t>부산광역시 중구 흑교로31번길 34-1</t>
        </is>
      </c>
      <c r="F1458" s="11" t="inlineStr">
        <is>
          <t>http://cafe.daum.net/2443362</t>
        </is>
      </c>
      <c r="G1458" s="5" t="inlineStr">
        <is>
          <t>051-244-3362</t>
        </is>
      </c>
      <c r="H1458" s="12">
        <f>어린이집!T1079</f>
        <v/>
      </c>
      <c r="I1458" s="5" t="inlineStr">
        <is>
          <t>장애아반(특수) 22</t>
        </is>
      </c>
    </row>
    <row r="1459">
      <c r="A1459" s="5" t="inlineStr">
        <is>
          <t>부산세관어린이집</t>
        </is>
      </c>
      <c r="B1459" s="5" t="inlineStr">
        <is>
          <t>어린이집</t>
        </is>
      </c>
      <c r="C1459" s="5" t="inlineStr">
        <is>
          <t>직장</t>
        </is>
      </c>
      <c r="D1459" s="5" t="inlineStr">
        <is>
          <t>중구</t>
        </is>
      </c>
      <c r="E1459" s="5" t="inlineStr">
        <is>
          <t>부산광역시 중구 충장대로 20 (중앙동4가)</t>
        </is>
      </c>
      <c r="F1459" s="5" t="inlineStr"/>
      <c r="G1459" s="5" t="inlineStr">
        <is>
          <t>051-620-6088</t>
        </is>
      </c>
      <c r="H1459" s="12">
        <f>어린이집!T1080</f>
        <v/>
      </c>
      <c r="I1459" s="5" t="inlineStr">
        <is>
          <t>만1세 7 / 만2세 7 / 만3세 7 / 유아혼합반 8 / 기타(연령구분 없음) 22</t>
        </is>
      </c>
    </row>
    <row r="1460">
      <c r="A1460" s="5" t="inlineStr">
        <is>
          <t>성모희보어린이집</t>
        </is>
      </c>
      <c r="B1460" s="5" t="inlineStr">
        <is>
          <t>어린이집</t>
        </is>
      </c>
      <c r="C1460" s="5" t="inlineStr">
        <is>
          <t>민간</t>
        </is>
      </c>
      <c r="D1460" s="5" t="inlineStr">
        <is>
          <t>중구</t>
        </is>
      </c>
      <c r="E1460" s="5" t="inlineStr">
        <is>
          <t>부산광역시 중구 중구로97번길 7 (대청동4가)</t>
        </is>
      </c>
      <c r="F1460" s="5" t="inlineStr"/>
      <c r="G1460" s="5" t="inlineStr">
        <is>
          <t>051-466-0363</t>
        </is>
      </c>
      <c r="H1460" s="12">
        <f>어린이집!T1081</f>
        <v/>
      </c>
      <c r="I1460" s="5" t="inlineStr">
        <is>
          <t>만2세 6 / 영아혼합반 2 / 유아혼합반 25 / 기타(연령구분 없음) 13</t>
        </is>
      </c>
    </row>
    <row r="1461">
      <c r="A1461" s="5" t="inlineStr">
        <is>
          <t>숲속어린이집</t>
        </is>
      </c>
      <c r="B1461" s="5" t="inlineStr">
        <is>
          <t>어린이집</t>
        </is>
      </c>
      <c r="C1461" s="5" t="inlineStr">
        <is>
          <t>민간</t>
        </is>
      </c>
      <c r="D1461" s="5" t="inlineStr">
        <is>
          <t>중구</t>
        </is>
      </c>
      <c r="E1461" s="5" t="inlineStr">
        <is>
          <t>부산광역시 중구 고가길 40 책방골목1길12 (보수동1가)</t>
        </is>
      </c>
      <c r="F1461" s="5" t="inlineStr"/>
      <c r="G1461" s="5" t="inlineStr">
        <is>
          <t>051-256-1843</t>
        </is>
      </c>
      <c r="H1461" s="12">
        <f>어린이집!T1082</f>
        <v/>
      </c>
      <c r="I1461" s="5" t="inlineStr">
        <is>
          <t>만0세 2 / 만1세 10 / 만2세 26 / 만3세 17 / 영아혼합반 2 / 기타(연령구분 없음) 8</t>
        </is>
      </c>
    </row>
    <row r="1462">
      <c r="A1462" s="5" t="inlineStr">
        <is>
          <t>천사어린이집</t>
        </is>
      </c>
      <c r="B1462" s="5" t="inlineStr">
        <is>
          <t>어린이집</t>
        </is>
      </c>
      <c r="C1462" s="5" t="inlineStr">
        <is>
          <t>가정</t>
        </is>
      </c>
      <c r="D1462" s="5" t="inlineStr">
        <is>
          <t>중구</t>
        </is>
      </c>
      <c r="E1462" s="5" t="inlineStr">
        <is>
          <t>부산광역시 중구 영주로 65 102동 110호(영주동, 동아아파트)</t>
        </is>
      </c>
      <c r="F1462" s="5" t="inlineStr"/>
      <c r="G1462" s="5" t="inlineStr">
        <is>
          <t>051-464-8840</t>
        </is>
      </c>
      <c r="H1462" s="12">
        <f>어린이집!T1083</f>
        <v/>
      </c>
      <c r="I1462" s="5" t="inlineStr">
        <is>
          <t>만0세 3 / 영아혼합반 5 / 기타(연령구분 없음) 3</t>
        </is>
      </c>
    </row>
    <row r="1463">
      <c r="A1463" s="5" t="inlineStr">
        <is>
          <t>하임어린이집</t>
        </is>
      </c>
      <c r="B1463" s="5" t="inlineStr">
        <is>
          <t>어린이집</t>
        </is>
      </c>
      <c r="C1463" s="5" t="inlineStr">
        <is>
          <t>직장</t>
        </is>
      </c>
      <c r="D1463" s="5" t="inlineStr">
        <is>
          <t>중구</t>
        </is>
      </c>
      <c r="E1463" s="5" t="inlineStr">
        <is>
          <t>부산광역시 중구 광복중앙로 33 5층</t>
        </is>
      </c>
      <c r="F1463" s="5" t="inlineStr"/>
      <c r="G1463" s="5" t="inlineStr">
        <is>
          <t>051-242-0191</t>
        </is>
      </c>
      <c r="H1463" s="12">
        <f>어린이집!T1084</f>
        <v/>
      </c>
      <c r="I1463" s="5" t="inlineStr">
        <is>
          <t>만3세 3 / 영아혼합반 5 / 유아혼합반 4</t>
        </is>
      </c>
    </row>
    <row r="1464">
      <c r="A1464" s="5" t="inlineStr">
        <is>
          <t>BNK해운대어린이집</t>
        </is>
      </c>
      <c r="B1464" s="5" t="inlineStr">
        <is>
          <t>어린이집</t>
        </is>
      </c>
      <c r="C1464" s="5" t="inlineStr">
        <is>
          <t>직장</t>
        </is>
      </c>
      <c r="D1464" s="5" t="inlineStr">
        <is>
          <t>해운대구</t>
        </is>
      </c>
      <c r="E1464" s="5" t="inlineStr">
        <is>
          <t>부산광역시 해운대구 대천로42번길 42 (중동)</t>
        </is>
      </c>
      <c r="F1464" s="11" t="inlineStr">
        <is>
          <t>http://www.puruni.com/busanbank2</t>
        </is>
      </c>
      <c r="G1464" s="5" t="inlineStr">
        <is>
          <t>051-746-2619</t>
        </is>
      </c>
      <c r="H1464" s="12">
        <f>어린이집!T1085</f>
        <v/>
      </c>
      <c r="I1464" s="5" t="inlineStr">
        <is>
          <t>만1세 6 / 만2세 6 / 유아혼합반 6 / 기타(연령구분 없음) 14</t>
        </is>
      </c>
    </row>
    <row r="1465">
      <c r="A1465" s="5" t="inlineStr">
        <is>
          <t>EQ랜드 어린이집</t>
        </is>
      </c>
      <c r="B1465" s="5" t="inlineStr">
        <is>
          <t>어린이집</t>
        </is>
      </c>
      <c r="C1465" s="5" t="inlineStr">
        <is>
          <t>가정</t>
        </is>
      </c>
      <c r="D1465" s="5" t="inlineStr">
        <is>
          <t>해운대구</t>
        </is>
      </c>
      <c r="E1465" s="5" t="inlineStr">
        <is>
          <t>부산광역시 해운대구 대천로 35 106동 101호(좌동, 효성코오롱아파트)</t>
        </is>
      </c>
      <c r="F1465" s="11" t="inlineStr">
        <is>
          <t>http://eq9202@hanmail.net</t>
        </is>
      </c>
      <c r="G1465" s="5" t="inlineStr">
        <is>
          <t>051-747-9202</t>
        </is>
      </c>
      <c r="H1465" s="12">
        <f>어린이집!T1086</f>
        <v/>
      </c>
      <c r="I1465" s="5" t="inlineStr">
        <is>
          <t>만0세 4 / 만1세 5 / 만2세 6 / 영아혼합반 4 / 기타(연령구분 없음) 6</t>
        </is>
      </c>
    </row>
    <row r="1466">
      <c r="A1466" s="5" t="inlineStr">
        <is>
          <t>LG나리어린이집</t>
        </is>
      </c>
      <c r="B1466" s="5" t="inlineStr">
        <is>
          <t>어린이집</t>
        </is>
      </c>
      <c r="C1466" s="5" t="inlineStr">
        <is>
          <t>가정</t>
        </is>
      </c>
      <c r="D1466" s="5" t="inlineStr">
        <is>
          <t>해운대구</t>
        </is>
      </c>
      <c r="E1466" s="5" t="inlineStr">
        <is>
          <t>부산광역시 해운대구 대천로103번길 61 121동 104호(좌동, 엘지아파트)</t>
        </is>
      </c>
      <c r="F1466" s="5" t="inlineStr"/>
      <c r="G1466" s="5" t="inlineStr">
        <is>
          <t>051-702-7913</t>
        </is>
      </c>
      <c r="H1466" s="12">
        <f>어린이집!T1087</f>
        <v/>
      </c>
      <c r="I1466" s="5" t="inlineStr">
        <is>
          <t>만1세 3 / 영아혼합반 5 / 기타(연령구분 없음) 14</t>
        </is>
      </c>
    </row>
    <row r="1467">
      <c r="A1467" s="5" t="inlineStr">
        <is>
          <t>LG서머힐어린이집</t>
        </is>
      </c>
      <c r="B1467" s="5" t="inlineStr">
        <is>
          <t>어린이집</t>
        </is>
      </c>
      <c r="C1467" s="5" t="inlineStr">
        <is>
          <t>가정</t>
        </is>
      </c>
      <c r="D1467" s="5" t="inlineStr">
        <is>
          <t>해운대구</t>
        </is>
      </c>
      <c r="E1467" s="5" t="inlineStr">
        <is>
          <t>부산광역시 해운대구 대천로103번길 61 119동 101호(좌동, 엘지2차아파트)</t>
        </is>
      </c>
      <c r="F1467" s="11" t="inlineStr">
        <is>
          <t>http://lgsummerhill@nate.com</t>
        </is>
      </c>
      <c r="G1467" s="5" t="inlineStr">
        <is>
          <t>051-701-8637</t>
        </is>
      </c>
      <c r="H1467" s="12">
        <f>어린이집!T1088</f>
        <v/>
      </c>
      <c r="I1467" s="5" t="inlineStr">
        <is>
          <t>만0세 5 / 만1세 7 / 만2세 7 / 기타(연령구분 없음) 7</t>
        </is>
      </c>
    </row>
    <row r="1468">
      <c r="A1468" s="5" t="inlineStr">
        <is>
          <t>LG어린이집</t>
        </is>
      </c>
      <c r="B1468" s="5" t="inlineStr">
        <is>
          <t>어린이집</t>
        </is>
      </c>
      <c r="C1468" s="5" t="inlineStr">
        <is>
          <t>민간</t>
        </is>
      </c>
      <c r="D1468" s="5" t="inlineStr">
        <is>
          <t>해운대구</t>
        </is>
      </c>
      <c r="E1468" s="5" t="inlineStr">
        <is>
          <t>부산광역시 해운대구 대천로103번길 61 관리동 (좌동,LG아파트)</t>
        </is>
      </c>
      <c r="F1468" s="5" t="inlineStr"/>
      <c r="G1468" s="5" t="inlineStr">
        <is>
          <t>051-703-7997</t>
        </is>
      </c>
      <c r="H1468" s="12">
        <f>어린이집!T1089</f>
        <v/>
      </c>
      <c r="I1468" s="5" t="inlineStr">
        <is>
          <t>만0세 1 / 만1세 7 / 만2세 5 / 기타(연령구분 없음) 3</t>
        </is>
      </c>
    </row>
    <row r="1469">
      <c r="A1469" s="5" t="inlineStr">
        <is>
          <t>YMCA 어린이집</t>
        </is>
      </c>
      <c r="B1469" s="5" t="inlineStr">
        <is>
          <t>어린이집</t>
        </is>
      </c>
      <c r="C1469" s="5" t="inlineStr">
        <is>
          <t>국공립</t>
        </is>
      </c>
      <c r="D1469" s="5" t="inlineStr">
        <is>
          <t>해운대구</t>
        </is>
      </c>
      <c r="E1469" s="5" t="inlineStr">
        <is>
          <t>부산광역시 해운대구 아랫반송로1번길 15 반송 종합 복지관 (반송동)</t>
        </is>
      </c>
      <c r="F1469" s="5" t="inlineStr"/>
      <c r="G1469" s="5" t="inlineStr">
        <is>
          <t>051-544-8010</t>
        </is>
      </c>
      <c r="H1469" s="12">
        <f>어린이집!T1090</f>
        <v/>
      </c>
      <c r="I1469" s="5" t="inlineStr">
        <is>
          <t>만0세 8 / 만1세 5 / 만2세 7 / 유아혼합반 14 / 장애아반(특수) 3 / 기타(연령구분 없음) 14</t>
        </is>
      </c>
    </row>
    <row r="1470">
      <c r="A1470" s="5" t="inlineStr">
        <is>
          <t>경동리인뷰2차어린이집</t>
        </is>
      </c>
      <c r="B1470" s="5" t="inlineStr">
        <is>
          <t>어린이집</t>
        </is>
      </c>
      <c r="C1470" s="5" t="inlineStr">
        <is>
          <t>국공립</t>
        </is>
      </c>
      <c r="D1470" s="5" t="inlineStr">
        <is>
          <t>해운대구</t>
        </is>
      </c>
      <c r="E1470" s="5" t="inlineStr">
        <is>
          <t>부산광역시 해운대구 구남로 21 203동 3층(우동, 경동리인뷰2차)</t>
        </is>
      </c>
      <c r="F1470" s="5" t="inlineStr"/>
      <c r="G1470" s="5" t="inlineStr">
        <is>
          <t>051-711-2120</t>
        </is>
      </c>
      <c r="H1470" s="12">
        <f>어린이집!T1091</f>
        <v/>
      </c>
      <c r="I1470" s="5" t="inlineStr">
        <is>
          <t>만0세 9 / 만1세 14 / 만2세 14 / 기타(연령구분 없음) 4</t>
        </is>
      </c>
    </row>
    <row r="1471">
      <c r="A1471" s="5" t="inlineStr">
        <is>
          <t>광덕어린이집</t>
        </is>
      </c>
      <c r="B1471" s="5" t="inlineStr">
        <is>
          <t>어린이집</t>
        </is>
      </c>
      <c r="C1471" s="5" t="inlineStr">
        <is>
          <t>민간</t>
        </is>
      </c>
      <c r="D1471" s="5" t="inlineStr">
        <is>
          <t>해운대구</t>
        </is>
      </c>
      <c r="E1471" s="5" t="inlineStr">
        <is>
          <t>부산광역시 해운대구 청사포로67번길 1-9</t>
        </is>
      </c>
      <c r="F1471" s="11" t="inlineStr">
        <is>
          <t>http://kdc6784@hanmail.net</t>
        </is>
      </c>
      <c r="G1471" s="5" t="inlineStr">
        <is>
          <t>051-703-6784</t>
        </is>
      </c>
      <c r="H1471" s="12">
        <f>어린이집!T1092</f>
        <v/>
      </c>
      <c r="I1471" s="5" t="inlineStr">
        <is>
          <t>만1세 20 / 만2세 25</t>
        </is>
      </c>
    </row>
    <row r="1472">
      <c r="A1472" s="5" t="inlineStr">
        <is>
          <t>꽃담비어린이집</t>
        </is>
      </c>
      <c r="B1472" s="5" t="inlineStr">
        <is>
          <t>어린이집</t>
        </is>
      </c>
      <c r="C1472" s="5" t="inlineStr">
        <is>
          <t>국공립</t>
        </is>
      </c>
      <c r="D1472" s="5" t="inlineStr">
        <is>
          <t>해운대구</t>
        </is>
      </c>
      <c r="E1472" s="5" t="inlineStr">
        <is>
          <t>부산광역시 해운대구 대천로 35 관리동</t>
        </is>
      </c>
      <c r="F1472" s="5" t="inlineStr"/>
      <c r="G1472" s="5" t="inlineStr">
        <is>
          <t>051-929-3553</t>
        </is>
      </c>
      <c r="H1472" s="12">
        <f>어린이집!T1093</f>
        <v/>
      </c>
      <c r="I1472" s="5" t="inlineStr">
        <is>
          <t>만0세 6 / 만1세 14 / 만2세 10 / 기타(연령구분 없음) 3</t>
        </is>
      </c>
    </row>
    <row r="1473">
      <c r="A1473" s="5" t="inlineStr">
        <is>
          <t>꽃망울어린이집</t>
        </is>
      </c>
      <c r="B1473" s="5" t="inlineStr">
        <is>
          <t>어린이집</t>
        </is>
      </c>
      <c r="C1473" s="5" t="inlineStr">
        <is>
          <t>민간</t>
        </is>
      </c>
      <c r="D1473" s="5" t="inlineStr">
        <is>
          <t>해운대구</t>
        </is>
      </c>
      <c r="E1473" s="5" t="inlineStr">
        <is>
          <t>부산광역시 해운대구 해운대로81번가길 18-5</t>
        </is>
      </c>
      <c r="F1473" s="11" t="inlineStr">
        <is>
          <t>http://cafe.daum.net/busanRhcakddnf</t>
        </is>
      </c>
      <c r="G1473" s="5" t="inlineStr">
        <is>
          <t>051-782-4976</t>
        </is>
      </c>
      <c r="H1473" s="12">
        <f>어린이집!T1094</f>
        <v/>
      </c>
      <c r="I1473" s="5" t="inlineStr">
        <is>
          <t>만0세 5 / 만1세 4 / 만2세 9 / 만3세 11 / 유아혼합반 19 / 기타(연령구분 없음) 25</t>
        </is>
      </c>
    </row>
    <row r="1474">
      <c r="A1474" s="5" t="inlineStr">
        <is>
          <t>꾸러기어린이집</t>
        </is>
      </c>
      <c r="B1474" s="5" t="inlineStr">
        <is>
          <t>어린이집</t>
        </is>
      </c>
      <c r="C1474" s="5" t="inlineStr">
        <is>
          <t>가정</t>
        </is>
      </c>
      <c r="D1474" s="5" t="inlineStr">
        <is>
          <t>해운대구</t>
        </is>
      </c>
      <c r="E1474" s="5" t="inlineStr">
        <is>
          <t>부산광역시 해운대구 대천로 187 108동 103호(좌동, 화목아파트)</t>
        </is>
      </c>
      <c r="F1474" s="11" t="inlineStr">
        <is>
          <t>http://cafe.daum.net/lovely-babies</t>
        </is>
      </c>
      <c r="G1474" s="5" t="inlineStr">
        <is>
          <t>051-703-3173</t>
        </is>
      </c>
      <c r="H1474" s="12">
        <f>어린이집!T1095</f>
        <v/>
      </c>
      <c r="I1474" s="5" t="inlineStr">
        <is>
          <t>만0세 8 / 영아혼합반 5 / 기타(연령구분 없음) 6</t>
        </is>
      </c>
    </row>
    <row r="1475">
      <c r="A1475" s="5" t="inlineStr">
        <is>
          <t>꿈밭어린이집</t>
        </is>
      </c>
      <c r="B1475" s="5" t="inlineStr">
        <is>
          <t>어린이집</t>
        </is>
      </c>
      <c r="C1475" s="5" t="inlineStr">
        <is>
          <t>가정</t>
        </is>
      </c>
      <c r="D1475" s="5" t="inlineStr">
        <is>
          <t>해운대구</t>
        </is>
      </c>
      <c r="E1475" s="5" t="inlineStr">
        <is>
          <t>부산광역시 해운대구 선수촌로 95 105동 103호(반여동, 삼해대림아파트)</t>
        </is>
      </c>
      <c r="F1475" s="5" t="inlineStr"/>
      <c r="G1475" s="5" t="inlineStr">
        <is>
          <t>051-522-2403</t>
        </is>
      </c>
      <c r="H1475" s="12">
        <f>어린이집!T1096</f>
        <v/>
      </c>
      <c r="I1475" s="5" t="inlineStr">
        <is>
          <t>영아혼합반 4 / 기타(연령구분 없음) 3</t>
        </is>
      </c>
    </row>
    <row r="1476">
      <c r="A1476" s="5" t="inlineStr">
        <is>
          <t>꿈에그린 어린이집</t>
        </is>
      </c>
      <c r="B1476" s="5" t="inlineStr">
        <is>
          <t>어린이집</t>
        </is>
      </c>
      <c r="C1476" s="5" t="inlineStr">
        <is>
          <t>민간</t>
        </is>
      </c>
      <c r="D1476" s="5" t="inlineStr">
        <is>
          <t>해운대구</t>
        </is>
      </c>
      <c r="E1476" s="5" t="inlineStr">
        <is>
          <t>부산광역시 해운대구 반여로 67 한화꿈에그린103동(관리동)</t>
        </is>
      </c>
      <c r="F1476" s="5" t="inlineStr"/>
      <c r="G1476" s="5" t="inlineStr">
        <is>
          <t>051-526-1713</t>
        </is>
      </c>
      <c r="H1476" s="12">
        <f>어린이집!T1097</f>
        <v/>
      </c>
      <c r="I1476" s="5" t="inlineStr">
        <is>
          <t>만0세 5 / 만1세 10 / 만2세 14 / 영아혼합반 10 / 기타(연령구분 없음) 3</t>
        </is>
      </c>
    </row>
    <row r="1477">
      <c r="A1477" s="5" t="inlineStr">
        <is>
          <t>낙천대푸른어린이집</t>
        </is>
      </c>
      <c r="B1477" s="5" t="inlineStr">
        <is>
          <t>어린이집</t>
        </is>
      </c>
      <c r="C1477" s="5" t="inlineStr">
        <is>
          <t>민간</t>
        </is>
      </c>
      <c r="D1477" s="5" t="inlineStr">
        <is>
          <t>해운대구</t>
        </is>
      </c>
      <c r="E1477" s="5" t="inlineStr">
        <is>
          <t>부산광역시 해운대구 중동2로34번길 29 102동 103호(중동, 해운대롯데낙천대)</t>
        </is>
      </c>
      <c r="F1477" s="11" t="inlineStr">
        <is>
          <t>http://www.푸른어린이집.com</t>
        </is>
      </c>
      <c r="G1477" s="5" t="inlineStr">
        <is>
          <t>051-731-3223</t>
        </is>
      </c>
      <c r="H1477" s="12">
        <f>어린이집!T1098</f>
        <v/>
      </c>
      <c r="I1477" s="5" t="inlineStr">
        <is>
          <t>만0세 13 / 만1세 19 / 만2세 21 / 기타(연령구분 없음) 10</t>
        </is>
      </c>
    </row>
    <row r="1478">
      <c r="A1478" s="5" t="inlineStr">
        <is>
          <t>남흥어린이집</t>
        </is>
      </c>
      <c r="B1478" s="5" t="inlineStr">
        <is>
          <t>어린이집</t>
        </is>
      </c>
      <c r="C1478" s="5" t="inlineStr">
        <is>
          <t>가정</t>
        </is>
      </c>
      <c r="D1478" s="5" t="inlineStr">
        <is>
          <t>해운대구</t>
        </is>
      </c>
      <c r="E1478" s="5" t="inlineStr">
        <is>
          <t>부산광역시 해운대구 신반송로 163 102동 101호(반송동, 남흥)</t>
        </is>
      </c>
      <c r="F1478" s="11" t="inlineStr">
        <is>
          <t>http://cyworld / ckj-rainbow@yahoo.co.kr</t>
        </is>
      </c>
      <c r="G1478" s="5" t="inlineStr">
        <is>
          <t>051-542-7532</t>
        </is>
      </c>
      <c r="H1478" s="12">
        <f>어린이집!T1099</f>
        <v/>
      </c>
      <c r="I1478" s="5" t="inlineStr">
        <is>
          <t>만2세 1 / 영아혼합반 1</t>
        </is>
      </c>
    </row>
    <row r="1479">
      <c r="A1479" s="5" t="inlineStr">
        <is>
          <t>늘사랑어린이집</t>
        </is>
      </c>
      <c r="B1479" s="5" t="inlineStr">
        <is>
          <t>어린이집</t>
        </is>
      </c>
      <c r="C1479" s="5" t="inlineStr">
        <is>
          <t>민간</t>
        </is>
      </c>
      <c r="D1479" s="5" t="inlineStr">
        <is>
          <t>해운대구</t>
        </is>
      </c>
      <c r="E1479" s="5" t="inlineStr">
        <is>
          <t>부산광역시 해운대구 세실로 138 관리동(좌동,롯데3차아파트)</t>
        </is>
      </c>
      <c r="F1479" s="5" t="inlineStr"/>
      <c r="G1479" s="5" t="inlineStr">
        <is>
          <t>051-746-1183</t>
        </is>
      </c>
      <c r="H1479" s="12">
        <f>어린이집!T1100</f>
        <v/>
      </c>
      <c r="I1479" s="5" t="inlineStr">
        <is>
          <t>만0세 2 / 만1세 14 / 만2세 10 / 유아혼합반 6 / 기타(연령구분 없음) 5</t>
        </is>
      </c>
    </row>
    <row r="1480">
      <c r="A1480" s="5" t="inlineStr">
        <is>
          <t>다솔어린이집</t>
        </is>
      </c>
      <c r="B1480" s="5" t="inlineStr">
        <is>
          <t>어린이집</t>
        </is>
      </c>
      <c r="C1480" s="5" t="inlineStr">
        <is>
          <t>사회복지법인</t>
        </is>
      </c>
      <c r="D1480" s="5" t="inlineStr">
        <is>
          <t>해운대구</t>
        </is>
      </c>
      <c r="E1480" s="5" t="inlineStr">
        <is>
          <t>부산광역시 해운대구 재반로84번길 96-8 사회복지법인 다솔어린이집 (재송동)</t>
        </is>
      </c>
      <c r="F1480" s="11" t="inlineStr">
        <is>
          <t>http://cafe.daum.net/dasol8768</t>
        </is>
      </c>
      <c r="G1480" s="5" t="inlineStr">
        <is>
          <t>051-784-8768</t>
        </is>
      </c>
      <c r="H1480" s="12">
        <f>어린이집!T1101</f>
        <v/>
      </c>
      <c r="I1480" s="5" t="inlineStr">
        <is>
          <t>장애아반(특수) 33 / 기타(연령구분 없음) 3</t>
        </is>
      </c>
    </row>
    <row r="1481">
      <c r="A1481" s="5" t="inlineStr">
        <is>
          <t>다을어린이집</t>
        </is>
      </c>
      <c r="B1481" s="5" t="inlineStr">
        <is>
          <t>어린이집</t>
        </is>
      </c>
      <c r="C1481" s="5" t="inlineStr">
        <is>
          <t>민간</t>
        </is>
      </c>
      <c r="D1481" s="5" t="inlineStr">
        <is>
          <t>해운대구</t>
        </is>
      </c>
      <c r="E1481" s="5" t="inlineStr">
        <is>
          <t>부산광역시 해운대구 반여로155번다길 29-16</t>
        </is>
      </c>
      <c r="F1481" s="5" t="inlineStr"/>
      <c r="G1481" s="5" t="inlineStr">
        <is>
          <t>051-528-3578</t>
        </is>
      </c>
      <c r="H1481" s="12">
        <f>어린이집!T1102</f>
        <v/>
      </c>
      <c r="I1481" s="5" t="inlineStr">
        <is>
          <t>만0세 2 / 만1세 15 / 만2세 8 / 만3세 13 / 만5세 14 / 영아혼합반 4 / 유아혼합반 13 / 장애아반(특수) 6 / 기타(연령구분 없음) 30</t>
        </is>
      </c>
    </row>
    <row r="1482">
      <c r="A1482" s="5" t="inlineStr">
        <is>
          <t>달맞이유림어린이집</t>
        </is>
      </c>
      <c r="B1482" s="5" t="inlineStr">
        <is>
          <t>어린이집</t>
        </is>
      </c>
      <c r="C1482" s="5" t="inlineStr">
        <is>
          <t>국공립</t>
        </is>
      </c>
      <c r="D1482" s="5" t="inlineStr">
        <is>
          <t>해운대구</t>
        </is>
      </c>
      <c r="E1482" s="5" t="inlineStr">
        <is>
          <t>부산광역시 해운대구 달맞이길65번길 33 관리동</t>
        </is>
      </c>
      <c r="F1482" s="5" t="inlineStr"/>
      <c r="G1482" s="5" t="inlineStr">
        <is>
          <t>051-711-2800</t>
        </is>
      </c>
      <c r="H1482" s="12">
        <f>어린이집!T1103</f>
        <v/>
      </c>
      <c r="I1482" s="5" t="inlineStr">
        <is>
          <t>만1세 15 / 만2세 7 / 영아혼합반 5 / 기타(연령구분 없음) 3</t>
        </is>
      </c>
    </row>
    <row r="1483">
      <c r="A1483" s="5" t="inlineStr">
        <is>
          <t>대림어린이집</t>
        </is>
      </c>
      <c r="B1483" s="5" t="inlineStr">
        <is>
          <t>어린이집</t>
        </is>
      </c>
      <c r="C1483" s="5" t="inlineStr">
        <is>
          <t>가정</t>
        </is>
      </c>
      <c r="D1483" s="5" t="inlineStr">
        <is>
          <t>해운대구</t>
        </is>
      </c>
      <c r="E1483" s="5" t="inlineStr">
        <is>
          <t>부산광역시 해운대구 대천로103번길 47 102동 102호(좌동, 대림아파트)</t>
        </is>
      </c>
      <c r="F1483" s="11" t="inlineStr">
        <is>
          <t>http://www.kids.kg.kr</t>
        </is>
      </c>
      <c r="G1483" s="5" t="inlineStr">
        <is>
          <t>051-701-6266</t>
        </is>
      </c>
      <c r="H1483" s="12">
        <f>어린이집!T1104</f>
        <v/>
      </c>
      <c r="I1483" s="5" t="inlineStr">
        <is>
          <t>만0세 6 / 만1세 8 / 만2세 5 / 기타(연령구분 없음) 3</t>
        </is>
      </c>
    </row>
    <row r="1484">
      <c r="A1484" s="5" t="inlineStr">
        <is>
          <t>더슈필어린이집</t>
        </is>
      </c>
      <c r="B1484" s="5" t="inlineStr">
        <is>
          <t>어린이집</t>
        </is>
      </c>
      <c r="C1484" s="5" t="inlineStr">
        <is>
          <t>민간</t>
        </is>
      </c>
      <c r="D1484" s="5" t="inlineStr">
        <is>
          <t>해운대구</t>
        </is>
      </c>
      <c r="E1484" s="5" t="inlineStr">
        <is>
          <t>부산광역시 해운대구 대천로 187 (좌동)</t>
        </is>
      </c>
      <c r="F1484" s="5" t="inlineStr"/>
      <c r="G1484" s="5" t="inlineStr">
        <is>
          <t>051-702-1004</t>
        </is>
      </c>
      <c r="H1484" s="12">
        <f>어린이집!T1105</f>
        <v/>
      </c>
      <c r="I1484" s="5" t="inlineStr">
        <is>
          <t>만0세 5 / 만1세 9 / 만2세 11 / 영아혼합반 6 / 유아혼합반 10 / 기타(연령구분 없음) 5</t>
        </is>
      </c>
    </row>
    <row r="1485">
      <c r="A1485" s="5" t="inlineStr">
        <is>
          <t>데레사어린이집</t>
        </is>
      </c>
      <c r="B1485" s="5" t="inlineStr">
        <is>
          <t>어린이집</t>
        </is>
      </c>
      <c r="C1485" s="5" t="inlineStr">
        <is>
          <t>민간</t>
        </is>
      </c>
      <c r="D1485" s="5" t="inlineStr">
        <is>
          <t>해운대구</t>
        </is>
      </c>
      <c r="E1485" s="5" t="inlineStr">
        <is>
          <t>부산광역시 해운대구 좌동순환로99번길 22 경남아너스빌 관리동 내</t>
        </is>
      </c>
      <c r="F1485" s="5" t="inlineStr"/>
      <c r="G1485" s="5" t="inlineStr">
        <is>
          <t>051-747-1979</t>
        </is>
      </c>
      <c r="H1485" s="12">
        <f>어린이집!T1106</f>
        <v/>
      </c>
      <c r="I1485" s="5" t="inlineStr">
        <is>
          <t>만0세 3 / 만1세 14 / 만2세 8 / 유아혼합반 7 / 기타(연령구분 없음) 8</t>
        </is>
      </c>
    </row>
    <row r="1486">
      <c r="A1486" s="5" t="inlineStr">
        <is>
          <t>도담어린이집</t>
        </is>
      </c>
      <c r="B1486" s="5" t="inlineStr">
        <is>
          <t>어린이집</t>
        </is>
      </c>
      <c r="C1486" s="5" t="inlineStr">
        <is>
          <t>가정</t>
        </is>
      </c>
      <c r="D1486" s="5" t="inlineStr">
        <is>
          <t>해운대구</t>
        </is>
      </c>
      <c r="E1486" s="5" t="inlineStr">
        <is>
          <t>부산광역시 해운대구 좌동순환로311번길 8 영남아파트 단지내</t>
        </is>
      </c>
      <c r="F1486" s="5" t="inlineStr"/>
      <c r="G1486" s="5" t="inlineStr">
        <is>
          <t>051-702-6989</t>
        </is>
      </c>
      <c r="H1486" s="12">
        <f>어린이집!T1107</f>
        <v/>
      </c>
      <c r="I1486" s="5" t="inlineStr">
        <is>
          <t>만0세 3 / 만2세 4 / 기타(연령구분 없음) 4</t>
        </is>
      </c>
    </row>
    <row r="1487">
      <c r="A1487" s="5" t="inlineStr">
        <is>
          <t>동백어린이집</t>
        </is>
      </c>
      <c r="B1487" s="5" t="inlineStr">
        <is>
          <t>어린이집</t>
        </is>
      </c>
      <c r="C1487" s="5" t="inlineStr">
        <is>
          <t>사회복지법인</t>
        </is>
      </c>
      <c r="D1487" s="5" t="inlineStr">
        <is>
          <t>해운대구</t>
        </is>
      </c>
      <c r="E1487" s="5" t="inlineStr">
        <is>
          <t>부산광역시 해운대구 해운대로469번길 80</t>
        </is>
      </c>
      <c r="F1487" s="11" t="inlineStr">
        <is>
          <t>http://cafe.daum.net/hdong100</t>
        </is>
      </c>
      <c r="G1487" s="5" t="inlineStr">
        <is>
          <t>051-741-9461</t>
        </is>
      </c>
      <c r="H1487" s="12">
        <f>어린이집!T1108</f>
        <v/>
      </c>
      <c r="I1487" s="5" t="inlineStr">
        <is>
          <t>만1세 10 / 만2세 13 / 만3세 7 / 유아혼합반 11 / 기타(연령구분 없음) 10</t>
        </is>
      </c>
    </row>
    <row r="1488">
      <c r="A1488" s="5" t="inlineStr">
        <is>
          <t>동부꿈나무어린이집</t>
        </is>
      </c>
      <c r="B1488" s="5" t="inlineStr">
        <is>
          <t>어린이집</t>
        </is>
      </c>
      <c r="C1488" s="5" t="inlineStr">
        <is>
          <t>국공립</t>
        </is>
      </c>
      <c r="D1488" s="5" t="inlineStr">
        <is>
          <t>해운대구</t>
        </is>
      </c>
      <c r="E1488" s="5" t="inlineStr">
        <is>
          <t>부산광역시 해운대구 해운대로161번길 12 (재송동, 센텀동부센트레빌아파트)</t>
        </is>
      </c>
      <c r="F1488" s="5" t="inlineStr"/>
      <c r="G1488" s="5" t="inlineStr">
        <is>
          <t>051-784-7588</t>
        </is>
      </c>
      <c r="H1488" s="12">
        <f>어린이집!T1109</f>
        <v/>
      </c>
      <c r="I1488" s="5" t="inlineStr">
        <is>
          <t>만0세 6 / 만1세 10 / 만2세 11 / 기타(연령구분 없음) 8</t>
        </is>
      </c>
    </row>
    <row r="1489">
      <c r="A1489" s="5" t="inlineStr">
        <is>
          <t>동부미래어린이집</t>
        </is>
      </c>
      <c r="B1489" s="5" t="inlineStr">
        <is>
          <t>어린이집</t>
        </is>
      </c>
      <c r="C1489" s="5" t="inlineStr">
        <is>
          <t>민간</t>
        </is>
      </c>
      <c r="D1489" s="5" t="inlineStr">
        <is>
          <t>해운대구</t>
        </is>
      </c>
      <c r="E1489" s="5" t="inlineStr">
        <is>
          <t>부산광역시 해운대구 해운대로 428 동부올림픽타운 관리사무소 내</t>
        </is>
      </c>
      <c r="F1489" s="11" t="inlineStr">
        <is>
          <t>https://blog.naver.com/dongbumirae25</t>
        </is>
      </c>
      <c r="G1489" s="5" t="inlineStr">
        <is>
          <t>051-747-1713</t>
        </is>
      </c>
      <c r="H1489" s="12">
        <f>어린이집!T1110</f>
        <v/>
      </c>
      <c r="I1489" s="5" t="inlineStr">
        <is>
          <t>만0세 9 / 만1세 25 / 만2세 17 / 기타(연령구분 없음) 5</t>
        </is>
      </c>
    </row>
    <row r="1490">
      <c r="A1490" s="5" t="inlineStr">
        <is>
          <t>동해어린이집</t>
        </is>
      </c>
      <c r="B1490" s="5" t="inlineStr">
        <is>
          <t>어린이집</t>
        </is>
      </c>
      <c r="C1490" s="5" t="inlineStr">
        <is>
          <t>사회복지법인</t>
        </is>
      </c>
      <c r="D1490" s="5" t="inlineStr">
        <is>
          <t>해운대구</t>
        </is>
      </c>
      <c r="E1490" s="5" t="inlineStr">
        <is>
          <t>부산광역시 해운대구 송정2로 67 (송정동)</t>
        </is>
      </c>
      <c r="F1490" s="11" t="inlineStr">
        <is>
          <t>http://cafe.daum.net/donghaelike</t>
        </is>
      </c>
      <c r="G1490" s="5" t="inlineStr">
        <is>
          <t>051-704-1158</t>
        </is>
      </c>
      <c r="H1490" s="12">
        <f>어린이집!T1111</f>
        <v/>
      </c>
      <c r="I1490" s="5" t="inlineStr">
        <is>
          <t>만0세 6 / 만1세 8 / 만2세 11 / 만3세 10 / 만4세 11 / 만5세 10 / 장애아반(특수) 3 / 기타(연령구분 없음) 20</t>
        </is>
      </c>
    </row>
    <row r="1491">
      <c r="A1491" s="5" t="inlineStr">
        <is>
          <t>두산아이숲어린이집</t>
        </is>
      </c>
      <c r="B1491" s="5" t="inlineStr">
        <is>
          <t>어린이집</t>
        </is>
      </c>
      <c r="C1491" s="5" t="inlineStr">
        <is>
          <t>민간</t>
        </is>
      </c>
      <c r="D1491" s="5" t="inlineStr">
        <is>
          <t>해운대구</t>
        </is>
      </c>
      <c r="E1491" s="5" t="inlineStr">
        <is>
          <t>부산광역시 해운대구 해운대로383번길 93 관리동</t>
        </is>
      </c>
      <c r="F1491" s="5" t="inlineStr"/>
      <c r="G1491" s="5" t="inlineStr">
        <is>
          <t>051-928-2004</t>
        </is>
      </c>
      <c r="H1491" s="12">
        <f>어린이집!T1112</f>
        <v/>
      </c>
      <c r="I1491" s="5" t="inlineStr">
        <is>
          <t>만0세 10 / 만1세 15 / 만2세 15 / 기타(연령구분 없음) 6</t>
        </is>
      </c>
    </row>
    <row r="1492">
      <c r="A1492" s="5" t="inlineStr">
        <is>
          <t>두산어린이집</t>
        </is>
      </c>
      <c r="B1492" s="5" t="inlineStr">
        <is>
          <t>어린이집</t>
        </is>
      </c>
      <c r="C1492" s="5" t="inlineStr">
        <is>
          <t>민간</t>
        </is>
      </c>
      <c r="D1492" s="5" t="inlineStr">
        <is>
          <t>해운대구</t>
        </is>
      </c>
      <c r="E1492" s="5" t="inlineStr">
        <is>
          <t>부산광역시 해운대구 대천로 225 두산2차아파트 관리동</t>
        </is>
      </c>
      <c r="F1492" s="11" t="inlineStr">
        <is>
          <t>http://hae9102@hanmail.net</t>
        </is>
      </c>
      <c r="G1492" s="5" t="inlineStr">
        <is>
          <t>051-702-4474</t>
        </is>
      </c>
      <c r="H1492" s="12">
        <f>어린이집!T1113</f>
        <v/>
      </c>
      <c r="I1492" s="5" t="inlineStr">
        <is>
          <t>만0세 3 / 만1세 5 / 영아혼합반 7 / 기타(연령구분 없음) 5</t>
        </is>
      </c>
    </row>
    <row r="1493">
      <c r="A1493" s="5" t="inlineStr">
        <is>
          <t>드파인센텀어린이집</t>
        </is>
      </c>
      <c r="B1493" s="5" t="inlineStr">
        <is>
          <t>어린이집</t>
        </is>
      </c>
      <c r="C1493" s="5" t="inlineStr">
        <is>
          <t>국공립</t>
        </is>
      </c>
      <c r="D1493" s="5" t="inlineStr">
        <is>
          <t>해운대구</t>
        </is>
      </c>
      <c r="E1493" s="5" t="inlineStr">
        <is>
          <t>부산광역시 해운대구 선수촌로 30 관리동(반여동, 드파인센텀)</t>
        </is>
      </c>
      <c r="F1493" s="5" t="inlineStr"/>
      <c r="G1493" s="5" t="inlineStr">
        <is>
          <t>051-715-6543</t>
        </is>
      </c>
      <c r="H1493" s="12">
        <f>어린이집!T1114</f>
        <v/>
      </c>
      <c r="I1493" s="5" t="inlineStr">
        <is>
          <t>만0세 9 / 만1세 14 / 만2세 18 / 기타(연령구분 없음) 5</t>
        </is>
      </c>
    </row>
    <row r="1494">
      <c r="A1494" s="5" t="inlineStr">
        <is>
          <t>라움어린이집</t>
        </is>
      </c>
      <c r="B1494" s="5" t="inlineStr">
        <is>
          <t>어린이집</t>
        </is>
      </c>
      <c r="C1494" s="5" t="inlineStr">
        <is>
          <t>가정</t>
        </is>
      </c>
      <c r="D1494" s="5" t="inlineStr">
        <is>
          <t>해운대구</t>
        </is>
      </c>
      <c r="E1494" s="5" t="inlineStr">
        <is>
          <t>부산광역시 해운대구 삼어로 55 116동 1층 관리동(반여동, 센텀SK뷰)</t>
        </is>
      </c>
      <c r="F1494" s="5" t="inlineStr"/>
      <c r="G1494" s="5" t="inlineStr">
        <is>
          <t>051-526-2120</t>
        </is>
      </c>
      <c r="H1494" s="12">
        <f>어린이집!T1115</f>
        <v/>
      </c>
      <c r="I1494" s="5" t="inlineStr">
        <is>
          <t>만0세 6 / 만2세 7 / 영아혼합반 4 / 기타(연령구분 없음) 5</t>
        </is>
      </c>
    </row>
    <row r="1495">
      <c r="A1495" s="5" t="inlineStr">
        <is>
          <t>롯데어린이집</t>
        </is>
      </c>
      <c r="B1495" s="5" t="inlineStr">
        <is>
          <t>어린이집</t>
        </is>
      </c>
      <c r="C1495" s="5" t="inlineStr">
        <is>
          <t>민간</t>
        </is>
      </c>
      <c r="D1495" s="5" t="inlineStr">
        <is>
          <t>해운대구</t>
        </is>
      </c>
      <c r="E1495" s="5" t="inlineStr">
        <is>
          <t>부산광역시 해운대구 좌동순환로217번길 8 롯데4차아파트 내 관리동</t>
        </is>
      </c>
      <c r="F1495" s="5" t="inlineStr"/>
      <c r="G1495" s="5" t="inlineStr">
        <is>
          <t>051-704-6254</t>
        </is>
      </c>
      <c r="H1495" s="12">
        <f>어린이집!T1116</f>
        <v/>
      </c>
      <c r="I1495" s="5" t="inlineStr">
        <is>
          <t>만2세 6 / 영아혼합반 9 / 기타(연령구분 없음) 5</t>
        </is>
      </c>
    </row>
    <row r="1496">
      <c r="A1496" s="5" t="inlineStr">
        <is>
          <t>롯데조은어린이집</t>
        </is>
      </c>
      <c r="B1496" s="5" t="inlineStr">
        <is>
          <t>어린이집</t>
        </is>
      </c>
      <c r="C1496" s="5" t="inlineStr">
        <is>
          <t>민간</t>
        </is>
      </c>
      <c r="D1496" s="5" t="inlineStr">
        <is>
          <t>해운대구</t>
        </is>
      </c>
      <c r="E1496" s="5" t="inlineStr">
        <is>
          <t>부산광역시 해운대구 반여로 68-12 관리동 (반여동, 센텀롯데캐슬2차아파트)</t>
        </is>
      </c>
      <c r="F1496" s="11" t="inlineStr">
        <is>
          <t>http://lottejoeun.modoo.at</t>
        </is>
      </c>
      <c r="G1496" s="5" t="inlineStr">
        <is>
          <t>051-524-5507</t>
        </is>
      </c>
      <c r="H1496" s="12">
        <f>어린이집!T1117</f>
        <v/>
      </c>
      <c r="I1496" s="5" t="inlineStr">
        <is>
          <t>만1세 4 / 만2세 7 / 기타(연령구분 없음) 3</t>
        </is>
      </c>
    </row>
    <row r="1497">
      <c r="A1497" s="5" t="inlineStr">
        <is>
          <t>롯데캐슬스타어린이집</t>
        </is>
      </c>
      <c r="B1497" s="5" t="inlineStr">
        <is>
          <t>어린이집</t>
        </is>
      </c>
      <c r="C1497" s="5" t="inlineStr">
        <is>
          <t>국공립</t>
        </is>
      </c>
      <c r="D1497" s="5" t="inlineStr">
        <is>
          <t>해운대구</t>
        </is>
      </c>
      <c r="E1497" s="5" t="inlineStr">
        <is>
          <t>부산광역시 해운대구 중동2로34번길 15 (중동, 롯데캐슬스타)</t>
        </is>
      </c>
      <c r="F1497" s="5" t="inlineStr"/>
      <c r="G1497" s="5" t="inlineStr">
        <is>
          <t>051-747-7055</t>
        </is>
      </c>
      <c r="H1497" s="12">
        <f>어린이집!T1118</f>
        <v/>
      </c>
      <c r="I1497" s="5" t="inlineStr">
        <is>
          <t>만0세 9 / 만1세 15 / 만2세 14 / 기타(연령구분 없음) 8</t>
        </is>
      </c>
    </row>
    <row r="1498">
      <c r="A1498" s="5" t="inlineStr">
        <is>
          <t>롯데캐슬어린이집</t>
        </is>
      </c>
      <c r="B1498" s="5" t="inlineStr">
        <is>
          <t>어린이집</t>
        </is>
      </c>
      <c r="C1498" s="5" t="inlineStr">
        <is>
          <t>가정</t>
        </is>
      </c>
      <c r="D1498" s="5" t="inlineStr">
        <is>
          <t>해운대구</t>
        </is>
      </c>
      <c r="E1498" s="5" t="inlineStr">
        <is>
          <t>부산광역시 해운대구 반여로 133 110동 104호(반여동, 센텀롯데캐슬아파트)</t>
        </is>
      </c>
      <c r="F1498" s="5" t="inlineStr"/>
      <c r="G1498" s="5" t="inlineStr">
        <is>
          <t>051-527-3151</t>
        </is>
      </c>
      <c r="H1498" s="12">
        <f>어린이집!T1119</f>
        <v/>
      </c>
      <c r="I1498" s="5" t="inlineStr">
        <is>
          <t>만1세 8 / 만2세 6 / 영아혼합반 2 / 기타(연령구분 없음) 10</t>
        </is>
      </c>
    </row>
    <row r="1499">
      <c r="A1499" s="5" t="inlineStr">
        <is>
          <t>롯데햇살어린이집</t>
        </is>
      </c>
      <c r="B1499" s="5" t="inlineStr">
        <is>
          <t>어린이집</t>
        </is>
      </c>
      <c r="C1499" s="5" t="inlineStr">
        <is>
          <t>민간</t>
        </is>
      </c>
      <c r="D1499" s="5" t="inlineStr">
        <is>
          <t>해운대구</t>
        </is>
      </c>
      <c r="E1499" s="5" t="inlineStr">
        <is>
          <t>부산광역시 해운대구 해운대로483번길 10 (우동)</t>
        </is>
      </c>
      <c r="F1499" s="5" t="inlineStr"/>
      <c r="G1499" s="5" t="inlineStr">
        <is>
          <t>051-747-8628</t>
        </is>
      </c>
      <c r="H1499" s="12">
        <f>어린이집!T1120</f>
        <v/>
      </c>
      <c r="I1499" s="5" t="inlineStr">
        <is>
          <t>만0세 2 / 만1세 5 / 영유아혼합반 5</t>
        </is>
      </c>
    </row>
    <row r="1500">
      <c r="A1500" s="5" t="inlineStr">
        <is>
          <t>마루영재 어린이집</t>
        </is>
      </c>
      <c r="B1500" s="5" t="inlineStr">
        <is>
          <t>어린이집</t>
        </is>
      </c>
      <c r="C1500" s="5" t="inlineStr">
        <is>
          <t>가정</t>
        </is>
      </c>
      <c r="D1500" s="5" t="inlineStr">
        <is>
          <t>해운대구</t>
        </is>
      </c>
      <c r="E1500" s="5" t="inlineStr">
        <is>
          <t>부산광역시 해운대구 수영강변대로 382 107동 1층(반여동, 센텀피오레1차)</t>
        </is>
      </c>
      <c r="F1500" s="5" t="inlineStr"/>
      <c r="G1500" s="5" t="inlineStr">
        <is>
          <t>051-783-6001</t>
        </is>
      </c>
      <c r="H1500" s="12">
        <f>어린이집!T1121</f>
        <v/>
      </c>
      <c r="I1500" s="5" t="inlineStr">
        <is>
          <t>만1세 7 / 영아혼합반 3 / 기타(연령구분 없음) 16</t>
        </is>
      </c>
    </row>
    <row r="1501">
      <c r="A1501" s="5" t="inlineStr">
        <is>
          <t>마리나어린이집</t>
        </is>
      </c>
      <c r="B1501" s="5" t="inlineStr">
        <is>
          <t>어린이집</t>
        </is>
      </c>
      <c r="C1501" s="5" t="inlineStr">
        <is>
          <t>가정</t>
        </is>
      </c>
      <c r="D1501" s="5" t="inlineStr">
        <is>
          <t>해운대구</t>
        </is>
      </c>
      <c r="E1501" s="5" t="inlineStr">
        <is>
          <t>부산광역시 해운대구 해운대해변로 115 305동 105호(우동, 대우마리나)</t>
        </is>
      </c>
      <c r="F1501" s="5" t="inlineStr"/>
      <c r="G1501" s="5" t="inlineStr">
        <is>
          <t>051-741-7655</t>
        </is>
      </c>
      <c r="H1501" s="12">
        <f>어린이집!T1122</f>
        <v/>
      </c>
      <c r="I1501" s="5" t="inlineStr">
        <is>
          <t>만0세 6 / 만1세 9 / 만2세 4 / 기타(연령구분 없음) 5</t>
        </is>
      </c>
    </row>
    <row r="1502">
      <c r="A1502" s="5" t="inlineStr">
        <is>
          <t>마리나위즈어린이집</t>
        </is>
      </c>
      <c r="B1502" s="5" t="inlineStr">
        <is>
          <t>어린이집</t>
        </is>
      </c>
      <c r="C1502" s="5" t="inlineStr">
        <is>
          <t>가정</t>
        </is>
      </c>
      <c r="D1502" s="5" t="inlineStr">
        <is>
          <t>해운대구</t>
        </is>
      </c>
      <c r="E1502" s="5" t="inlineStr">
        <is>
          <t>부산광역시 해운대구 해운대해변로 115 308-103(우동, 대우마리나)</t>
        </is>
      </c>
      <c r="F1502" s="5" t="inlineStr"/>
      <c r="G1502" s="5" t="inlineStr">
        <is>
          <t>051-747-7739</t>
        </is>
      </c>
      <c r="H1502" s="12">
        <f>어린이집!T1123</f>
        <v/>
      </c>
      <c r="I1502" s="5" t="inlineStr">
        <is>
          <t>만0세 6 / 만1세 5 / 만2세 6 / 기타(연령구분 없음) 6</t>
        </is>
      </c>
    </row>
    <row r="1503">
      <c r="A1503" s="5" t="inlineStr">
        <is>
          <t>마리나키즈어린이집</t>
        </is>
      </c>
      <c r="B1503" s="5" t="inlineStr">
        <is>
          <t>어린이집</t>
        </is>
      </c>
      <c r="C1503" s="5" t="inlineStr">
        <is>
          <t>가정</t>
        </is>
      </c>
      <c r="D1503" s="5" t="inlineStr">
        <is>
          <t>해운대구</t>
        </is>
      </c>
      <c r="E1503" s="5" t="inlineStr">
        <is>
          <t>부산광역시 해운대구 해운대해변로 99 101-101(우동, 경남마리나아파트)</t>
        </is>
      </c>
      <c r="F1503" s="11" t="inlineStr">
        <is>
          <t>http://hhj9452@naver.com</t>
        </is>
      </c>
      <c r="G1503" s="5" t="inlineStr">
        <is>
          <t>051-741-7729</t>
        </is>
      </c>
      <c r="H1503" s="12">
        <f>어린이집!T1124</f>
        <v/>
      </c>
      <c r="I1503" s="5" t="inlineStr">
        <is>
          <t>만0세 6 / 만1세 5 / 만2세 7 / 기타(연령구분 없음) 5</t>
        </is>
      </c>
    </row>
    <row r="1504">
      <c r="A1504" s="5" t="inlineStr">
        <is>
          <t>마린동백제니스어린이집</t>
        </is>
      </c>
      <c r="B1504" s="5" t="inlineStr">
        <is>
          <t>어린이집</t>
        </is>
      </c>
      <c r="C1504" s="5" t="inlineStr">
        <is>
          <t>민간</t>
        </is>
      </c>
      <c r="D1504" s="5" t="inlineStr">
        <is>
          <t>해운대구</t>
        </is>
      </c>
      <c r="E1504" s="5" t="inlineStr">
        <is>
          <t>부산광역시 해운대구 해운대로 540 관리동(해운대동백두산위브더제니스)</t>
        </is>
      </c>
      <c r="F1504" s="5" t="inlineStr"/>
      <c r="G1504" s="5" t="inlineStr">
        <is>
          <t>051-746-4555</t>
        </is>
      </c>
      <c r="H1504" s="12">
        <f>어린이집!T1125</f>
        <v/>
      </c>
      <c r="I1504" s="5" t="inlineStr">
        <is>
          <t>만0세 6 / 만1세 25 / 만2세 14</t>
        </is>
      </c>
    </row>
    <row r="1505">
      <c r="A1505" s="5" t="inlineStr">
        <is>
          <t>미키어린이집</t>
        </is>
      </c>
      <c r="B1505" s="5" t="inlineStr">
        <is>
          <t>어린이집</t>
        </is>
      </c>
      <c r="C1505" s="5" t="inlineStr">
        <is>
          <t>가정</t>
        </is>
      </c>
      <c r="D1505" s="5" t="inlineStr">
        <is>
          <t>해운대구</t>
        </is>
      </c>
      <c r="E1505" s="5" t="inlineStr">
        <is>
          <t>부산광역시 해운대구 대천로 205 108동 102호(좌동, 벽산아파트)</t>
        </is>
      </c>
      <c r="F1505" s="5" t="inlineStr"/>
      <c r="G1505" s="5" t="inlineStr">
        <is>
          <t>051-702-2608</t>
        </is>
      </c>
      <c r="H1505" s="12">
        <f>어린이집!T1126</f>
        <v/>
      </c>
      <c r="I1505" s="5" t="inlineStr">
        <is>
          <t>만0세 5 / 만1세 5 / 만2세 6</t>
        </is>
      </c>
    </row>
    <row r="1506">
      <c r="A1506" s="5" t="inlineStr">
        <is>
          <t>반도새싹어린이집</t>
        </is>
      </c>
      <c r="B1506" s="5" t="inlineStr">
        <is>
          <t>어린이집</t>
        </is>
      </c>
      <c r="C1506" s="5" t="inlineStr">
        <is>
          <t>민간</t>
        </is>
      </c>
      <c r="D1506" s="5" t="inlineStr">
        <is>
          <t>해운대구</t>
        </is>
      </c>
      <c r="E1506" s="5" t="inlineStr">
        <is>
          <t>부산광역시 해운대구 해운대로 495 반도보라빌 내 관리동</t>
        </is>
      </c>
      <c r="F1506" s="5" t="inlineStr"/>
      <c r="G1506" s="5" t="inlineStr">
        <is>
          <t>051-743-2160</t>
        </is>
      </c>
      <c r="H1506" s="12">
        <f>어린이집!T1127</f>
        <v/>
      </c>
      <c r="I1506" s="5" t="inlineStr">
        <is>
          <t>만0세 9 / 만1세 10 / 만2세 14 / 기타(연령구분 없음) 3</t>
        </is>
      </c>
    </row>
    <row r="1507">
      <c r="A1507" s="5" t="inlineStr">
        <is>
          <t>반송1동어린이집</t>
        </is>
      </c>
      <c r="B1507" s="5" t="inlineStr">
        <is>
          <t>어린이집</t>
        </is>
      </c>
      <c r="C1507" s="5" t="inlineStr">
        <is>
          <t>국공립</t>
        </is>
      </c>
      <c r="D1507" s="5" t="inlineStr">
        <is>
          <t>해운대구</t>
        </is>
      </c>
      <c r="E1507" s="5" t="inlineStr">
        <is>
          <t>부산광역시 해운대구 반송순환로 129 (반송동)</t>
        </is>
      </c>
      <c r="F1507" s="11" t="inlineStr">
        <is>
          <t>http://bansong-3d@hanmail.net</t>
        </is>
      </c>
      <c r="G1507" s="5" t="inlineStr">
        <is>
          <t>051-545-7179</t>
        </is>
      </c>
      <c r="H1507" s="12">
        <f>어린이집!T1128</f>
        <v/>
      </c>
      <c r="I1507" s="5" t="inlineStr">
        <is>
          <t>만0세 3 / 만1세 7 / 만2세 7 / 만3세 6 / 유아혼합반 20 / 기타(연령구분 없음) 20</t>
        </is>
      </c>
    </row>
    <row r="1508">
      <c r="A1508" s="5" t="inlineStr">
        <is>
          <t>반여2동어린이집</t>
        </is>
      </c>
      <c r="B1508" s="5" t="inlineStr">
        <is>
          <t>어린이집</t>
        </is>
      </c>
      <c r="C1508" s="5" t="inlineStr">
        <is>
          <t>국공립</t>
        </is>
      </c>
      <c r="D1508" s="5" t="inlineStr">
        <is>
          <t>해운대구</t>
        </is>
      </c>
      <c r="E1508" s="5" t="inlineStr">
        <is>
          <t>부산광역시 해운대구 재반로226번길 13-73</t>
        </is>
      </c>
      <c r="F1508" s="11" t="inlineStr">
        <is>
          <t>https://blog.naver.com/ban_yeo2</t>
        </is>
      </c>
      <c r="G1508" s="5" t="inlineStr">
        <is>
          <t>051-784-0676</t>
        </is>
      </c>
      <c r="H1508" s="12">
        <f>어린이집!T1129</f>
        <v/>
      </c>
      <c r="I1508" s="5" t="inlineStr">
        <is>
          <t>만2세 6 / 만5세 11 / 영아혼합반 8 / 유아혼합반 10 / 기타(연령구분 없음) 20</t>
        </is>
      </c>
    </row>
    <row r="1509">
      <c r="A1509" s="5" t="inlineStr">
        <is>
          <t>반여3동어린이집</t>
        </is>
      </c>
      <c r="B1509" s="5" t="inlineStr">
        <is>
          <t>어린이집</t>
        </is>
      </c>
      <c r="C1509" s="5" t="inlineStr">
        <is>
          <t>국공립</t>
        </is>
      </c>
      <c r="D1509" s="5" t="inlineStr">
        <is>
          <t>해운대구</t>
        </is>
      </c>
      <c r="E1509" s="5" t="inlineStr">
        <is>
          <t>부산광역시 해운대구 재반로256번길 13-61</t>
        </is>
      </c>
      <c r="F1509" s="5" t="inlineStr"/>
      <c r="G1509" s="5" t="inlineStr">
        <is>
          <t>051-781-7797</t>
        </is>
      </c>
      <c r="H1509" s="12">
        <f>어린이집!T1130</f>
        <v/>
      </c>
      <c r="I1509" s="5" t="inlineStr">
        <is>
          <t>만2세 7 / 만3세 6 / 영아혼합반 2 / 유아혼합반 16 / 기타(연령구분 없음) 11</t>
        </is>
      </c>
    </row>
    <row r="1510">
      <c r="A1510" s="5" t="inlineStr">
        <is>
          <t>베베어린이집</t>
        </is>
      </c>
      <c r="B1510" s="5" t="inlineStr">
        <is>
          <t>어린이집</t>
        </is>
      </c>
      <c r="C1510" s="5" t="inlineStr">
        <is>
          <t>가정</t>
        </is>
      </c>
      <c r="D1510" s="5" t="inlineStr">
        <is>
          <t>해운대구</t>
        </is>
      </c>
      <c r="E1510" s="5" t="inlineStr">
        <is>
          <t>부산광역시 해운대구 좌동순환로217번길 19 LIG건영아파트 관리동</t>
        </is>
      </c>
      <c r="F1510" s="5" t="inlineStr"/>
      <c r="G1510" s="5" t="inlineStr">
        <is>
          <t>051-703-4284</t>
        </is>
      </c>
      <c r="H1510" s="12">
        <f>어린이집!T1131</f>
        <v/>
      </c>
      <c r="I1510" s="5" t="inlineStr">
        <is>
          <t>만0세 3 / 만1세 5 / 만2세 10 / 기타(연령구분 없음) 5</t>
        </is>
      </c>
    </row>
    <row r="1511">
      <c r="A1511" s="5" t="inlineStr">
        <is>
          <t>벽산초록어린이집</t>
        </is>
      </c>
      <c r="B1511" s="5" t="inlineStr">
        <is>
          <t>어린이집</t>
        </is>
      </c>
      <c r="C1511" s="5" t="inlineStr">
        <is>
          <t>민간</t>
        </is>
      </c>
      <c r="D1511" s="5" t="inlineStr">
        <is>
          <t>해운대구</t>
        </is>
      </c>
      <c r="E1511" s="5" t="inlineStr">
        <is>
          <t>부산광역시 해운대구 좌동순환로299번길 11 벽산2차아파트 관리동 (좌동)</t>
        </is>
      </c>
      <c r="F1511" s="5" t="inlineStr"/>
      <c r="G1511" s="5" t="inlineStr">
        <is>
          <t>051-703-1381</t>
        </is>
      </c>
      <c r="H1511" s="12">
        <f>어린이집!T1132</f>
        <v/>
      </c>
      <c r="I1511" s="5" t="inlineStr">
        <is>
          <t>만0세 12 / 만1세 8 / 만2세 5 / 영아혼합반 5 / 기타(연령구분 없음) 11</t>
        </is>
      </c>
    </row>
    <row r="1512">
      <c r="A1512" s="5" t="inlineStr">
        <is>
          <t>보라어린이집</t>
        </is>
      </c>
      <c r="B1512" s="5" t="inlineStr">
        <is>
          <t>어린이집</t>
        </is>
      </c>
      <c r="C1512" s="5" t="inlineStr">
        <is>
          <t>가정</t>
        </is>
      </c>
      <c r="D1512" s="5" t="inlineStr">
        <is>
          <t>해운대구</t>
        </is>
      </c>
      <c r="E1512" s="5" t="inlineStr">
        <is>
          <t>부산광역시 해운대구 해운대로 495 104동101호(우동,반도보라빌)</t>
        </is>
      </c>
      <c r="F1512" s="5" t="inlineStr"/>
      <c r="G1512" s="5" t="inlineStr">
        <is>
          <t>051-747-3077</t>
        </is>
      </c>
      <c r="H1512" s="12">
        <f>어린이집!T1133</f>
        <v/>
      </c>
      <c r="I1512" s="5" t="inlineStr">
        <is>
          <t>만0세 5 / 영아혼합반 10 / 기타(연령구분 없음) 4</t>
        </is>
      </c>
    </row>
    <row r="1513">
      <c r="A1513" s="5" t="inlineStr">
        <is>
          <t>부민병원어린이집</t>
        </is>
      </c>
      <c r="B1513" s="5" t="inlineStr">
        <is>
          <t>어린이집</t>
        </is>
      </c>
      <c r="C1513" s="5" t="inlineStr">
        <is>
          <t>직장</t>
        </is>
      </c>
      <c r="D1513" s="5" t="inlineStr">
        <is>
          <t>해운대구</t>
        </is>
      </c>
      <c r="E1513" s="5" t="inlineStr">
        <is>
          <t>부산광역시 해운대구 우동1로 9-28 상가1층</t>
        </is>
      </c>
      <c r="F1513" s="5" t="inlineStr"/>
      <c r="G1513" s="5" t="inlineStr">
        <is>
          <t>051-743-6512</t>
        </is>
      </c>
      <c r="H1513" s="12">
        <f>어린이집!T1134</f>
        <v/>
      </c>
      <c r="I1513" s="5" t="inlineStr">
        <is>
          <t>만0세 2 / 만1세 4 / 만2세 4 / 기타(연령구분 없음) 5</t>
        </is>
      </c>
    </row>
    <row r="1514">
      <c r="A1514" s="5" t="inlineStr">
        <is>
          <t>비스타동원어린이집</t>
        </is>
      </c>
      <c r="B1514" s="5" t="inlineStr">
        <is>
          <t>어린이집</t>
        </is>
      </c>
      <c r="C1514" s="5" t="inlineStr">
        <is>
          <t>국공립</t>
        </is>
      </c>
      <c r="D1514" s="5" t="inlineStr">
        <is>
          <t>해운대구</t>
        </is>
      </c>
      <c r="E1514" s="5" t="inlineStr">
        <is>
          <t>부산광역시 해운대구 해운대로 663 (우동, 해운대비스타동원아파트)</t>
        </is>
      </c>
      <c r="F1514" s="5" t="inlineStr"/>
      <c r="G1514" s="5" t="inlineStr">
        <is>
          <t>051-747-7333</t>
        </is>
      </c>
      <c r="H1514" s="12">
        <f>어린이집!T1135</f>
        <v/>
      </c>
      <c r="I1514" s="5" t="inlineStr">
        <is>
          <t>만0세 5 / 만1세 14 / 만2세 14 / 기타(연령구분 없음) 5</t>
        </is>
      </c>
    </row>
    <row r="1515">
      <c r="A1515" s="5" t="inlineStr">
        <is>
          <t>사과나무어린이집</t>
        </is>
      </c>
      <c r="B1515" s="5" t="inlineStr">
        <is>
          <t>어린이집</t>
        </is>
      </c>
      <c r="C1515" s="5" t="inlineStr">
        <is>
          <t>가정</t>
        </is>
      </c>
      <c r="D1515" s="5" t="inlineStr">
        <is>
          <t>해운대구</t>
        </is>
      </c>
      <c r="E1515" s="5" t="inlineStr">
        <is>
          <t>부산광역시 해운대구 선수촌로 122 118동 101호(반여동, 주공아시아선수촌아파트)</t>
        </is>
      </c>
      <c r="F1515" s="11" t="inlineStr">
        <is>
          <t>http://cafe.daum.net/appletree6195</t>
        </is>
      </c>
      <c r="G1515" s="5" t="inlineStr">
        <is>
          <t>051-523-6195</t>
        </is>
      </c>
      <c r="H1515" s="12">
        <f>어린이집!T1136</f>
        <v/>
      </c>
      <c r="I1515" s="5" t="inlineStr">
        <is>
          <t>만2세 7 / 영아혼합반 2 / 기타(연령구분 없음) 4</t>
        </is>
      </c>
    </row>
    <row r="1516">
      <c r="A1516" s="5" t="inlineStr">
        <is>
          <t>삼성선재어린이집</t>
        </is>
      </c>
      <c r="B1516" s="5" t="inlineStr">
        <is>
          <t>어린이집</t>
        </is>
      </c>
      <c r="C1516" s="5" t="inlineStr">
        <is>
          <t>민간</t>
        </is>
      </c>
      <c r="D1516" s="5" t="inlineStr">
        <is>
          <t>해운대구</t>
        </is>
      </c>
      <c r="E1516" s="5" t="inlineStr">
        <is>
          <t>부산광역시 해운대구 세실로 174 삼성아파트 관리동 삼성선재어린이집</t>
        </is>
      </c>
      <c r="F1516" s="5" t="inlineStr"/>
      <c r="G1516" s="5" t="inlineStr">
        <is>
          <t>051-702-5616</t>
        </is>
      </c>
      <c r="H1516" s="12">
        <f>어린이집!T1137</f>
        <v/>
      </c>
      <c r="I1516" s="5" t="inlineStr">
        <is>
          <t>만0세 5 / 만1세 10 / 만2세 11 / 기타(연령구분 없음) 4</t>
        </is>
      </c>
    </row>
    <row r="1517">
      <c r="A1517" s="5" t="inlineStr">
        <is>
          <t>삼한이레어린이집</t>
        </is>
      </c>
      <c r="B1517" s="5" t="inlineStr">
        <is>
          <t>어린이집</t>
        </is>
      </c>
      <c r="C1517" s="5" t="inlineStr">
        <is>
          <t>민간</t>
        </is>
      </c>
      <c r="D1517" s="5" t="inlineStr">
        <is>
          <t>해운대구</t>
        </is>
      </c>
      <c r="E1517" s="5" t="inlineStr">
        <is>
          <t>부산광역시 해운대구 신반송로 102 204동 1호(반송동, 삼한그린타운2차)</t>
        </is>
      </c>
      <c r="F1517" s="11" t="inlineStr">
        <is>
          <t>https://blog.naver.com/cg2633</t>
        </is>
      </c>
      <c r="G1517" s="5" t="inlineStr">
        <is>
          <t>051-545-9744</t>
        </is>
      </c>
      <c r="H1517" s="12">
        <f>어린이집!T1138</f>
        <v/>
      </c>
      <c r="I1517" s="5" t="inlineStr">
        <is>
          <t>만0세 2 / 만2세 7 / 영아혼합반 7 / 유아혼합반 14 / 기타(연령구분 없음) 20</t>
        </is>
      </c>
    </row>
    <row r="1518">
      <c r="A1518" s="5" t="inlineStr">
        <is>
          <t>상록어린이집</t>
        </is>
      </c>
      <c r="B1518" s="5" t="inlineStr">
        <is>
          <t>어린이집</t>
        </is>
      </c>
      <c r="C1518" s="5" t="inlineStr">
        <is>
          <t>민간</t>
        </is>
      </c>
      <c r="D1518" s="5" t="inlineStr">
        <is>
          <t>해운대구</t>
        </is>
      </c>
      <c r="E1518" s="5" t="inlineStr">
        <is>
          <t>부산광역시 해운대구 세실로 7 상록아파트 단지내 (좌동)</t>
        </is>
      </c>
      <c r="F1518" s="5" t="inlineStr"/>
      <c r="G1518" s="5" t="inlineStr">
        <is>
          <t>051-702-7450</t>
        </is>
      </c>
      <c r="H1518" s="12">
        <f>어린이집!T1139</f>
        <v/>
      </c>
      <c r="I1518" s="5" t="inlineStr">
        <is>
          <t>만0세 5 / 영아혼합반 7 / 영유아혼합반 7 / 기타(연령구분 없음) 5</t>
        </is>
      </c>
    </row>
    <row r="1519">
      <c r="A1519" s="5" t="inlineStr">
        <is>
          <t>세종어린이집</t>
        </is>
      </c>
      <c r="B1519" s="5" t="inlineStr">
        <is>
          <t>어린이집</t>
        </is>
      </c>
      <c r="C1519" s="5" t="inlineStr">
        <is>
          <t>사회복지법인</t>
        </is>
      </c>
      <c r="D1519" s="5" t="inlineStr">
        <is>
          <t>해운대구</t>
        </is>
      </c>
      <c r="E1519" s="5" t="inlineStr">
        <is>
          <t>부산광역시 해운대구 달맞이길117번라길 86 (중동)</t>
        </is>
      </c>
      <c r="F1519" s="5" t="inlineStr"/>
      <c r="G1519" s="5" t="inlineStr">
        <is>
          <t>051-747-7962</t>
        </is>
      </c>
      <c r="H1519" s="12">
        <f>어린이집!T1140</f>
        <v/>
      </c>
      <c r="I1519" s="5" t="inlineStr">
        <is>
          <t>영아혼합반 5 / 유아혼합반 8</t>
        </is>
      </c>
    </row>
    <row r="1520">
      <c r="A1520" s="5" t="inlineStr">
        <is>
          <t>센텀kcc스위첸어린이집</t>
        </is>
      </c>
      <c r="B1520" s="5" t="inlineStr">
        <is>
          <t>어린이집</t>
        </is>
      </c>
      <c r="C1520" s="5" t="inlineStr">
        <is>
          <t>국공립</t>
        </is>
      </c>
      <c r="D1520" s="5" t="inlineStr">
        <is>
          <t>해운대구</t>
        </is>
      </c>
      <c r="E1520" s="5" t="inlineStr">
        <is>
          <t>부산광역시 해운대구 반여로 42</t>
        </is>
      </c>
      <c r="F1520" s="5" t="inlineStr"/>
      <c r="G1520" s="5" t="inlineStr">
        <is>
          <t>051-710-5333</t>
        </is>
      </c>
      <c r="H1520" s="12">
        <f>어린이집!T1141</f>
        <v/>
      </c>
      <c r="I1520" s="5" t="inlineStr">
        <is>
          <t>만0세 6 / 만1세 20 / 만2세 12 / 기타(연령구분 없음) 5</t>
        </is>
      </c>
    </row>
    <row r="1521">
      <c r="A1521" s="5" t="inlineStr">
        <is>
          <t>센텀가온어린이집</t>
        </is>
      </c>
      <c r="B1521" s="5" t="inlineStr">
        <is>
          <t>어린이집</t>
        </is>
      </c>
      <c r="C1521" s="5" t="inlineStr">
        <is>
          <t>직장</t>
        </is>
      </c>
      <c r="D1521" s="5" t="inlineStr">
        <is>
          <t>해운대구</t>
        </is>
      </c>
      <c r="E1521" s="5" t="inlineStr">
        <is>
          <t>부산광역시 해운대구 센텀서로 39 1층(우동, 영상산업센터)</t>
        </is>
      </c>
      <c r="F1521" s="5" t="inlineStr"/>
      <c r="G1521" s="5" t="inlineStr">
        <is>
          <t>051-747-7028</t>
        </is>
      </c>
      <c r="H1521" s="12">
        <f>어린이집!T1142</f>
        <v/>
      </c>
      <c r="I1521" s="5" t="inlineStr">
        <is>
          <t>만1세 7 / 만3세 11 / 영아혼합반 6 / 기타(연령구분 없음) 18</t>
        </is>
      </c>
    </row>
    <row r="1522">
      <c r="A1522" s="5" t="inlineStr">
        <is>
          <t>센텀그린어린이집</t>
        </is>
      </c>
      <c r="B1522" s="5" t="inlineStr">
        <is>
          <t>어린이집</t>
        </is>
      </c>
      <c r="C1522" s="5" t="inlineStr">
        <is>
          <t>민간</t>
        </is>
      </c>
      <c r="D1522" s="5" t="inlineStr">
        <is>
          <t>해운대구</t>
        </is>
      </c>
      <c r="E1522" s="5" t="inlineStr">
        <is>
          <t>부산광역시 해운대구 해운대로61번길 73 관리동 (반여동, 해운대더?檳琉?)</t>
        </is>
      </c>
      <c r="F1522" s="5" t="inlineStr"/>
      <c r="G1522" s="5" t="inlineStr">
        <is>
          <t>051-781-0009</t>
        </is>
      </c>
      <c r="H1522" s="12">
        <f>어린이집!T1143</f>
        <v/>
      </c>
      <c r="I1522" s="5" t="inlineStr">
        <is>
          <t>만0세 9 / 만1세 18 / 만2세 13 / 기타(연령구분 없음) 5</t>
        </is>
      </c>
    </row>
    <row r="1523">
      <c r="A1523" s="5" t="inlineStr">
        <is>
          <t>센텀동심어린이집</t>
        </is>
      </c>
      <c r="B1523" s="5" t="inlineStr">
        <is>
          <t>어린이집</t>
        </is>
      </c>
      <c r="C1523" s="5" t="inlineStr">
        <is>
          <t>국공립</t>
        </is>
      </c>
      <c r="D1523" s="5" t="inlineStr">
        <is>
          <t>해운대구</t>
        </is>
      </c>
      <c r="E1523" s="5" t="inlineStr">
        <is>
          <t>부산광역시 해운대구 센텀중앙로 145 센텀파크1차아파트 관리동</t>
        </is>
      </c>
      <c r="F1523" s="5" t="inlineStr"/>
      <c r="G1523" s="5" t="inlineStr">
        <is>
          <t>051-741-3559</t>
        </is>
      </c>
      <c r="H1523" s="12">
        <f>어린이집!T1144</f>
        <v/>
      </c>
      <c r="I1523" s="5" t="inlineStr">
        <is>
          <t>만1세 15 / 만2세 25 / 기타(연령구분 없음) 5</t>
        </is>
      </c>
    </row>
    <row r="1524">
      <c r="A1524" s="5" t="inlineStr">
        <is>
          <t>센텀롯데캐슬3차어린이집</t>
        </is>
      </c>
      <c r="B1524" s="5" t="inlineStr">
        <is>
          <t>어린이집</t>
        </is>
      </c>
      <c r="C1524" s="5" t="inlineStr">
        <is>
          <t>민간</t>
        </is>
      </c>
      <c r="D1524" s="5" t="inlineStr">
        <is>
          <t>해운대구</t>
        </is>
      </c>
      <c r="E1524" s="5" t="inlineStr">
        <is>
          <t>부산광역시 해운대구 반여로 83 관리동(반여동,센텀롯데캐슬3차아파트)</t>
        </is>
      </c>
      <c r="F1524" s="5" t="inlineStr"/>
      <c r="G1524" s="5" t="inlineStr">
        <is>
          <t>051-522-5986</t>
        </is>
      </c>
      <c r="H1524" s="12">
        <f>어린이집!T1145</f>
        <v/>
      </c>
      <c r="I1524" s="5" t="inlineStr">
        <is>
          <t>만0세 8 / 만1세 5 / 만2세 11 / 기타(연령구분 없음) 4</t>
        </is>
      </c>
    </row>
    <row r="1525">
      <c r="A1525" s="5" t="inlineStr">
        <is>
          <t>센텀롯데캐슬자연어린이집</t>
        </is>
      </c>
      <c r="B1525" s="5" t="inlineStr">
        <is>
          <t>어린이집</t>
        </is>
      </c>
      <c r="C1525" s="5" t="inlineStr">
        <is>
          <t>국공립</t>
        </is>
      </c>
      <c r="D1525" s="5" t="inlineStr">
        <is>
          <t>해운대구</t>
        </is>
      </c>
      <c r="E1525" s="5" t="inlineStr">
        <is>
          <t>부산광역시 해운대구 반여로 133</t>
        </is>
      </c>
      <c r="F1525" s="5" t="inlineStr"/>
      <c r="G1525" s="5" t="inlineStr">
        <is>
          <t>051-522-6300</t>
        </is>
      </c>
      <c r="H1525" s="12">
        <f>어린이집!T1146</f>
        <v/>
      </c>
      <c r="I1525" s="5" t="inlineStr">
        <is>
          <t>만0세 10 / 만1세 5 / 만2세 5 / 영아혼합반 5 / 기타(연령구분 없음) 3</t>
        </is>
      </c>
    </row>
    <row r="1526">
      <c r="A1526" s="5" t="inlineStr">
        <is>
          <t>센텀리슈빌어린이집</t>
        </is>
      </c>
      <c r="B1526" s="5" t="inlineStr">
        <is>
          <t>어린이집</t>
        </is>
      </c>
      <c r="C1526" s="5" t="inlineStr">
        <is>
          <t>국공립</t>
        </is>
      </c>
      <c r="D1526" s="5" t="inlineStr">
        <is>
          <t>해운대구</t>
        </is>
      </c>
      <c r="E1526" s="5" t="inlineStr">
        <is>
          <t>부산광역시 해운대구 해운대로76번길 40 관리동</t>
        </is>
      </c>
      <c r="F1526" s="5" t="inlineStr"/>
      <c r="G1526" s="5" t="inlineStr">
        <is>
          <t>051-791-0206</t>
        </is>
      </c>
      <c r="H1526" s="12">
        <f>어린이집!T1147</f>
        <v/>
      </c>
      <c r="I1526" s="5" t="inlineStr">
        <is>
          <t>만1세 4 / 만2세 13 / 만3세 11 / 유아혼합반 16</t>
        </is>
      </c>
    </row>
    <row r="1527">
      <c r="A1527" s="5" t="inlineStr">
        <is>
          <t>센텀리틀어린이집</t>
        </is>
      </c>
      <c r="B1527" s="5" t="inlineStr">
        <is>
          <t>어린이집</t>
        </is>
      </c>
      <c r="C1527" s="5" t="inlineStr">
        <is>
          <t>가정</t>
        </is>
      </c>
      <c r="D1527" s="5" t="inlineStr">
        <is>
          <t>해운대구</t>
        </is>
      </c>
      <c r="E1527" s="5" t="inlineStr">
        <is>
          <t>부산광역시 해운대구 센텀중앙로 142 202-301(재송동,더숍센텀파크2차)</t>
        </is>
      </c>
      <c r="F1527" s="5" t="inlineStr"/>
      <c r="G1527" s="5" t="inlineStr">
        <is>
          <t>051-744-3654</t>
        </is>
      </c>
      <c r="H1527" s="12">
        <f>어린이집!T1148</f>
        <v/>
      </c>
      <c r="I1527" s="5" t="inlineStr">
        <is>
          <t>만2세 6 / 영아혼합반 7 / 기타(연령구분 없음) 4</t>
        </is>
      </c>
    </row>
    <row r="1528">
      <c r="A1528" s="5" t="inlineStr">
        <is>
          <t>센텀별하어린이집</t>
        </is>
      </c>
      <c r="B1528" s="5" t="inlineStr">
        <is>
          <t>어린이집</t>
        </is>
      </c>
      <c r="C1528" s="5" t="inlineStr">
        <is>
          <t>가정</t>
        </is>
      </c>
      <c r="D1528" s="5" t="inlineStr">
        <is>
          <t>해운대구</t>
        </is>
      </c>
      <c r="E1528" s="5" t="inlineStr">
        <is>
          <t>부산광역시 해운대구  해운대로76번길 55 103동 105호(재송동, 센텀이편한세상)</t>
        </is>
      </c>
      <c r="F1528" s="5" t="inlineStr"/>
      <c r="G1528" s="5" t="inlineStr">
        <is>
          <t>051-915-8129</t>
        </is>
      </c>
      <c r="H1528" s="12">
        <f>어린이집!T1149</f>
        <v/>
      </c>
      <c r="I1528" s="5" t="inlineStr">
        <is>
          <t>만0세 3 / 만1세 10 / 만2세 5 / 기타(연령구분 없음) 3</t>
        </is>
      </c>
    </row>
    <row r="1529">
      <c r="A1529" s="5" t="inlineStr">
        <is>
          <t>센텀사랑어린이집</t>
        </is>
      </c>
      <c r="B1529" s="5" t="inlineStr">
        <is>
          <t>어린이집</t>
        </is>
      </c>
      <c r="C1529" s="5" t="inlineStr">
        <is>
          <t>민간</t>
        </is>
      </c>
      <c r="D1529" s="5" t="inlineStr">
        <is>
          <t>해운대구</t>
        </is>
      </c>
      <c r="E1529" s="5" t="inlineStr">
        <is>
          <t>부산광역시 해운대구 센텀중앙로 142 더샵센텀파크 2단지 관리동내</t>
        </is>
      </c>
      <c r="F1529" s="5" t="inlineStr"/>
      <c r="G1529" s="5" t="inlineStr">
        <is>
          <t>051-746-2573</t>
        </is>
      </c>
      <c r="H1529" s="12">
        <f>어린이집!T1150</f>
        <v/>
      </c>
      <c r="I1529" s="5" t="inlineStr">
        <is>
          <t>만0세 4 / 만1세 3 / 만2세 7 / 기타(연령구분 없음) 5</t>
        </is>
      </c>
    </row>
    <row r="1530">
      <c r="A1530" s="5" t="inlineStr">
        <is>
          <t>센텀센시빌어린이집</t>
        </is>
      </c>
      <c r="B1530" s="5" t="inlineStr">
        <is>
          <t>어린이집</t>
        </is>
      </c>
      <c r="C1530" s="5" t="inlineStr">
        <is>
          <t>민간</t>
        </is>
      </c>
      <c r="D1530" s="5" t="inlineStr">
        <is>
          <t>해운대구</t>
        </is>
      </c>
      <c r="E1530" s="5" t="inlineStr">
        <is>
          <t>부산광역시 해운대구 해운대로 284 센텀센시빌아파트 관리동 (우동)</t>
        </is>
      </c>
      <c r="F1530" s="5" t="inlineStr"/>
      <c r="G1530" s="5" t="inlineStr">
        <is>
          <t>051-731-7111</t>
        </is>
      </c>
      <c r="H1530" s="12">
        <f>어린이집!T1151</f>
        <v/>
      </c>
      <c r="I1530" s="5" t="inlineStr">
        <is>
          <t>만0세 4 / 만1세 14 / 만2세 6 / 만3세 10 / 기타(연령구분 없음) 5</t>
        </is>
      </c>
    </row>
    <row r="1531">
      <c r="A1531" s="5" t="inlineStr">
        <is>
          <t>센텀아이어린이집</t>
        </is>
      </c>
      <c r="B1531" s="5" t="inlineStr">
        <is>
          <t>어린이집</t>
        </is>
      </c>
      <c r="C1531" s="5" t="inlineStr">
        <is>
          <t>가정</t>
        </is>
      </c>
      <c r="D1531" s="5" t="inlineStr">
        <is>
          <t>해운대구</t>
        </is>
      </c>
      <c r="E1531" s="5" t="inlineStr">
        <is>
          <t>부산광역시 해운대구 센텀중앙로 145 109동 406호(재송동, 더샵센텀파크1차)</t>
        </is>
      </c>
      <c r="F1531" s="5" t="inlineStr"/>
      <c r="G1531" s="5" t="inlineStr">
        <is>
          <t>051-744-3736</t>
        </is>
      </c>
      <c r="H1531" s="12">
        <f>어린이집!T1152</f>
        <v/>
      </c>
      <c r="I1531" s="5" t="inlineStr">
        <is>
          <t>만0세 6 / 만1세 3 / 만2세 4 / 영아혼합반 2 / 기타(연령구분 없음) 3</t>
        </is>
      </c>
    </row>
    <row r="1532">
      <c r="A1532" s="5" t="inlineStr">
        <is>
          <t>센텀에젤어린이집</t>
        </is>
      </c>
      <c r="B1532" s="5" t="inlineStr">
        <is>
          <t>어린이집</t>
        </is>
      </c>
      <c r="C1532" s="5" t="inlineStr">
        <is>
          <t>가정</t>
        </is>
      </c>
      <c r="D1532" s="5" t="inlineStr">
        <is>
          <t>해운대구</t>
        </is>
      </c>
      <c r="E1532" s="5" t="inlineStr">
        <is>
          <t>부산광역시 해운대구 해운대로 253 101동 관리동(재송동,해운대더샵센텀누리)</t>
        </is>
      </c>
      <c r="F1532" s="5" t="inlineStr"/>
      <c r="G1532" s="5" t="inlineStr">
        <is>
          <t>051-744-0403</t>
        </is>
      </c>
      <c r="H1532" s="12">
        <f>어린이집!T1153</f>
        <v/>
      </c>
      <c r="I1532" s="5" t="inlineStr">
        <is>
          <t>만0세 2 / 만2세 4 / 영아혼합반 4 / 기타(연령구분 없음) 5</t>
        </is>
      </c>
    </row>
    <row r="1533">
      <c r="A1533" s="5" t="inlineStr">
        <is>
          <t>센텀엔젤어린이집</t>
        </is>
      </c>
      <c r="B1533" s="5" t="inlineStr">
        <is>
          <t>어린이집</t>
        </is>
      </c>
      <c r="C1533" s="5" t="inlineStr">
        <is>
          <t>가정</t>
        </is>
      </c>
      <c r="D1533" s="5" t="inlineStr">
        <is>
          <t>해운대구</t>
        </is>
      </c>
      <c r="E1533" s="5" t="inlineStr">
        <is>
          <t>부산광역시 해운대구 센텀중앙로 145 111동 402호(재송동, 더샵센텀파크1차아파트)</t>
        </is>
      </c>
      <c r="F1533" s="5" t="inlineStr"/>
      <c r="G1533" s="5" t="inlineStr">
        <is>
          <t>051-703-3007</t>
        </is>
      </c>
      <c r="H1533" s="12">
        <f>어린이집!T1154</f>
        <v/>
      </c>
      <c r="I1533" s="5" t="inlineStr">
        <is>
          <t>만0세 6 / 만1세 4 / 만2세 6 / 영아혼합반 3 / 기타(연령구분 없음) 3</t>
        </is>
      </c>
    </row>
    <row r="1534">
      <c r="A1534" s="5" t="inlineStr">
        <is>
          <t>센텀은총어린이집</t>
        </is>
      </c>
      <c r="B1534" s="5" t="inlineStr">
        <is>
          <t>어린이집</t>
        </is>
      </c>
      <c r="C1534" s="5" t="inlineStr">
        <is>
          <t>가정</t>
        </is>
      </c>
      <c r="D1534" s="5" t="inlineStr">
        <is>
          <t>해운대구</t>
        </is>
      </c>
      <c r="E1534" s="5" t="inlineStr">
        <is>
          <t>부산광역시 해운대구 해운대로76번길 55 109동 201호(재송동, 센텀이편한세상)</t>
        </is>
      </c>
      <c r="F1534" s="5" t="inlineStr"/>
      <c r="G1534" s="5" t="inlineStr">
        <is>
          <t>051-784-6180</t>
        </is>
      </c>
      <c r="H1534" s="12">
        <f>어린이집!T1155</f>
        <v/>
      </c>
      <c r="I1534" s="5" t="inlineStr">
        <is>
          <t>만0세 2 / 만1세 7 / 만2세 7 / 기타(연령구분 없음) 5</t>
        </is>
      </c>
    </row>
    <row r="1535">
      <c r="A1535" s="5" t="inlineStr">
        <is>
          <t>센텀트루엘어린이집</t>
        </is>
      </c>
      <c r="B1535" s="5" t="inlineStr">
        <is>
          <t>어린이집</t>
        </is>
      </c>
      <c r="C1535" s="5" t="inlineStr">
        <is>
          <t>국공립</t>
        </is>
      </c>
      <c r="D1535" s="5" t="inlineStr">
        <is>
          <t>해운대구</t>
        </is>
      </c>
      <c r="E1535" s="5" t="inlineStr">
        <is>
          <t>부산광역시 해운대구 삼어로133번나길 17 (반여동, 센텀트루엘아파트)</t>
        </is>
      </c>
      <c r="F1535" s="5" t="inlineStr"/>
      <c r="G1535" s="5" t="inlineStr">
        <is>
          <t>051-921-0922</t>
        </is>
      </c>
      <c r="H1535" s="12">
        <f>어린이집!T1156</f>
        <v/>
      </c>
      <c r="I1535" s="5" t="inlineStr">
        <is>
          <t>만0세 7 / 만1세 11 / 만2세 15 / 기타(연령구분 없음) 7</t>
        </is>
      </c>
    </row>
    <row r="1536">
      <c r="A1536" s="5" t="inlineStr">
        <is>
          <t>센텀파랑새어린이집</t>
        </is>
      </c>
      <c r="B1536" s="5" t="inlineStr">
        <is>
          <t>어린이집</t>
        </is>
      </c>
      <c r="C1536" s="5" t="inlineStr">
        <is>
          <t>민간</t>
        </is>
      </c>
      <c r="D1536" s="5" t="inlineStr">
        <is>
          <t>해운대구</t>
        </is>
      </c>
      <c r="E1536" s="5" t="inlineStr">
        <is>
          <t>부산광역시 해운대구 해운대로 361 센텀삼환아파트단지 내 삼환파랑새어린이집</t>
        </is>
      </c>
      <c r="F1536" s="11" t="inlineStr">
        <is>
          <t>https://blog.naver.com/centum_blue/224076768150</t>
        </is>
      </c>
      <c r="G1536" s="5" t="inlineStr">
        <is>
          <t>051-747-7779</t>
        </is>
      </c>
      <c r="H1536" s="12">
        <f>어린이집!T1157</f>
        <v/>
      </c>
      <c r="I1536" s="5" t="inlineStr">
        <is>
          <t>만0세 9 / 만1세 29 / 만2세 21 / 기타(연령구분 없음) 3</t>
        </is>
      </c>
    </row>
    <row r="1537">
      <c r="A1537" s="5" t="inlineStr">
        <is>
          <t>센텀피오레어린이집</t>
        </is>
      </c>
      <c r="B1537" s="5" t="inlineStr">
        <is>
          <t>어린이집</t>
        </is>
      </c>
      <c r="C1537" s="5" t="inlineStr">
        <is>
          <t>가정</t>
        </is>
      </c>
      <c r="D1537" s="5" t="inlineStr">
        <is>
          <t>해운대구</t>
        </is>
      </c>
      <c r="E1537" s="5" t="inlineStr">
        <is>
          <t>부산광역시 해운대구 수영강변대로 382 106동 105호(재송동, 센텀피오레아파트)</t>
        </is>
      </c>
      <c r="F1537" s="5" t="inlineStr"/>
      <c r="G1537" s="5" t="inlineStr">
        <is>
          <t>051-781-1056</t>
        </is>
      </c>
      <c r="H1537" s="12">
        <f>어린이집!T1158</f>
        <v/>
      </c>
      <c r="I1537" s="5" t="inlineStr">
        <is>
          <t>만0세 7 / 만1세 5 / 만2세 5 / 기타(연령구분 없음) 5</t>
        </is>
      </c>
    </row>
    <row r="1538">
      <c r="A1538" s="5" t="inlineStr">
        <is>
          <t>센트럴푸르지오어린이집</t>
        </is>
      </c>
      <c r="B1538" s="5" t="inlineStr">
        <is>
          <t>어린이집</t>
        </is>
      </c>
      <c r="C1538" s="5" t="inlineStr">
        <is>
          <t>국공립</t>
        </is>
      </c>
      <c r="D1538" s="5" t="inlineStr">
        <is>
          <t>해운대구</t>
        </is>
      </c>
      <c r="E1538" s="5" t="inlineStr">
        <is>
          <t>부산광역시 해운대구 해운대로 650</t>
        </is>
      </c>
      <c r="F1538" s="5" t="inlineStr"/>
      <c r="G1538" s="5" t="inlineStr">
        <is>
          <t>051-741-2023</t>
        </is>
      </c>
      <c r="H1538" s="12">
        <f>어린이집!T1159</f>
        <v/>
      </c>
      <c r="I1538" s="5" t="inlineStr">
        <is>
          <t>만0세 9 / 만1세 14 / 만2세 14 / 기타(연령구분 없음) 10</t>
        </is>
      </c>
    </row>
    <row r="1539">
      <c r="A1539" s="5" t="inlineStr">
        <is>
          <t>소명선교어린이집</t>
        </is>
      </c>
      <c r="B1539" s="5" t="inlineStr">
        <is>
          <t>어린이집</t>
        </is>
      </c>
      <c r="C1539" s="5" t="inlineStr">
        <is>
          <t>민간</t>
        </is>
      </c>
      <c r="D1539" s="5" t="inlineStr">
        <is>
          <t>해운대구</t>
        </is>
      </c>
      <c r="E1539" s="5" t="inlineStr">
        <is>
          <t>부산광역시 해운대구 좌동순환로468번가길 87 1층(중1동)</t>
        </is>
      </c>
      <c r="F1539" s="5" t="inlineStr"/>
      <c r="G1539" s="5" t="inlineStr">
        <is>
          <t>051-747-5893</t>
        </is>
      </c>
      <c r="H1539" s="12">
        <f>어린이집!T1160</f>
        <v/>
      </c>
      <c r="I1539" s="5" t="inlineStr">
        <is>
          <t>만1세 18 / 만2세 14 / 만3세 12 / 만4세 17 / 만5세 29 / 기타(연령구분 없음) 20</t>
        </is>
      </c>
    </row>
    <row r="1540">
      <c r="A1540" s="5" t="inlineStr">
        <is>
          <t>솔밭어린이집</t>
        </is>
      </c>
      <c r="B1540" s="5" t="inlineStr">
        <is>
          <t>어린이집</t>
        </is>
      </c>
      <c r="C1540" s="5" t="inlineStr">
        <is>
          <t>국공립</t>
        </is>
      </c>
      <c r="D1540" s="5" t="inlineStr">
        <is>
          <t>해운대구</t>
        </is>
      </c>
      <c r="E1540" s="5" t="inlineStr">
        <is>
          <t>부산광역시 해운대구 신반송로 159 반석종합사회복지관내 (반송동)</t>
        </is>
      </c>
      <c r="F1540" s="5" t="inlineStr"/>
      <c r="G1540" s="5" t="inlineStr">
        <is>
          <t>051-543-2111</t>
        </is>
      </c>
      <c r="H1540" s="12">
        <f>어린이집!T1161</f>
        <v/>
      </c>
      <c r="I1540" s="5" t="inlineStr">
        <is>
          <t>만0세 3 / 만1세 3 / 만2세 6 / 만3세 6 / 만4세 15 / 만5세 10 / 장애아반(특수) 2 / 기타(연령구분 없음) 20</t>
        </is>
      </c>
    </row>
    <row r="1541">
      <c r="A1541" s="5" t="inlineStr">
        <is>
          <t>솔아름어린이집</t>
        </is>
      </c>
      <c r="B1541" s="5" t="inlineStr">
        <is>
          <t>어린이집</t>
        </is>
      </c>
      <c r="C1541" s="5" t="inlineStr">
        <is>
          <t>민간</t>
        </is>
      </c>
      <c r="D1541" s="5" t="inlineStr">
        <is>
          <t>해운대구</t>
        </is>
      </c>
      <c r="E1541" s="5" t="inlineStr">
        <is>
          <t>부산광역시 해운대구 청사포로 27 관리동 1층(좌동, 경남선경아파트)</t>
        </is>
      </c>
      <c r="F1541" s="5" t="inlineStr"/>
      <c r="G1541" s="5" t="inlineStr">
        <is>
          <t>051-701-7704</t>
        </is>
      </c>
      <c r="H1541" s="12">
        <f>어린이집!T1162</f>
        <v/>
      </c>
      <c r="I1541" s="5" t="inlineStr">
        <is>
          <t>만0세 4 / 만1세 10 / 만2세 7 / 영아혼합반 9 / 유아혼합반 6 / 기타(연령구분 없음) 5</t>
        </is>
      </c>
    </row>
    <row r="1542">
      <c r="A1542" s="5" t="inlineStr">
        <is>
          <t>송정해송어린이집</t>
        </is>
      </c>
      <c r="B1542" s="5" t="inlineStr">
        <is>
          <t>어린이집</t>
        </is>
      </c>
      <c r="C1542" s="5" t="inlineStr">
        <is>
          <t>국공립</t>
        </is>
      </c>
      <c r="D1542" s="5" t="inlineStr">
        <is>
          <t>해운대구</t>
        </is>
      </c>
      <c r="E1542" s="5" t="inlineStr">
        <is>
          <t>부산광역시 해운대구 해운대로 1188 204동 1층(송정동, 송정2휴먼시아)</t>
        </is>
      </c>
      <c r="F1542" s="11" t="inlineStr">
        <is>
          <t>https://www.instagram.com/songjeongheasong_1465/profilecard/?igsh=MWg2a3Q0Njd1bmU5YQ==</t>
        </is>
      </c>
      <c r="G1542" s="5" t="inlineStr">
        <is>
          <t>051-704-1157</t>
        </is>
      </c>
      <c r="H1542" s="12">
        <f>어린이집!T1163</f>
        <v/>
      </c>
      <c r="I1542" s="5" t="inlineStr">
        <is>
          <t>만0세 6 / 만1세 9 / 만2세 4 / 장애아반(특수) 1 / 기타(연령구분 없음) 3</t>
        </is>
      </c>
    </row>
    <row r="1543">
      <c r="A1543" s="5" t="inlineStr">
        <is>
          <t>신도어린이집</t>
        </is>
      </c>
      <c r="B1543" s="5" t="inlineStr">
        <is>
          <t>어린이집</t>
        </is>
      </c>
      <c r="C1543" s="5" t="inlineStr">
        <is>
          <t>가정</t>
        </is>
      </c>
      <c r="D1543" s="5" t="inlineStr">
        <is>
          <t>해운대구</t>
        </is>
      </c>
      <c r="E1543" s="5" t="inlineStr">
        <is>
          <t>부산광역시 해운대구 대천로103번길 29 507동 102호(좌동, 대동타운)</t>
        </is>
      </c>
      <c r="F1543" s="5" t="inlineStr"/>
      <c r="G1543" s="5" t="inlineStr">
        <is>
          <t>051-702-1624</t>
        </is>
      </c>
      <c r="H1543" s="12">
        <f>어린이집!T1164</f>
        <v/>
      </c>
      <c r="I1543" s="5" t="inlineStr">
        <is>
          <t>만0세 5 / 만1세 9 / 만2세 6 / 기타(연령구분 없음) 13</t>
        </is>
      </c>
    </row>
    <row r="1544">
      <c r="A1544" s="5" t="inlineStr">
        <is>
          <t>신세계어린이집</t>
        </is>
      </c>
      <c r="B1544" s="5" t="inlineStr">
        <is>
          <t>어린이집</t>
        </is>
      </c>
      <c r="C1544" s="5" t="inlineStr">
        <is>
          <t>직장</t>
        </is>
      </c>
      <c r="D1544" s="5" t="inlineStr">
        <is>
          <t>해운대구</t>
        </is>
      </c>
      <c r="E1544" s="5" t="inlineStr">
        <is>
          <t>부산광역시 해운대구 센텀남대로 35 신세계백화점내 2층 (우동)</t>
        </is>
      </c>
      <c r="F1544" s="11" t="inlineStr">
        <is>
          <t>http://www.puruni.com</t>
        </is>
      </c>
      <c r="G1544" s="5" t="inlineStr">
        <is>
          <t>051-745-2411</t>
        </is>
      </c>
      <c r="H1544" s="12">
        <f>어린이집!T1165</f>
        <v/>
      </c>
      <c r="I1544" s="5" t="inlineStr">
        <is>
          <t>만2세 8 / 만3세 9 / 만4세 2 / 기타(연령구분 없음) 18</t>
        </is>
      </c>
    </row>
    <row r="1545">
      <c r="A1545" s="5" t="inlineStr">
        <is>
          <t>아너스빌어린이집</t>
        </is>
      </c>
      <c r="B1545" s="5" t="inlineStr">
        <is>
          <t>어린이집</t>
        </is>
      </c>
      <c r="C1545" s="5" t="inlineStr">
        <is>
          <t>민간</t>
        </is>
      </c>
      <c r="D1545" s="5" t="inlineStr">
        <is>
          <t>해운대구</t>
        </is>
      </c>
      <c r="E1545" s="5" t="inlineStr">
        <is>
          <t>부산광역시 해운대구 해운대로 732 301동 주민공동시설내(중1동,경남아너스빌)</t>
        </is>
      </c>
      <c r="F1545" s="5" t="inlineStr"/>
      <c r="G1545" s="5" t="inlineStr">
        <is>
          <t>051-731-0687</t>
        </is>
      </c>
      <c r="H1545" s="12">
        <f>어린이집!T1166</f>
        <v/>
      </c>
      <c r="I1545" s="5" t="inlineStr">
        <is>
          <t>만0세 5 / 만1세 9 / 만2세 8 / 기타(연령구분 없음) 7</t>
        </is>
      </c>
    </row>
    <row r="1546">
      <c r="A1546" s="5" t="inlineStr">
        <is>
          <t>아시아선수촌어린이집</t>
        </is>
      </c>
      <c r="B1546" s="5" t="inlineStr">
        <is>
          <t>어린이집</t>
        </is>
      </c>
      <c r="C1546" s="5" t="inlineStr">
        <is>
          <t>국공립</t>
        </is>
      </c>
      <c r="D1546" s="5" t="inlineStr">
        <is>
          <t>해운대구</t>
        </is>
      </c>
      <c r="E1546" s="5" t="inlineStr">
        <is>
          <t>부산광역시 해운대구 선수촌로 122</t>
        </is>
      </c>
      <c r="F1546" s="5" t="inlineStr"/>
      <c r="G1546" s="5" t="inlineStr">
        <is>
          <t>051-529-9581</t>
        </is>
      </c>
      <c r="H1546" s="12">
        <f>어린이집!T1167</f>
        <v/>
      </c>
      <c r="I1546" s="5" t="inlineStr">
        <is>
          <t>만0세 6 / 만1세 15 / 만2세 14 / 기타(연령구분 없음) 5</t>
        </is>
      </c>
    </row>
    <row r="1547">
      <c r="A1547" s="5" t="inlineStr">
        <is>
          <t>아이별어린이집</t>
        </is>
      </c>
      <c r="B1547" s="5" t="inlineStr">
        <is>
          <t>어린이집</t>
        </is>
      </c>
      <c r="C1547" s="5" t="inlineStr">
        <is>
          <t>민간</t>
        </is>
      </c>
      <c r="D1547" s="5" t="inlineStr">
        <is>
          <t>해운대구</t>
        </is>
      </c>
      <c r="E1547" s="5" t="inlineStr">
        <is>
          <t>부산광역시 해운대구 대천로 205 벽산아파트 관리동1층</t>
        </is>
      </c>
      <c r="F1547" s="5" t="inlineStr"/>
      <c r="G1547" s="5" t="inlineStr">
        <is>
          <t>051-701-8513</t>
        </is>
      </c>
      <c r="H1547" s="12">
        <f>어린이집!T1168</f>
        <v/>
      </c>
      <c r="I1547" s="5" t="inlineStr">
        <is>
          <t>만1세 8 / 만2세 7 / 기타(연령구분 없음) 5</t>
        </is>
      </c>
    </row>
    <row r="1548">
      <c r="A1548" s="5" t="inlineStr">
        <is>
          <t>아이사랑어린이집</t>
        </is>
      </c>
      <c r="B1548" s="5" t="inlineStr">
        <is>
          <t>어린이집</t>
        </is>
      </c>
      <c r="C1548" s="5" t="inlineStr">
        <is>
          <t>민간</t>
        </is>
      </c>
      <c r="D1548" s="5" t="inlineStr">
        <is>
          <t>해운대구</t>
        </is>
      </c>
      <c r="E1548" s="5" t="inlineStr">
        <is>
          <t>부산광역시 해운대구 해운대해변로 99 경남마리나아파트 내 (우동)</t>
        </is>
      </c>
      <c r="F1548" s="5" t="inlineStr"/>
      <c r="G1548" s="5" t="inlineStr">
        <is>
          <t>051-747-5986</t>
        </is>
      </c>
      <c r="H1548" s="12">
        <f>어린이집!T1169</f>
        <v/>
      </c>
      <c r="I1548" s="5" t="inlineStr">
        <is>
          <t>만0세 9 / 만1세 32 / 만2세 42 / 영아혼합반 1 / 기타(연령구분 없음) 5</t>
        </is>
      </c>
    </row>
    <row r="1549">
      <c r="A1549" s="5" t="inlineStr">
        <is>
          <t>아이편한어린이집</t>
        </is>
      </c>
      <c r="B1549" s="5" t="inlineStr">
        <is>
          <t>어린이집</t>
        </is>
      </c>
      <c r="C1549" s="5" t="inlineStr">
        <is>
          <t>가정</t>
        </is>
      </c>
      <c r="D1549" s="5" t="inlineStr">
        <is>
          <t>해운대구</t>
        </is>
      </c>
      <c r="E1549" s="5" t="inlineStr">
        <is>
          <t>부산광역시 해운대구 해운대로76번길 55 104동 105호(재송동, 센텀이편한세상)</t>
        </is>
      </c>
      <c r="F1549" s="5" t="inlineStr"/>
      <c r="G1549" s="5" t="inlineStr">
        <is>
          <t>051-912-7831</t>
        </is>
      </c>
      <c r="H1549" s="12">
        <f>어린이집!T1170</f>
        <v/>
      </c>
      <c r="I1549" s="5" t="inlineStr">
        <is>
          <t>만0세 7 / 만1세 5 / 만2세 7 / 기타(연령구분 없음) 5</t>
        </is>
      </c>
    </row>
    <row r="1550">
      <c r="A1550" s="5" t="inlineStr">
        <is>
          <t>영재어린이집</t>
        </is>
      </c>
      <c r="B1550" s="5" t="inlineStr">
        <is>
          <t>어린이집</t>
        </is>
      </c>
      <c r="C1550" s="5" t="inlineStr">
        <is>
          <t>가정</t>
        </is>
      </c>
      <c r="D1550" s="5" t="inlineStr">
        <is>
          <t>해운대구</t>
        </is>
      </c>
      <c r="E1550" s="5" t="inlineStr">
        <is>
          <t>부산광역시 해운대구 양운로 182 101동 103호(좌동, 두산동국)</t>
        </is>
      </c>
      <c r="F1550" s="11" t="inlineStr">
        <is>
          <t>http://mijungp8415@hanmail.net</t>
        </is>
      </c>
      <c r="G1550" s="5" t="inlineStr">
        <is>
          <t>051-701-8406</t>
        </is>
      </c>
      <c r="H1550" s="12">
        <f>어린이집!T1171</f>
        <v/>
      </c>
      <c r="I1550" s="5" t="inlineStr">
        <is>
          <t>만0세 5 / 만1세 7 / 영아혼합반 4 / 기타(연령구분 없음) 4</t>
        </is>
      </c>
    </row>
    <row r="1551">
      <c r="A1551" s="5" t="inlineStr">
        <is>
          <t>예닮어린이집</t>
        </is>
      </c>
      <c r="B1551" s="5" t="inlineStr">
        <is>
          <t>어린이집</t>
        </is>
      </c>
      <c r="C1551" s="5" t="inlineStr">
        <is>
          <t>가정</t>
        </is>
      </c>
      <c r="D1551" s="5" t="inlineStr">
        <is>
          <t>해운대구</t>
        </is>
      </c>
      <c r="E1551" s="5" t="inlineStr">
        <is>
          <t>부산광역시 해운대구 해운대해변로 85 101동 101호(우동, 경동아파트)</t>
        </is>
      </c>
      <c r="F1551" s="5" t="inlineStr"/>
      <c r="G1551" s="5" t="inlineStr">
        <is>
          <t>051-731-6315</t>
        </is>
      </c>
      <c r="H1551" s="12">
        <f>어린이집!T1172</f>
        <v/>
      </c>
      <c r="I1551" s="5" t="inlineStr">
        <is>
          <t>만0세 2 / 만1세 8 / 만2세 5 / 기타(연령구분 없음) 5</t>
        </is>
      </c>
    </row>
    <row r="1552">
      <c r="A1552" s="5" t="inlineStr">
        <is>
          <t>예진어린이집</t>
        </is>
      </c>
      <c r="B1552" s="5" t="inlineStr">
        <is>
          <t>어린이집</t>
        </is>
      </c>
      <c r="C1552" s="5" t="inlineStr">
        <is>
          <t>사회복지법인</t>
        </is>
      </c>
      <c r="D1552" s="5" t="inlineStr">
        <is>
          <t>해운대구</t>
        </is>
      </c>
      <c r="E1552" s="5" t="inlineStr">
        <is>
          <t>부산광역시 해운대구 재송2로 122 (재송동)</t>
        </is>
      </c>
      <c r="F1552" s="11" t="inlineStr">
        <is>
          <t>http://www.yejin.or.kr</t>
        </is>
      </c>
      <c r="G1552" s="5" t="inlineStr">
        <is>
          <t>051-782-6321</t>
        </is>
      </c>
      <c r="H1552" s="12">
        <f>어린이집!T1173</f>
        <v/>
      </c>
      <c r="I1552" s="5" t="inlineStr">
        <is>
          <t>만0세 6 / 만1세 5 / 만2세 7 / 만3세 10 / 만4세 14 / 만5세 17 / 영아혼합반 4 / 기타(연령구분 없음) 31</t>
        </is>
      </c>
    </row>
    <row r="1553">
      <c r="A1553" s="5" t="inlineStr">
        <is>
          <t>오리온어린이집</t>
        </is>
      </c>
      <c r="B1553" s="5" t="inlineStr">
        <is>
          <t>어린이집</t>
        </is>
      </c>
      <c r="C1553" s="5" t="inlineStr">
        <is>
          <t>가정</t>
        </is>
      </c>
      <c r="D1553" s="5" t="inlineStr">
        <is>
          <t>해운대구</t>
        </is>
      </c>
      <c r="E1553" s="5" t="inlineStr">
        <is>
          <t>부산광역시 해운대구 선수촌로 122 111동 102호(반여동, 주공아시아선수촌아파트)</t>
        </is>
      </c>
      <c r="F1553" s="11" t="inlineStr">
        <is>
          <t>http://orion8816@naver.com</t>
        </is>
      </c>
      <c r="G1553" s="5" t="inlineStr">
        <is>
          <t>051-527-8816</t>
        </is>
      </c>
      <c r="H1553" s="12">
        <f>어린이집!T1174</f>
        <v/>
      </c>
      <c r="I1553" s="5" t="inlineStr">
        <is>
          <t>만1세 5 / 만2세 4 / 영아혼합반 4 / 기타(연령구분 없음) 17</t>
        </is>
      </c>
    </row>
    <row r="1554">
      <c r="A1554" s="5" t="inlineStr">
        <is>
          <t>우2동어린이집</t>
        </is>
      </c>
      <c r="B1554" s="5" t="inlineStr">
        <is>
          <t>어린이집</t>
        </is>
      </c>
      <c r="C1554" s="5" t="inlineStr">
        <is>
          <t>국공립</t>
        </is>
      </c>
      <c r="D1554" s="5" t="inlineStr">
        <is>
          <t>해운대구</t>
        </is>
      </c>
      <c r="E1554" s="5" t="inlineStr">
        <is>
          <t>부산광역시 해운대구 해운대로383번가길 3-9 우2동어린이집 (우동)</t>
        </is>
      </c>
      <c r="F1554" s="11" t="inlineStr">
        <is>
          <t>http://cafe.daum.net/ajh6682</t>
        </is>
      </c>
      <c r="G1554" s="5" t="inlineStr">
        <is>
          <t>051-747-6604</t>
        </is>
      </c>
      <c r="H1554" s="12">
        <f>어린이집!T1175</f>
        <v/>
      </c>
      <c r="I1554" s="5" t="inlineStr">
        <is>
          <t>만0세 9 / 만1세 15 / 만2세 20 / 만3세 9 / 유아혼합반 6 / 기타(연령구분 없음) 12</t>
        </is>
      </c>
    </row>
    <row r="1555">
      <c r="A1555" s="5" t="inlineStr">
        <is>
          <t>우림햇살어린이집</t>
        </is>
      </c>
      <c r="B1555" s="5" t="inlineStr">
        <is>
          <t>어린이집</t>
        </is>
      </c>
      <c r="C1555" s="5" t="inlineStr">
        <is>
          <t>국공립</t>
        </is>
      </c>
      <c r="D1555" s="5" t="inlineStr">
        <is>
          <t>해운대구</t>
        </is>
      </c>
      <c r="E1555" s="5" t="inlineStr">
        <is>
          <t>부산광역시 해운대구 송정1로8번길 25-78 관리동 1층(송정동, 해운대 송정 우림필유아파트)</t>
        </is>
      </c>
      <c r="F1555" s="5" t="inlineStr"/>
      <c r="G1555" s="5" t="inlineStr">
        <is>
          <t>051-704-3007</t>
        </is>
      </c>
      <c r="H1555" s="12">
        <f>어린이집!T1176</f>
        <v/>
      </c>
      <c r="I1555" s="5" t="inlineStr">
        <is>
          <t>만0세 3 / 만1세 4 / 만2세 8 / 영아혼합반 2 / 기타(연령구분 없음) 5</t>
        </is>
      </c>
    </row>
    <row r="1556">
      <c r="A1556" s="5" t="inlineStr">
        <is>
          <t>우방아이사랑어린이집</t>
        </is>
      </c>
      <c r="B1556" s="5" t="inlineStr">
        <is>
          <t>어린이집</t>
        </is>
      </c>
      <c r="C1556" s="5" t="inlineStr">
        <is>
          <t>민간</t>
        </is>
      </c>
      <c r="D1556" s="5" t="inlineStr">
        <is>
          <t>해운대구</t>
        </is>
      </c>
      <c r="E1556" s="5" t="inlineStr">
        <is>
          <t>부산광역시 해운대구 삼어로 61 우방아이사랑어린이집</t>
        </is>
      </c>
      <c r="F1556" s="11" t="inlineStr">
        <is>
          <t>https://blog.naver.com/hij7443</t>
        </is>
      </c>
      <c r="G1556" s="5" t="inlineStr">
        <is>
          <t>051-521-8458</t>
        </is>
      </c>
      <c r="H1556" s="12">
        <f>어린이집!T1177</f>
        <v/>
      </c>
      <c r="I1556" s="5" t="inlineStr">
        <is>
          <t>만0세 2 / 만1세 4 / 만2세 5 / 영아혼합반 5 / 기타(연령구분 없음) 4</t>
        </is>
      </c>
    </row>
    <row r="1557">
      <c r="A1557" s="5" t="inlineStr">
        <is>
          <t>우신꿈꾸는 어린이집</t>
        </is>
      </c>
      <c r="B1557" s="5" t="inlineStr">
        <is>
          <t>어린이집</t>
        </is>
      </c>
      <c r="C1557" s="5" t="inlineStr">
        <is>
          <t>가정</t>
        </is>
      </c>
      <c r="D1557" s="5" t="inlineStr">
        <is>
          <t>해운대구</t>
        </is>
      </c>
      <c r="E1557" s="5" t="inlineStr">
        <is>
          <t>부산광역시 해운대구 삼어로 181 우신아파트 103-101 우신꿈꾸는 어린이집 (반여동)</t>
        </is>
      </c>
      <c r="F1557" s="5" t="inlineStr"/>
      <c r="G1557" s="5" t="inlineStr">
        <is>
          <t>051-529-8511</t>
        </is>
      </c>
      <c r="H1557" s="12">
        <f>어린이집!T1178</f>
        <v/>
      </c>
      <c r="I1557" s="5" t="inlineStr">
        <is>
          <t>만0세 2 / 영아혼합반 2 / 기타(연령구분 없음) 3</t>
        </is>
      </c>
    </row>
    <row r="1558">
      <c r="A1558" s="5" t="inlineStr">
        <is>
          <t>월드마크어린이집</t>
        </is>
      </c>
      <c r="B1558" s="5" t="inlineStr">
        <is>
          <t>어린이집</t>
        </is>
      </c>
      <c r="C1558" s="5" t="inlineStr">
        <is>
          <t>가정</t>
        </is>
      </c>
      <c r="D1558" s="5" t="inlineStr">
        <is>
          <t>해운대구</t>
        </is>
      </c>
      <c r="E1558" s="5" t="inlineStr">
        <is>
          <t>부산광역시 해운대구 센텀동로 25 3층 주민공동시설내(우2동,대우월드마크센텀)</t>
        </is>
      </c>
      <c r="F1558" s="5" t="inlineStr"/>
      <c r="G1558" s="5" t="inlineStr">
        <is>
          <t>051-747-2021</t>
        </is>
      </c>
      <c r="H1558" s="12">
        <f>어린이집!T1179</f>
        <v/>
      </c>
      <c r="I1558" s="5" t="inlineStr">
        <is>
          <t>만1세 5 / 만2세 5 / 영아혼합반 4 / 기타(연령구분 없음) 5</t>
        </is>
      </c>
    </row>
    <row r="1559">
      <c r="A1559" s="5" t="inlineStr">
        <is>
          <t>웰키즈어린이집</t>
        </is>
      </c>
      <c r="B1559" s="5" t="inlineStr">
        <is>
          <t>어린이집</t>
        </is>
      </c>
      <c r="C1559" s="5" t="inlineStr">
        <is>
          <t>가정</t>
        </is>
      </c>
      <c r="D1559" s="5" t="inlineStr">
        <is>
          <t>해운대구</t>
        </is>
      </c>
      <c r="E1559" s="5" t="inlineStr">
        <is>
          <t>부산광역시 해운대구 수영강변대로 382 103동 103호(반여동, 센텀피오레1차)</t>
        </is>
      </c>
      <c r="F1559" s="5" t="inlineStr"/>
      <c r="G1559" s="5" t="inlineStr">
        <is>
          <t>051-783-6404</t>
        </is>
      </c>
      <c r="H1559" s="12">
        <f>어린이집!T1180</f>
        <v/>
      </c>
      <c r="I1559" s="5" t="inlineStr">
        <is>
          <t>만0세 4 / 만1세 8 / 만2세 7 / 기타(연령구분 없음) 3</t>
        </is>
      </c>
    </row>
    <row r="1560">
      <c r="A1560" s="5" t="inlineStr">
        <is>
          <t>위브마음어린이집</t>
        </is>
      </c>
      <c r="B1560" s="5" t="inlineStr">
        <is>
          <t>어린이집</t>
        </is>
      </c>
      <c r="C1560" s="5" t="inlineStr">
        <is>
          <t>민간</t>
        </is>
      </c>
      <c r="D1560" s="5" t="inlineStr">
        <is>
          <t>해운대구</t>
        </is>
      </c>
      <c r="E1560" s="5" t="inlineStr">
        <is>
          <t>부산광역시 해운대구 좌동순환로433번길 30 202동 1층 보육시설(중동, 해운대힐스테이트위브)</t>
        </is>
      </c>
      <c r="F1560" s="5" t="inlineStr"/>
      <c r="G1560" s="5" t="inlineStr">
        <is>
          <t>051-731-0179</t>
        </is>
      </c>
      <c r="H1560" s="12">
        <f>어린이집!T1181</f>
        <v/>
      </c>
      <c r="I1560" s="5" t="inlineStr">
        <is>
          <t>만0세 9 / 만1세 25 / 만2세 22 / 유아혼합반 8 / 기타(연령구분 없음) 27</t>
        </is>
      </c>
    </row>
    <row r="1561">
      <c r="A1561" s="5" t="inlineStr">
        <is>
          <t>인제대학교 해운대백병원 사랑누리어린이집</t>
        </is>
      </c>
      <c r="B1561" s="5" t="inlineStr">
        <is>
          <t>어린이집</t>
        </is>
      </c>
      <c r="C1561" s="5" t="inlineStr">
        <is>
          <t>직장</t>
        </is>
      </c>
      <c r="D1561" s="5" t="inlineStr">
        <is>
          <t>해운대구</t>
        </is>
      </c>
      <c r="E1561" s="5" t="inlineStr">
        <is>
          <t>부산광역시 해운대구 세실로 19 112-101(좌동, 대우1차아파트)</t>
        </is>
      </c>
      <c r="F1561" s="5" t="inlineStr"/>
      <c r="G1561" s="5" t="inlineStr">
        <is>
          <t>051-949-0797</t>
        </is>
      </c>
      <c r="H1561" s="12">
        <f>어린이집!T1182</f>
        <v/>
      </c>
      <c r="I1561" s="5" t="inlineStr">
        <is>
          <t>만1세 4 / 영아혼합반 3 / 기타(연령구분 없음) 9</t>
        </is>
      </c>
    </row>
    <row r="1562">
      <c r="A1562" s="5" t="inlineStr">
        <is>
          <t>인천꿈나무어린이집</t>
        </is>
      </c>
      <c r="B1562" s="5" t="inlineStr">
        <is>
          <t>어린이집</t>
        </is>
      </c>
      <c r="C1562" s="5" t="inlineStr">
        <is>
          <t>사회복지법인</t>
        </is>
      </c>
      <c r="D1562" s="5" t="inlineStr">
        <is>
          <t>해운대구</t>
        </is>
      </c>
      <c r="E1562" s="5" t="inlineStr">
        <is>
          <t>부산광역시 해운대구 재반로12번길 16 (재송동)</t>
        </is>
      </c>
      <c r="F1562" s="5" t="inlineStr"/>
      <c r="G1562" s="5" t="inlineStr">
        <is>
          <t>051-782-3047</t>
        </is>
      </c>
      <c r="H1562" s="12">
        <f>어린이집!T1183</f>
        <v/>
      </c>
      <c r="I1562" s="5" t="inlineStr">
        <is>
          <t>만1세 15 / 만2세 20 / 만3세 49 / 기타(연령구분 없음) 5</t>
        </is>
      </c>
    </row>
    <row r="1563">
      <c r="A1563" s="5" t="inlineStr">
        <is>
          <t>일동햇살 어린이집</t>
        </is>
      </c>
      <c r="B1563" s="5" t="inlineStr">
        <is>
          <t>어린이집</t>
        </is>
      </c>
      <c r="C1563" s="5" t="inlineStr">
        <is>
          <t>민간</t>
        </is>
      </c>
      <c r="D1563" s="5" t="inlineStr">
        <is>
          <t>해운대구</t>
        </is>
      </c>
      <c r="E1563" s="5" t="inlineStr">
        <is>
          <t>부산광역시 해운대구 삼어로 77 일동미라주 아파트 관리동 1층</t>
        </is>
      </c>
      <c r="F1563" s="5" t="inlineStr"/>
      <c r="G1563" s="5" t="inlineStr">
        <is>
          <t>051-521-3103</t>
        </is>
      </c>
      <c r="H1563" s="12">
        <f>어린이집!T1184</f>
        <v/>
      </c>
      <c r="I1563" s="5" t="inlineStr">
        <is>
          <t>만1세 5 / 만2세 9 / 만3세 6 / 영아혼합반 3 / 기타(연령구분 없음) 3</t>
        </is>
      </c>
    </row>
    <row r="1564">
      <c r="A1564" s="5" t="inlineStr">
        <is>
          <t>자연꿈나무어린이집</t>
        </is>
      </c>
      <c r="B1564" s="5" t="inlineStr">
        <is>
          <t>어린이집</t>
        </is>
      </c>
      <c r="C1564" s="5" t="inlineStr">
        <is>
          <t>민간</t>
        </is>
      </c>
      <c r="D1564" s="5" t="inlineStr">
        <is>
          <t>해운대구</t>
        </is>
      </c>
      <c r="E1564" s="5" t="inlineStr">
        <is>
          <t>부산광역시 해운대구 삼어로133번가길 21-7</t>
        </is>
      </c>
      <c r="F1564" s="11" t="inlineStr">
        <is>
          <t>http://interk11 @hanmail.net</t>
        </is>
      </c>
      <c r="G1564" s="5" t="inlineStr">
        <is>
          <t>051-528-2300</t>
        </is>
      </c>
      <c r="H1564" s="12">
        <f>어린이집!T1185</f>
        <v/>
      </c>
      <c r="I1564" s="5" t="inlineStr">
        <is>
          <t>만0세 5 / 만1세 8 / 만2세 14 / 만3세 11 / 만4세 11 / 만5세 13 / 영아혼합반 2 / 기타(연령구분 없음) 17</t>
        </is>
      </c>
    </row>
    <row r="1565">
      <c r="A1565" s="5" t="inlineStr">
        <is>
          <t>자이2차어린이집</t>
        </is>
      </c>
      <c r="B1565" s="5" t="inlineStr">
        <is>
          <t>어린이집</t>
        </is>
      </c>
      <c r="C1565" s="5" t="inlineStr">
        <is>
          <t>국공립</t>
        </is>
      </c>
      <c r="D1565" s="5" t="inlineStr">
        <is>
          <t>해운대구</t>
        </is>
      </c>
      <c r="E1565" s="5" t="inlineStr">
        <is>
          <t>부산광역시 해운대구 해운대로469번길 110 301동 3층 주민공동시설 (우동, 해운대자이2차)</t>
        </is>
      </c>
      <c r="F1565" s="11" t="inlineStr">
        <is>
          <t>https://cafe.naver.com/xi2ecokid</t>
        </is>
      </c>
      <c r="G1565" s="5" t="inlineStr">
        <is>
          <t>051-743-1118</t>
        </is>
      </c>
      <c r="H1565" s="12">
        <f>어린이집!T1186</f>
        <v/>
      </c>
      <c r="I1565" s="5" t="inlineStr">
        <is>
          <t>만1세 10 / 만2세 21 / 만3세 18 / 만5세 14 / 유아혼합반 7 / 기타(연령구분 없음) 20</t>
        </is>
      </c>
    </row>
    <row r="1566">
      <c r="A1566" s="5" t="inlineStr">
        <is>
          <t>자이새순어린이집</t>
        </is>
      </c>
      <c r="B1566" s="5" t="inlineStr">
        <is>
          <t>어린이집</t>
        </is>
      </c>
      <c r="C1566" s="5" t="inlineStr">
        <is>
          <t>민간</t>
        </is>
      </c>
      <c r="D1566" s="5" t="inlineStr">
        <is>
          <t>해운대구</t>
        </is>
      </c>
      <c r="E1566" s="5" t="inlineStr">
        <is>
          <t>부산광역시 해운대구 해운대로 435 해운대자이아파트 관리동내</t>
        </is>
      </c>
      <c r="F1566" s="5" t="inlineStr"/>
      <c r="G1566" s="5" t="inlineStr">
        <is>
          <t>051-746-7336</t>
        </is>
      </c>
      <c r="H1566" s="12">
        <f>어린이집!T1187</f>
        <v/>
      </c>
      <c r="I1566" s="5" t="inlineStr">
        <is>
          <t>만0세 2 / 만1세 14 / 만2세 21 / 기타(연령구분 없음) 5</t>
        </is>
      </c>
    </row>
    <row r="1567">
      <c r="A1567" s="5" t="inlineStr">
        <is>
          <t>재능어린이집</t>
        </is>
      </c>
      <c r="B1567" s="5" t="inlineStr">
        <is>
          <t>어린이집</t>
        </is>
      </c>
      <c r="C1567" s="5" t="inlineStr">
        <is>
          <t>민간</t>
        </is>
      </c>
      <c r="D1567" s="5" t="inlineStr">
        <is>
          <t>해운대구</t>
        </is>
      </c>
      <c r="E1567" s="5" t="inlineStr">
        <is>
          <t>부산광역시 해운대구 재송1로46번길 43 (재송동)</t>
        </is>
      </c>
      <c r="F1567" s="5" t="inlineStr"/>
      <c r="G1567" s="5" t="inlineStr">
        <is>
          <t>051-782-0750</t>
        </is>
      </c>
      <c r="H1567" s="12">
        <f>어린이집!T1188</f>
        <v/>
      </c>
      <c r="I1567" s="5" t="inlineStr">
        <is>
          <t>만0세 2 / 만1세 5 / 만2세 7 / 영아혼합반 6 / 유아혼합반 17 / 기타(연령구분 없음) 14</t>
        </is>
      </c>
    </row>
    <row r="1568">
      <c r="A1568" s="5" t="inlineStr">
        <is>
          <t>재송어린이집</t>
        </is>
      </c>
      <c r="B1568" s="5" t="inlineStr">
        <is>
          <t>어린이집</t>
        </is>
      </c>
      <c r="C1568" s="5" t="inlineStr">
        <is>
          <t>사회복지법인</t>
        </is>
      </c>
      <c r="D1568" s="5" t="inlineStr">
        <is>
          <t>해운대구</t>
        </is>
      </c>
      <c r="E1568" s="5" t="inlineStr">
        <is>
          <t>부산광역시 해운대구 재반로50번길 22 (재송동)</t>
        </is>
      </c>
      <c r="F1568" s="5" t="inlineStr"/>
      <c r="G1568" s="5" t="inlineStr">
        <is>
          <t>051-781-7600</t>
        </is>
      </c>
      <c r="H1568" s="12">
        <f>어린이집!T1189</f>
        <v/>
      </c>
      <c r="I1568" s="5" t="inlineStr">
        <is>
          <t>만0세 3 / 만1세 5 / 만2세 5 / 기타(연령구분 없음) 3</t>
        </is>
      </c>
    </row>
    <row r="1569">
      <c r="A1569" s="5" t="inlineStr">
        <is>
          <t>좋은씨앗어린이집</t>
        </is>
      </c>
      <c r="B1569" s="5" t="inlineStr">
        <is>
          <t>어린이집</t>
        </is>
      </c>
      <c r="C1569" s="5" t="inlineStr">
        <is>
          <t>민간</t>
        </is>
      </c>
      <c r="D1569" s="5" t="inlineStr">
        <is>
          <t>해운대구</t>
        </is>
      </c>
      <c r="E1569" s="5" t="inlineStr">
        <is>
          <t>부산광역시 해운대구 재반로103번가길 64-1 (재송2동)</t>
        </is>
      </c>
      <c r="F1569" s="5" t="inlineStr"/>
      <c r="G1569" s="5" t="inlineStr">
        <is>
          <t>051-781-7896</t>
        </is>
      </c>
      <c r="H1569" s="12">
        <f>어린이집!T1190</f>
        <v/>
      </c>
      <c r="I1569" s="5" t="inlineStr">
        <is>
          <t>만0세 6 / 만1세 10 / 만2세 13 / 만3세 9 / 영아혼합반 3 / 유아혼합반 12 / 기타(연령구분 없음) 26</t>
        </is>
      </c>
    </row>
    <row r="1570">
      <c r="A1570" s="5" t="inlineStr">
        <is>
          <t>좌동초등학교어린이집</t>
        </is>
      </c>
      <c r="B1570" s="5" t="inlineStr">
        <is>
          <t>어린이집</t>
        </is>
      </c>
      <c r="C1570" s="5" t="inlineStr">
        <is>
          <t>국공립</t>
        </is>
      </c>
      <c r="D1570" s="5" t="inlineStr">
        <is>
          <t>해운대구</t>
        </is>
      </c>
      <c r="E1570" s="5" t="inlineStr">
        <is>
          <t>부산광역시 해운대구 세실로 127 (좌동)</t>
        </is>
      </c>
      <c r="F1570" s="5" t="inlineStr"/>
      <c r="G1570" s="5" t="inlineStr">
        <is>
          <t>051-741-7288</t>
        </is>
      </c>
      <c r="H1570" s="12">
        <f>어린이집!T1191</f>
        <v/>
      </c>
      <c r="I1570" s="5" t="inlineStr">
        <is>
          <t>만0세 3 / 만1세 16 / 만2세 12</t>
        </is>
      </c>
    </row>
    <row r="1571">
      <c r="A1571" s="5" t="inlineStr">
        <is>
          <t>참빛어린이집</t>
        </is>
      </c>
      <c r="B1571" s="5" t="inlineStr">
        <is>
          <t>어린이집</t>
        </is>
      </c>
      <c r="C1571" s="5" t="inlineStr">
        <is>
          <t>가정</t>
        </is>
      </c>
      <c r="D1571" s="5" t="inlineStr">
        <is>
          <t>해운대구</t>
        </is>
      </c>
      <c r="E1571" s="5" t="inlineStr">
        <is>
          <t>부산광역시 해운대구 해운대로 428 118동 102호(우동, 동부올림픽타운)</t>
        </is>
      </c>
      <c r="F1571" s="11" t="inlineStr">
        <is>
          <t>http://sungnyeo0401@hanmail.net</t>
        </is>
      </c>
      <c r="G1571" s="5" t="inlineStr">
        <is>
          <t>051-746-1627</t>
        </is>
      </c>
      <c r="H1571" s="12">
        <f>어린이집!T1192</f>
        <v/>
      </c>
      <c r="I1571" s="5" t="inlineStr">
        <is>
          <t>만1세 3 / 영아혼합반 8 / 기타(연령구분 없음) 3</t>
        </is>
      </c>
    </row>
    <row r="1572">
      <c r="A1572" s="5" t="inlineStr">
        <is>
          <t>참좋은어린이집</t>
        </is>
      </c>
      <c r="B1572" s="5" t="inlineStr">
        <is>
          <t>어린이집</t>
        </is>
      </c>
      <c r="C1572" s="5" t="inlineStr">
        <is>
          <t>민간</t>
        </is>
      </c>
      <c r="D1572" s="5" t="inlineStr">
        <is>
          <t>해운대구</t>
        </is>
      </c>
      <c r="E1572" s="5" t="inlineStr">
        <is>
          <t>부산광역시 해운대구 대천로67번길 18 관리동 1층(좌동,LH뜨란채아파트)</t>
        </is>
      </c>
      <c r="F1572" s="5" t="inlineStr"/>
      <c r="G1572" s="5" t="inlineStr">
        <is>
          <t>051-731-2581</t>
        </is>
      </c>
      <c r="H1572" s="12">
        <f>어린이집!T1193</f>
        <v/>
      </c>
      <c r="I1572" s="5" t="inlineStr">
        <is>
          <t>만0세 2 / 만1세 5 / 만2세 6 / 영아혼합반 3 / 유아혼합반 6 / 기타(연령구분 없음) 6</t>
        </is>
      </c>
    </row>
    <row r="1573">
      <c r="A1573" s="5" t="inlineStr">
        <is>
          <t>참행복한어린이집</t>
        </is>
      </c>
      <c r="B1573" s="5" t="inlineStr">
        <is>
          <t>어린이집</t>
        </is>
      </c>
      <c r="C1573" s="5" t="inlineStr">
        <is>
          <t>민간</t>
        </is>
      </c>
      <c r="D1573" s="5" t="inlineStr">
        <is>
          <t>해운대구</t>
        </is>
      </c>
      <c r="E1573" s="5" t="inlineStr">
        <is>
          <t>부산광역시 해운대구 반여로 68-12 장산 2차 롯데 낙천대아파트  A 관리동</t>
        </is>
      </c>
      <c r="F1573" s="11" t="inlineStr">
        <is>
          <t>http://cafe.naver.com/happykids1009</t>
        </is>
      </c>
      <c r="G1573" s="5" t="inlineStr">
        <is>
          <t>051-524-5506</t>
        </is>
      </c>
      <c r="H1573" s="12">
        <f>어린이집!T1194</f>
        <v/>
      </c>
      <c r="I1573" s="5" t="inlineStr">
        <is>
          <t>만0세 1 / 만1세 12 / 만2세 5 / 기타(연령구분 없음) 15</t>
        </is>
      </c>
    </row>
    <row r="1574">
      <c r="A1574" s="5" t="inlineStr">
        <is>
          <t>초록샘어린이집</t>
        </is>
      </c>
      <c r="B1574" s="5" t="inlineStr">
        <is>
          <t>어린이집</t>
        </is>
      </c>
      <c r="C1574" s="5" t="inlineStr">
        <is>
          <t>가정</t>
        </is>
      </c>
      <c r="D1574" s="5" t="inlineStr">
        <is>
          <t>해운대구</t>
        </is>
      </c>
      <c r="E1574" s="5" t="inlineStr">
        <is>
          <t>부산광역시 해운대구 양운로 182 관리동1층 (좌동,두산1차아파트)</t>
        </is>
      </c>
      <c r="F1574" s="5" t="inlineStr"/>
      <c r="G1574" s="5" t="inlineStr">
        <is>
          <t>051-702-3883</t>
        </is>
      </c>
      <c r="H1574" s="12">
        <f>어린이집!T1195</f>
        <v/>
      </c>
      <c r="I1574" s="5" t="inlineStr">
        <is>
          <t>만0세 8 / 만1세 5 / 만2세 5 / 기타(연령구분 없음) 5</t>
        </is>
      </c>
    </row>
    <row r="1575">
      <c r="A1575" s="5" t="inlineStr">
        <is>
          <t>충렬어린이집</t>
        </is>
      </c>
      <c r="B1575" s="5" t="inlineStr">
        <is>
          <t>어린이집</t>
        </is>
      </c>
      <c r="C1575" s="5" t="inlineStr">
        <is>
          <t>직장</t>
        </is>
      </c>
      <c r="D1575" s="5" t="inlineStr">
        <is>
          <t>해운대구</t>
        </is>
      </c>
      <c r="E1575" s="5" t="inlineStr">
        <is>
          <t>부산광역시 해운대구 좌동순환로15번길 24 101동 뒤</t>
        </is>
      </c>
      <c r="F1575" s="5" t="inlineStr"/>
      <c r="G1575" s="5" t="inlineStr">
        <is>
          <t>051-742-2365</t>
        </is>
      </c>
      <c r="H1575" s="12">
        <f>어린이집!T1196</f>
        <v/>
      </c>
      <c r="I1575" s="5" t="inlineStr">
        <is>
          <t>만0세 6 / 만1세 10 / 만2세 14 / 만3세 14 / 만4세 14 / 만5세 13 / 기타(연령구분 없음) 25</t>
        </is>
      </c>
    </row>
    <row r="1576">
      <c r="A1576" s="5" t="inlineStr">
        <is>
          <t>태강어린이집</t>
        </is>
      </c>
      <c r="B1576" s="5" t="inlineStr">
        <is>
          <t>어린이집</t>
        </is>
      </c>
      <c r="C1576" s="5" t="inlineStr">
        <is>
          <t>민간</t>
        </is>
      </c>
      <c r="D1576" s="5" t="inlineStr">
        <is>
          <t>해운대구</t>
        </is>
      </c>
      <c r="E1576" s="5" t="inlineStr">
        <is>
          <t>부산광역시 해운대구 대천로103번길 29 관리동(좌동, 대동타운)</t>
        </is>
      </c>
      <c r="F1576" s="5" t="inlineStr"/>
      <c r="G1576" s="5" t="inlineStr">
        <is>
          <t>051-703-3885</t>
        </is>
      </c>
      <c r="H1576" s="12">
        <f>어린이집!T1197</f>
        <v/>
      </c>
      <c r="I1576" s="5" t="inlineStr">
        <is>
          <t>만1세 5 / 만2세 7 / 영아혼합반 3 / 유아혼합반 5 / 기타(연령구분 없음) 5</t>
        </is>
      </c>
    </row>
    <row r="1577">
      <c r="A1577" s="5" t="inlineStr">
        <is>
          <t>파랑꽃어린이집</t>
        </is>
      </c>
      <c r="B1577" s="5" t="inlineStr">
        <is>
          <t>어린이집</t>
        </is>
      </c>
      <c r="C1577" s="5" t="inlineStr">
        <is>
          <t>사회복지법인</t>
        </is>
      </c>
      <c r="D1577" s="5" t="inlineStr">
        <is>
          <t>해운대구</t>
        </is>
      </c>
      <c r="E1577" s="5" t="inlineStr">
        <is>
          <t>부산광역시 해운대구 반여로185번길 31-21 (반여동)</t>
        </is>
      </c>
      <c r="F1577" s="5" t="inlineStr"/>
      <c r="G1577" s="5" t="inlineStr">
        <is>
          <t>051-526-8787</t>
        </is>
      </c>
      <c r="H1577" s="12">
        <f>어린이집!T1198</f>
        <v/>
      </c>
      <c r="I1577" s="5" t="inlineStr">
        <is>
          <t>만0세 3 / 만1세 5 / 만2세 7 / 기타(연령구분 없음) 5</t>
        </is>
      </c>
    </row>
    <row r="1578">
      <c r="A1578" s="5" t="inlineStr">
        <is>
          <t>파랑새어린이집</t>
        </is>
      </c>
      <c r="B1578" s="5" t="inlineStr">
        <is>
          <t>어린이집</t>
        </is>
      </c>
      <c r="C1578" s="5" t="inlineStr">
        <is>
          <t>사회복지법인</t>
        </is>
      </c>
      <c r="D1578" s="5" t="inlineStr">
        <is>
          <t>해운대구</t>
        </is>
      </c>
      <c r="E1578" s="5" t="inlineStr">
        <is>
          <t>부산광역시 해운대구 신반송로 21 파랑새종합사회복지관 에이동(1층) 파랑새 어린이집 (반송동)</t>
        </is>
      </c>
      <c r="F1578" s="11" t="inlineStr">
        <is>
          <t>http://www.sungsil.or.kr/</t>
        </is>
      </c>
      <c r="G1578" s="5" t="inlineStr">
        <is>
          <t>051-544-9500</t>
        </is>
      </c>
      <c r="H1578" s="12">
        <f>어린이집!T1199</f>
        <v/>
      </c>
      <c r="I1578" s="5" t="inlineStr">
        <is>
          <t>만0세 3 / 만2세 6 / 영아혼합반 3 / 유아혼합반 20 / 기타(연령구분 없음) 3</t>
        </is>
      </c>
    </row>
    <row r="1579">
      <c r="A1579" s="5" t="inlineStr">
        <is>
          <t>푸르지오더원어린이집</t>
        </is>
      </c>
      <c r="B1579" s="5" t="inlineStr">
        <is>
          <t>어린이집</t>
        </is>
      </c>
      <c r="C1579" s="5" t="inlineStr">
        <is>
          <t>민간</t>
        </is>
      </c>
      <c r="D1579" s="5" t="inlineStr">
        <is>
          <t>해운대구</t>
        </is>
      </c>
      <c r="E1579" s="5" t="inlineStr">
        <is>
          <t>부산광역시 해운대구 구남로11번길 30 관리동</t>
        </is>
      </c>
      <c r="F1579" s="5" t="inlineStr"/>
      <c r="G1579" s="5" t="inlineStr">
        <is>
          <t>051-916-0023</t>
        </is>
      </c>
      <c r="H1579" s="12">
        <f>어린이집!T1200</f>
        <v/>
      </c>
      <c r="I1579" s="5" t="inlineStr">
        <is>
          <t>만0세 5 / 만1세 12 / 만2세 6 / 기타(연령구분 없음) 4</t>
        </is>
      </c>
    </row>
    <row r="1580">
      <c r="A1580" s="5" t="inlineStr">
        <is>
          <t>풀앤들어린이집</t>
        </is>
      </c>
      <c r="B1580" s="5" t="inlineStr">
        <is>
          <t>어린이집</t>
        </is>
      </c>
      <c r="C1580" s="5" t="inlineStr">
        <is>
          <t>민간</t>
        </is>
      </c>
      <c r="D1580" s="5" t="inlineStr">
        <is>
          <t>해운대구</t>
        </is>
      </c>
      <c r="E1580" s="5" t="inlineStr">
        <is>
          <t>부산광역시 해운대구 삼어로 103 (반여동, 벅산반여한솔타운)</t>
        </is>
      </c>
      <c r="F1580" s="5" t="inlineStr"/>
      <c r="G1580" s="5" t="inlineStr">
        <is>
          <t>051-521-3674</t>
        </is>
      </c>
      <c r="H1580" s="12">
        <f>어린이집!T1201</f>
        <v/>
      </c>
      <c r="I1580" s="5" t="inlineStr">
        <is>
          <t>만0세 4 / 만1세 8 / 만2세 4 / 유아혼합반 11 / 기타(연령구분 없음) 7</t>
        </is>
      </c>
    </row>
    <row r="1581">
      <c r="A1581" s="5" t="inlineStr">
        <is>
          <t>풀잎아이어린이집</t>
        </is>
      </c>
      <c r="B1581" s="5" t="inlineStr">
        <is>
          <t>어린이집</t>
        </is>
      </c>
      <c r="C1581" s="5" t="inlineStr">
        <is>
          <t>민간</t>
        </is>
      </c>
      <c r="D1581" s="5" t="inlineStr">
        <is>
          <t>해운대구</t>
        </is>
      </c>
      <c r="E1581" s="5" t="inlineStr">
        <is>
          <t>부산광역시 해운대구 선수촌로78번길 17-5</t>
        </is>
      </c>
      <c r="F1581" s="5" t="inlineStr"/>
      <c r="G1581" s="5" t="inlineStr">
        <is>
          <t>051-526-6476</t>
        </is>
      </c>
      <c r="H1581" s="12">
        <f>어린이집!T1202</f>
        <v/>
      </c>
      <c r="I1581" s="5" t="inlineStr">
        <is>
          <t>만0세 10 / 만1세 15 / 만3세 15 / 만4세 18 / 만5세 35 / 유아혼합반 15 / 기타(연령구분 없음) 38</t>
        </is>
      </c>
    </row>
    <row r="1582">
      <c r="A1582" s="5" t="inlineStr">
        <is>
          <t>풀잎어린이집</t>
        </is>
      </c>
      <c r="B1582" s="5" t="inlineStr">
        <is>
          <t>어린이집</t>
        </is>
      </c>
      <c r="C1582" s="5" t="inlineStr">
        <is>
          <t>민간</t>
        </is>
      </c>
      <c r="D1582" s="5" t="inlineStr">
        <is>
          <t>해운대구</t>
        </is>
      </c>
      <c r="E1582" s="5" t="inlineStr">
        <is>
          <t>부산광역시 해운대구 선수촌로78번길 17-8 반여1동</t>
        </is>
      </c>
      <c r="F1582" s="5" t="inlineStr"/>
      <c r="G1582" s="5" t="inlineStr">
        <is>
          <t>051-529-5507</t>
        </is>
      </c>
      <c r="H1582" s="12">
        <f>어린이집!T1203</f>
        <v/>
      </c>
      <c r="I1582" s="5" t="inlineStr">
        <is>
          <t>만0세 9 / 만1세 30 / 만2세 36 / 만3세 16 / 기타(연령구분 없음) 35</t>
        </is>
      </c>
    </row>
    <row r="1583">
      <c r="A1583" s="5" t="inlineStr">
        <is>
          <t>하나래 어린이집</t>
        </is>
      </c>
      <c r="B1583" s="5" t="inlineStr">
        <is>
          <t>어린이집</t>
        </is>
      </c>
      <c r="C1583" s="5" t="inlineStr">
        <is>
          <t>가정</t>
        </is>
      </c>
      <c r="D1583" s="5" t="inlineStr">
        <is>
          <t>해운대구</t>
        </is>
      </c>
      <c r="E1583" s="5" t="inlineStr">
        <is>
          <t>부산광역시 해운대구 해운대로 361 104동 107호(우동, 삼환)</t>
        </is>
      </c>
      <c r="F1583" s="5" t="inlineStr"/>
      <c r="G1583" s="5" t="inlineStr">
        <is>
          <t>051-742-2496</t>
        </is>
      </c>
      <c r="H1583" s="12">
        <f>어린이집!T1204</f>
        <v/>
      </c>
      <c r="I1583" s="5" t="inlineStr">
        <is>
          <t>만0세 2 / 만1세 6 / 만2세 5 / 영아혼합반 3 / 기타(연령구분 없음) 3</t>
        </is>
      </c>
    </row>
    <row r="1584">
      <c r="A1584" s="5" t="inlineStr">
        <is>
          <t>하늘빛어린이집</t>
        </is>
      </c>
      <c r="B1584" s="5" t="inlineStr">
        <is>
          <t>어린이집</t>
        </is>
      </c>
      <c r="C1584" s="5" t="inlineStr">
        <is>
          <t>가정</t>
        </is>
      </c>
      <c r="D1584" s="5" t="inlineStr">
        <is>
          <t>해운대구</t>
        </is>
      </c>
      <c r="E1584" s="5" t="inlineStr">
        <is>
          <t>부산광역시 해운대구 좌동순환로 118 주공아파트 2단지 관리동1층 (좌동)</t>
        </is>
      </c>
      <c r="F1584" s="5" t="inlineStr"/>
      <c r="G1584" s="5" t="inlineStr">
        <is>
          <t>051-702-7802</t>
        </is>
      </c>
      <c r="H1584" s="12">
        <f>어린이집!T1205</f>
        <v/>
      </c>
      <c r="I1584" s="5" t="inlineStr">
        <is>
          <t>만1세 3 / 만2세 7 / 영아혼합반 2 / 기타(연령구분 없음) 4</t>
        </is>
      </c>
    </row>
    <row r="1585">
      <c r="A1585" s="5" t="inlineStr">
        <is>
          <t>하늘아이어린이집</t>
        </is>
      </c>
      <c r="B1585" s="5" t="inlineStr">
        <is>
          <t>어린이집</t>
        </is>
      </c>
      <c r="C1585" s="5" t="inlineStr">
        <is>
          <t>민간</t>
        </is>
      </c>
      <c r="D1585" s="5" t="inlineStr">
        <is>
          <t>해운대구</t>
        </is>
      </c>
      <c r="E1585" s="5" t="inlineStr">
        <is>
          <t>부산광역시 해운대구 우동2로60번길 2-8</t>
        </is>
      </c>
      <c r="F1585" s="11" t="inlineStr">
        <is>
          <t>http://www.ne79.com</t>
        </is>
      </c>
      <c r="G1585" s="5" t="inlineStr">
        <is>
          <t>051-746-6047</t>
        </is>
      </c>
      <c r="H1585" s="12">
        <f>어린이집!T1206</f>
        <v/>
      </c>
      <c r="I1585" s="5" t="inlineStr">
        <is>
          <t>만0세 6 / 만1세 30 / 만2세 26 / 유아혼합반 12 / 기타(연령구분 없음) 8</t>
        </is>
      </c>
    </row>
    <row r="1586">
      <c r="A1586" s="5" t="inlineStr">
        <is>
          <t>함께하는어린이집</t>
        </is>
      </c>
      <c r="B1586" s="5" t="inlineStr">
        <is>
          <t>어린이집</t>
        </is>
      </c>
      <c r="C1586" s="5" t="inlineStr">
        <is>
          <t>가정</t>
        </is>
      </c>
      <c r="D1586" s="5" t="inlineStr">
        <is>
          <t>해운대구</t>
        </is>
      </c>
      <c r="E1586" s="5" t="inlineStr">
        <is>
          <t>부산광역시 해운대구 해운대로 428 115-101</t>
        </is>
      </c>
      <c r="F1586" s="5" t="inlineStr"/>
      <c r="G1586" s="5" t="inlineStr">
        <is>
          <t>051-747-3302</t>
        </is>
      </c>
      <c r="H1586" s="12">
        <f>어린이집!T1207</f>
        <v/>
      </c>
      <c r="I1586" s="5" t="inlineStr">
        <is>
          <t>만0세 3 / 만1세 5 / 만2세 5 / 영아혼합반 3 / 기타(연령구분 없음) 5</t>
        </is>
      </c>
    </row>
    <row r="1587">
      <c r="A1587" s="5" t="inlineStr">
        <is>
          <t>해운대래미안어린이집</t>
        </is>
      </c>
      <c r="B1587" s="5" t="inlineStr">
        <is>
          <t>어린이집</t>
        </is>
      </c>
      <c r="C1587" s="5" t="inlineStr">
        <is>
          <t>민간</t>
        </is>
      </c>
      <c r="D1587" s="5" t="inlineStr">
        <is>
          <t>해운대구</t>
        </is>
      </c>
      <c r="E1587" s="5" t="inlineStr">
        <is>
          <t>부산광역시 해운대구 좌동순환로 402 관리동(중동,래미안해운대아파트</t>
        </is>
      </c>
      <c r="F1587" s="5" t="inlineStr"/>
      <c r="G1587" s="5" t="inlineStr">
        <is>
          <t>051-741-3631</t>
        </is>
      </c>
      <c r="H1587" s="12">
        <f>어린이집!T1208</f>
        <v/>
      </c>
      <c r="I1587" s="5" t="inlineStr">
        <is>
          <t>만0세 5 / 만1세 14 / 만2세 25 / 기타(연령구분 없음) 5</t>
        </is>
      </c>
    </row>
    <row r="1588">
      <c r="A1588" s="5" t="inlineStr">
        <is>
          <t>해운대새싹어린이집</t>
        </is>
      </c>
      <c r="B1588" s="5" t="inlineStr">
        <is>
          <t>어린이집</t>
        </is>
      </c>
      <c r="C1588" s="5" t="inlineStr">
        <is>
          <t>민간</t>
        </is>
      </c>
      <c r="D1588" s="5" t="inlineStr">
        <is>
          <t>해운대구</t>
        </is>
      </c>
      <c r="E1588" s="5" t="inlineStr">
        <is>
          <t>부산광역시 해운대구 우동3로 67 임마누엘해운대교회1층 (우동)</t>
        </is>
      </c>
      <c r="F1588" s="5" t="inlineStr"/>
      <c r="G1588" s="5" t="inlineStr">
        <is>
          <t>051-743-3884</t>
        </is>
      </c>
      <c r="H1588" s="12">
        <f>어린이집!T1209</f>
        <v/>
      </c>
      <c r="I1588" s="5" t="inlineStr">
        <is>
          <t>만0세 2 / 만1세 3 / 만2세 5 / 유아혼합반 6 / 기타(연령구분 없음) 8</t>
        </is>
      </c>
    </row>
    <row r="1589">
      <c r="A1589" s="5" t="inlineStr">
        <is>
          <t>해운대아이랑어린이집</t>
        </is>
      </c>
      <c r="B1589" s="5" t="inlineStr">
        <is>
          <t>어린이집</t>
        </is>
      </c>
      <c r="C1589" s="5" t="inlineStr">
        <is>
          <t>국공립</t>
        </is>
      </c>
      <c r="D1589" s="5" t="inlineStr">
        <is>
          <t>해운대구</t>
        </is>
      </c>
      <c r="E1589" s="5" t="inlineStr">
        <is>
          <t>부산광역시 해운대구 반송로513번길 66-11</t>
        </is>
      </c>
      <c r="F1589" s="5" t="inlineStr"/>
      <c r="G1589" s="5" t="inlineStr">
        <is>
          <t>051-527-1513</t>
        </is>
      </c>
      <c r="H1589" s="12">
        <f>어린이집!T1210</f>
        <v/>
      </c>
      <c r="I1589" s="5" t="inlineStr">
        <is>
          <t>만2세 5 / 영아혼합반 8 / 유아혼합반 20 / 기타(연령구분 없음) 18</t>
        </is>
      </c>
    </row>
    <row r="1590">
      <c r="A1590" s="5" t="inlineStr">
        <is>
          <t>해운대푸른어린이집</t>
        </is>
      </c>
      <c r="B1590" s="5" t="inlineStr">
        <is>
          <t>어린이집</t>
        </is>
      </c>
      <c r="C1590" s="5" t="inlineStr">
        <is>
          <t>민간</t>
        </is>
      </c>
      <c r="D1590" s="5" t="inlineStr">
        <is>
          <t>해운대구</t>
        </is>
      </c>
      <c r="E1590" s="5" t="inlineStr">
        <is>
          <t>부산광역시 해운대구 세실로 7 (좌동)</t>
        </is>
      </c>
      <c r="F1590" s="5" t="inlineStr"/>
      <c r="G1590" s="5" t="inlineStr">
        <is>
          <t>051-703-7110</t>
        </is>
      </c>
      <c r="H1590" s="12">
        <f>어린이집!T1211</f>
        <v/>
      </c>
      <c r="I1590" s="5" t="inlineStr">
        <is>
          <t>만0세 15 / 만1세 39 / 만2세 39 / 기타(연령구분 없음) 17</t>
        </is>
      </c>
    </row>
    <row r="1591">
      <c r="A1591" s="5" t="inlineStr">
        <is>
          <t>행복한어린이집</t>
        </is>
      </c>
      <c r="B1591" s="5" t="inlineStr">
        <is>
          <t>어린이집</t>
        </is>
      </c>
      <c r="C1591" s="5" t="inlineStr">
        <is>
          <t>가정</t>
        </is>
      </c>
      <c r="D1591" s="5" t="inlineStr">
        <is>
          <t>해운대구</t>
        </is>
      </c>
      <c r="E1591" s="5" t="inlineStr">
        <is>
          <t>부산광역시 해운대구 대천로 56 103동 102호(좌동, 한일아파트)</t>
        </is>
      </c>
      <c r="F1591" s="5" t="inlineStr"/>
      <c r="G1591" s="5" t="inlineStr">
        <is>
          <t>051-743-1255</t>
        </is>
      </c>
      <c r="H1591" s="12">
        <f>어린이집!T1212</f>
        <v/>
      </c>
      <c r="I1591" s="5" t="inlineStr">
        <is>
          <t>만0세 2 / 만1세 3 / 만2세 4 / 기타(연령구분 없음) 4</t>
        </is>
      </c>
    </row>
    <row r="1592">
      <c r="A1592" s="5" t="inlineStr">
        <is>
          <t>현대온누리 어린이집</t>
        </is>
      </c>
      <c r="B1592" s="5" t="inlineStr">
        <is>
          <t>어린이집</t>
        </is>
      </c>
      <c r="C1592" s="5" t="inlineStr">
        <is>
          <t>민간</t>
        </is>
      </c>
      <c r="D1592" s="5" t="inlineStr">
        <is>
          <t>해운대구</t>
        </is>
      </c>
      <c r="E1592" s="5" t="inlineStr">
        <is>
          <t>부산광역시 해운대구 양운로37번길 11 현대아파트 내 (좌동)</t>
        </is>
      </c>
      <c r="F1592" s="5" t="inlineStr"/>
      <c r="G1592" s="5" t="inlineStr">
        <is>
          <t>051-747-8848</t>
        </is>
      </c>
      <c r="H1592" s="12">
        <f>어린이집!T1213</f>
        <v/>
      </c>
      <c r="I1592" s="5" t="inlineStr">
        <is>
          <t>만0세 2 / 만2세 7 / 영아혼합반 5 / 기타(연령구분 없음) 3</t>
        </is>
      </c>
    </row>
    <row r="1593">
      <c r="A1593" s="5" t="inlineStr">
        <is>
          <t>협성마음어린이집</t>
        </is>
      </c>
      <c r="B1593" s="5" t="inlineStr">
        <is>
          <t>어린이집</t>
        </is>
      </c>
      <c r="C1593" s="5" t="inlineStr">
        <is>
          <t>민간</t>
        </is>
      </c>
      <c r="D1593" s="5" t="inlineStr">
        <is>
          <t>해운대구</t>
        </is>
      </c>
      <c r="E1593" s="5" t="inlineStr">
        <is>
          <t>부산광역시 해운대구 해운대로38번길 60 103동보육시설(반여1동,센텀협성르네상스타운)</t>
        </is>
      </c>
      <c r="F1593" s="5" t="inlineStr"/>
      <c r="G1593" s="5" t="inlineStr">
        <is>
          <t>051-781-0029</t>
        </is>
      </c>
      <c r="H1593" s="12">
        <f>어린이집!T1214</f>
        <v/>
      </c>
      <c r="I1593" s="5" t="inlineStr">
        <is>
          <t>만0세 6 / 만1세 7 / 만2세 7 / 기타(연령구분 없음) 4</t>
        </is>
      </c>
    </row>
    <row r="1594">
      <c r="A1594" s="5" t="inlineStr">
        <is>
          <t>호박별 어린이집</t>
        </is>
      </c>
      <c r="B1594" s="5" t="inlineStr">
        <is>
          <t>어린이집</t>
        </is>
      </c>
      <c r="C1594" s="5" t="inlineStr">
        <is>
          <t>가정</t>
        </is>
      </c>
      <c r="D1594" s="5" t="inlineStr">
        <is>
          <t>해운대구</t>
        </is>
      </c>
      <c r="E1594" s="5" t="inlineStr">
        <is>
          <t>부산광역시 해운대구 좌동순환로299번길 22 101동 102호(좌동, 삼환)</t>
        </is>
      </c>
      <c r="F1594" s="5" t="inlineStr"/>
      <c r="G1594" s="5" t="inlineStr">
        <is>
          <t>051-701-6619</t>
        </is>
      </c>
      <c r="H1594" s="12">
        <f>어린이집!T1215</f>
        <v/>
      </c>
      <c r="I1594" s="5" t="inlineStr">
        <is>
          <t>만0세 4 / 만1세 9 / 만2세 6 / 기타(연령구분 없음) 6</t>
        </is>
      </c>
    </row>
    <row r="1595">
      <c r="A1595" s="5" t="inlineStr">
        <is>
          <t>호산나어린이집</t>
        </is>
      </c>
      <c r="B1595" s="5" t="inlineStr">
        <is>
          <t>어린이집</t>
        </is>
      </c>
      <c r="C1595" s="5" t="inlineStr">
        <is>
          <t>국공립</t>
        </is>
      </c>
      <c r="D1595" s="5" t="inlineStr">
        <is>
          <t>해운대구</t>
        </is>
      </c>
      <c r="E1595" s="5" t="inlineStr">
        <is>
          <t>부산광역시 해운대구 세실로 126 (좌동, 건영2차아파트)</t>
        </is>
      </c>
      <c r="F1595" s="5" t="inlineStr"/>
      <c r="G1595" s="5" t="inlineStr">
        <is>
          <t>051-702-5652</t>
        </is>
      </c>
      <c r="H1595" s="12">
        <f>어린이집!T1216</f>
        <v/>
      </c>
      <c r="I1595" s="5" t="inlineStr">
        <is>
          <t>만0세 7 / 만1세 13 / 만2세 11 / 기타(연령구분 없음) 5</t>
        </is>
      </c>
    </row>
    <row r="1596">
      <c r="A1596" s="5" t="inlineStr">
        <is>
          <t>효원어린이집</t>
        </is>
      </c>
      <c r="B1596" s="5" t="inlineStr">
        <is>
          <t>어린이집</t>
        </is>
      </c>
      <c r="C1596" s="5" t="inlineStr">
        <is>
          <t>민간</t>
        </is>
      </c>
      <c r="D1596" s="5" t="inlineStr">
        <is>
          <t>해운대구</t>
        </is>
      </c>
      <c r="E1596" s="5" t="inlineStr">
        <is>
          <t>부산광역시 해운대구 세실로 158 동부아파트내 (좌4동)</t>
        </is>
      </c>
      <c r="F1596" s="11" t="inlineStr">
        <is>
          <t>https://www.instagram.com/hyowonkid/</t>
        </is>
      </c>
      <c r="G1596" s="5" t="inlineStr">
        <is>
          <t>051-702-0485</t>
        </is>
      </c>
      <c r="H1596" s="12">
        <f>어린이집!T1217</f>
        <v/>
      </c>
      <c r="I1596" s="5" t="inlineStr">
        <is>
          <t>만0세 12 / 만1세 15 / 만2세 12 / 기타(연령구분 없음) 15</t>
        </is>
      </c>
    </row>
    <row r="1597">
      <c r="A1597" s="5" t="inlineStr">
        <is>
          <t>힐스테이트위브어린이집</t>
        </is>
      </c>
      <c r="B1597" s="5" t="inlineStr">
        <is>
          <t>어린이집</t>
        </is>
      </c>
      <c r="C1597" s="5" t="inlineStr">
        <is>
          <t>국공립</t>
        </is>
      </c>
      <c r="D1597" s="5" t="inlineStr">
        <is>
          <t>해운대구</t>
        </is>
      </c>
      <c r="E1597" s="5" t="inlineStr">
        <is>
          <t>부산광역시 해운대구 좌동순환로433번길 30 104동 1층(해운대힐스테이트위브아파트)</t>
        </is>
      </c>
      <c r="F1597" s="5" t="inlineStr"/>
      <c r="G1597" s="5" t="inlineStr">
        <is>
          <t>051-747-6675</t>
        </is>
      </c>
      <c r="H1597" s="12">
        <f>어린이집!T1218</f>
        <v/>
      </c>
      <c r="I1597" s="5" t="inlineStr">
        <is>
          <t>만0세 6 / 만1세 16 / 만2세 18 / 기타(연령구분 없음) 3</t>
        </is>
      </c>
    </row>
    <row r="1598">
      <c r="A1598" s="5" t="inlineStr">
        <is>
          <t>가락초등학교</t>
        </is>
      </c>
      <c r="B1598" s="5" t="inlineStr">
        <is>
          <t>초등학교</t>
        </is>
      </c>
      <c r="C1598" s="5" t="inlineStr">
        <is>
          <t>공립</t>
        </is>
      </c>
      <c r="D1598" s="5" t="inlineStr">
        <is>
          <t>강서구</t>
        </is>
      </c>
      <c r="E1598" s="5" t="inlineStr">
        <is>
          <t>부산광역시 강서구 호계로 41</t>
        </is>
      </c>
      <c r="F1598" s="11" t="inlineStr">
        <is>
          <t>http://school.busanedu.net/garak-e/main.do</t>
        </is>
      </c>
      <c r="G1598" s="5" t="inlineStr">
        <is>
          <t>051-972-8055</t>
        </is>
      </c>
      <c r="H1598" s="12">
        <f>초등학교!Q2</f>
        <v/>
      </c>
      <c r="I1598" s="5" t="inlineStr">
        <is>
          <t>1학년 1 / 2학년 7 / 3학년 1 / 4학년 2 / 5학년 3 / 6학년 2 / 특수학급 3</t>
        </is>
      </c>
    </row>
    <row r="1599">
      <c r="A1599" s="5" t="inlineStr">
        <is>
          <t>강서초등학교</t>
        </is>
      </c>
      <c r="B1599" s="5" t="inlineStr">
        <is>
          <t>초등학교</t>
        </is>
      </c>
      <c r="C1599" s="5" t="inlineStr">
        <is>
          <t>공립</t>
        </is>
      </c>
      <c r="D1599" s="5" t="inlineStr">
        <is>
          <t>강서구</t>
        </is>
      </c>
      <c r="E1599" s="5" t="inlineStr">
        <is>
          <t>부산광역시 강서구 에코델타2로 94</t>
        </is>
      </c>
      <c r="F1599" s="11" t="inlineStr">
        <is>
          <t>http://gangseoe.es.kr</t>
        </is>
      </c>
      <c r="G1599" s="5" t="inlineStr">
        <is>
          <t>051-366-1900</t>
        </is>
      </c>
      <c r="H1599" s="12">
        <f>초등학교!Q3</f>
        <v/>
      </c>
      <c r="I1599" s="5" t="inlineStr">
        <is>
          <t>1학년 111 / 2학년 74 / 3학년 93 / 4학년 59 / 5학년 58 / 6학년 44 / 특수학급 7</t>
        </is>
      </c>
    </row>
    <row r="1600">
      <c r="A1600" s="5" t="inlineStr">
        <is>
          <t>남명초등학교</t>
        </is>
      </c>
      <c r="B1600" s="5" t="inlineStr">
        <is>
          <t>초등학교</t>
        </is>
      </c>
      <c r="C1600" s="5" t="inlineStr">
        <is>
          <t>공립</t>
        </is>
      </c>
      <c r="D1600" s="5" t="inlineStr">
        <is>
          <t>강서구</t>
        </is>
      </c>
      <c r="E1600" s="5" t="inlineStr">
        <is>
          <t>부산광역시 강서구 명지오션시티11로 132</t>
        </is>
      </c>
      <c r="F1600" s="11" t="inlineStr">
        <is>
          <t>http://nam-myeong.es.kr/</t>
        </is>
      </c>
      <c r="G1600" s="5" t="inlineStr">
        <is>
          <t>051-2600-200</t>
        </is>
      </c>
      <c r="H1600" s="12">
        <f>초등학교!Q4</f>
        <v/>
      </c>
      <c r="I1600" s="5" t="inlineStr">
        <is>
          <t>1학년 83 / 2학년 108 / 3학년 101 / 4학년 120 / 5학년 158 / 6학년 136 / 특수학급 7</t>
        </is>
      </c>
    </row>
    <row r="1601">
      <c r="A1601" s="5" t="inlineStr">
        <is>
          <t>녹명초등학교</t>
        </is>
      </c>
      <c r="B1601" s="5" t="inlineStr">
        <is>
          <t>초등학교</t>
        </is>
      </c>
      <c r="C1601" s="5" t="inlineStr">
        <is>
          <t>공립</t>
        </is>
      </c>
      <c r="D1601" s="5" t="inlineStr">
        <is>
          <t>강서구</t>
        </is>
      </c>
      <c r="E1601" s="5" t="inlineStr">
        <is>
          <t>부산광역시 강서구 낙동남로 617</t>
        </is>
      </c>
      <c r="F1601" s="11" t="inlineStr">
        <is>
          <t>http://nokmng.es.kr</t>
        </is>
      </c>
      <c r="G1601" s="5" t="inlineStr">
        <is>
          <t>051-971-5144</t>
        </is>
      </c>
      <c r="H1601" s="12">
        <f>초등학교!Q5</f>
        <v/>
      </c>
      <c r="I1601" s="5" t="inlineStr">
        <is>
          <t>1학년 16 / 2학년 12 / 3학년 19 / 4학년 13 / 5학년 18 / 6학년 12 / 특수학급 5</t>
        </is>
      </c>
    </row>
    <row r="1602">
      <c r="A1602" s="5" t="inlineStr">
        <is>
          <t>녹산초등학교</t>
        </is>
      </c>
      <c r="B1602" s="5" t="inlineStr">
        <is>
          <t>초등학교</t>
        </is>
      </c>
      <c r="C1602" s="5" t="inlineStr">
        <is>
          <t>공립</t>
        </is>
      </c>
      <c r="D1602" s="5" t="inlineStr">
        <is>
          <t>강서구</t>
        </is>
      </c>
      <c r="E1602" s="5" t="inlineStr">
        <is>
          <t>부산광역시 강서구 과학산단2로20번길 55</t>
        </is>
      </c>
      <c r="F1602" s="11" t="inlineStr">
        <is>
          <t>http://noksan.es.kr/</t>
        </is>
      </c>
      <c r="G1602" s="5" t="inlineStr">
        <is>
          <t>051-979-1000</t>
        </is>
      </c>
      <c r="H1602" s="12">
        <f>초등학교!Q6</f>
        <v/>
      </c>
      <c r="I1602" s="5" t="inlineStr">
        <is>
          <t>1학년 128 / 2학년 143 / 3학년 142 / 4학년 171 / 5학년 171 / 6학년 170 / 특수학급 7</t>
        </is>
      </c>
    </row>
    <row r="1603">
      <c r="A1603" s="5" t="inlineStr">
        <is>
          <t>대사초등학교</t>
        </is>
      </c>
      <c r="B1603" s="5" t="inlineStr">
        <is>
          <t>초등학교</t>
        </is>
      </c>
      <c r="C1603" s="5" t="inlineStr">
        <is>
          <t>공립</t>
        </is>
      </c>
      <c r="D1603" s="5" t="inlineStr">
        <is>
          <t>강서구</t>
        </is>
      </c>
      <c r="E1603" s="5" t="inlineStr">
        <is>
          <t>부산광역시 강서구 낙동북로 73</t>
        </is>
      </c>
      <c r="F1603" s="11" t="inlineStr">
        <is>
          <t>http://psdaesa.es.kr</t>
        </is>
      </c>
      <c r="G1603" s="5" t="inlineStr">
        <is>
          <t>051-970-0300</t>
        </is>
      </c>
      <c r="H1603" s="12">
        <f>초등학교!Q7</f>
        <v/>
      </c>
      <c r="I1603" s="5" t="inlineStr">
        <is>
          <t>2학년 1 / 3학년 1 / 5학년 1 / 특수학급 1</t>
        </is>
      </c>
    </row>
    <row r="1604">
      <c r="A1604" s="5" t="inlineStr">
        <is>
          <t>대상초등학교</t>
        </is>
      </c>
      <c r="B1604" s="5" t="inlineStr">
        <is>
          <t>초등학교</t>
        </is>
      </c>
      <c r="C1604" s="5" t="inlineStr">
        <is>
          <t>공립</t>
        </is>
      </c>
      <c r="D1604" s="5" t="inlineStr">
        <is>
          <t>강서구</t>
        </is>
      </c>
      <c r="E1604" s="5" t="inlineStr">
        <is>
          <t>부산광역시 강서구 대저로 249</t>
        </is>
      </c>
      <c r="F1604" s="11" t="inlineStr">
        <is>
          <t>http://daesang.es.kr</t>
        </is>
      </c>
      <c r="G1604" s="5" t="inlineStr">
        <is>
          <t>051-971-6311</t>
        </is>
      </c>
      <c r="H1604" s="12">
        <f>초등학교!Q8</f>
        <v/>
      </c>
      <c r="I1604" s="5" t="inlineStr">
        <is>
          <t>1학년 6 / 2학년 3 / 3학년 7 / 4학년 2 / 5학년 8 / 6학년 1 / 특수학급 5</t>
        </is>
      </c>
    </row>
    <row r="1605">
      <c r="A1605" s="5" t="inlineStr">
        <is>
          <t>대저중앙초등학교</t>
        </is>
      </c>
      <c r="B1605" s="5" t="inlineStr">
        <is>
          <t>초등학교</t>
        </is>
      </c>
      <c r="C1605" s="5" t="inlineStr">
        <is>
          <t>공립</t>
        </is>
      </c>
      <c r="D1605" s="5" t="inlineStr">
        <is>
          <t>강서구</t>
        </is>
      </c>
      <c r="E1605" s="5" t="inlineStr">
        <is>
          <t>부산광역시 강서구 에코델타2로 23</t>
        </is>
      </c>
      <c r="F1605" s="11" t="inlineStr">
        <is>
          <t>http://school.busanedu.net/dj-joongang-e/main.do</t>
        </is>
      </c>
      <c r="G1605" s="5" t="inlineStr">
        <is>
          <t>051-605-1000</t>
        </is>
      </c>
      <c r="H1605" s="12">
        <f>초등학교!Q9</f>
        <v/>
      </c>
      <c r="I1605" s="5" t="inlineStr">
        <is>
          <t>1학년 250 / 2학년 226 / 3학년 201 / 4학년 191 / 5학년 184 / 6학년 147 / 특수학급 6</t>
        </is>
      </c>
    </row>
    <row r="1606">
      <c r="A1606" s="5" t="inlineStr">
        <is>
          <t>대저초등학교</t>
        </is>
      </c>
      <c r="B1606" s="5" t="inlineStr">
        <is>
          <t>초등학교</t>
        </is>
      </c>
      <c r="C1606" s="5" t="inlineStr">
        <is>
          <t>공립</t>
        </is>
      </c>
      <c r="D1606" s="5" t="inlineStr">
        <is>
          <t>강서구</t>
        </is>
      </c>
      <c r="E1606" s="5" t="inlineStr">
        <is>
          <t>부산광역시 강서구 대저로29번길 27</t>
        </is>
      </c>
      <c r="F1606" s="11" t="inlineStr">
        <is>
          <t>http://daejeo.es.kr</t>
        </is>
      </c>
      <c r="G1606" s="5" t="inlineStr">
        <is>
          <t>051-970-0200</t>
        </is>
      </c>
      <c r="H1606" s="12">
        <f>초등학교!Q10</f>
        <v/>
      </c>
      <c r="I1606" s="5" t="inlineStr">
        <is>
          <t>1학년 4 / 3학년 6 / 4학년 2 / 5학년 3 / 6학년 4 / 특수학급 1</t>
        </is>
      </c>
    </row>
    <row r="1607">
      <c r="A1607" s="5" t="inlineStr">
        <is>
          <t>덕두초등학교</t>
        </is>
      </c>
      <c r="B1607" s="5" t="inlineStr">
        <is>
          <t>초등학교</t>
        </is>
      </c>
      <c r="C1607" s="5" t="inlineStr">
        <is>
          <t>공립</t>
        </is>
      </c>
      <c r="D1607" s="5" t="inlineStr">
        <is>
          <t>강서구</t>
        </is>
      </c>
      <c r="E1607" s="5" t="inlineStr">
        <is>
          <t>부산광역시 강서구 공항로791번길 68</t>
        </is>
      </c>
      <c r="F1607" s="11" t="inlineStr">
        <is>
          <t>http://www.deokdu.es.kr/</t>
        </is>
      </c>
      <c r="G1607" s="5" t="inlineStr">
        <is>
          <t>051-711-5120</t>
        </is>
      </c>
      <c r="H1607" s="12">
        <f>초등학교!Q11</f>
        <v/>
      </c>
      <c r="I1607" s="5" t="inlineStr">
        <is>
          <t>1학년 20 / 2학년 33 / 3학년 25 / 4학년 31 / 5학년 24 / 6학년 28 / 특수학급 1</t>
        </is>
      </c>
    </row>
    <row r="1608">
      <c r="A1608" s="5" t="inlineStr">
        <is>
          <t>명문초등학교</t>
        </is>
      </c>
      <c r="B1608" s="5" t="inlineStr">
        <is>
          <t>초등학교</t>
        </is>
      </c>
      <c r="C1608" s="5" t="inlineStr">
        <is>
          <t>공립</t>
        </is>
      </c>
      <c r="D1608" s="5" t="inlineStr">
        <is>
          <t>강서구</t>
        </is>
      </c>
      <c r="E1608" s="5" t="inlineStr">
        <is>
          <t>부산광역시 강서구 명지국제8로 195</t>
        </is>
      </c>
      <c r="F1608" s="11" t="inlineStr">
        <is>
          <t>http://myeongmun.es.kr</t>
        </is>
      </c>
      <c r="G1608" s="5" t="inlineStr">
        <is>
          <t>051-710-2114</t>
        </is>
      </c>
      <c r="H1608" s="12">
        <f>초등학교!Q12</f>
        <v/>
      </c>
      <c r="I1608" s="5" t="inlineStr">
        <is>
          <t>1학년 173 / 2학년 199 / 3학년 225 / 4학년 219 / 5학년 193 / 6학년 156 / 특수학급 9</t>
        </is>
      </c>
    </row>
    <row r="1609">
      <c r="A1609" s="5" t="inlineStr">
        <is>
          <t>명원초등학교</t>
        </is>
      </c>
      <c r="B1609" s="5" t="inlineStr">
        <is>
          <t>초등학교</t>
        </is>
      </c>
      <c r="C1609" s="5" t="inlineStr">
        <is>
          <t>공립</t>
        </is>
      </c>
      <c r="D1609" s="5" t="inlineStr">
        <is>
          <t>강서구</t>
        </is>
      </c>
      <c r="E1609" s="5" t="inlineStr">
        <is>
          <t>부산광역시 강서구 명지국제6로 147</t>
        </is>
      </c>
      <c r="F1609" s="11" t="inlineStr">
        <is>
          <t>http://school.busanedu.net/myoungwon-e/main.do</t>
        </is>
      </c>
      <c r="G1609" s="5" t="inlineStr">
        <is>
          <t>051-250-3300</t>
        </is>
      </c>
      <c r="H1609" s="12">
        <f>초등학교!Q13</f>
        <v/>
      </c>
      <c r="I1609" s="5" t="inlineStr">
        <is>
          <t>1학년 127 / 2학년 175 / 3학년 222 / 4학년 193 / 5학년 237 / 6학년 230 / 특수학급 11</t>
        </is>
      </c>
    </row>
    <row r="1610">
      <c r="A1610" s="5" t="inlineStr">
        <is>
          <t>명일초등학교</t>
        </is>
      </c>
      <c r="B1610" s="5" t="inlineStr">
        <is>
          <t>초등학교</t>
        </is>
      </c>
      <c r="C1610" s="5" t="inlineStr">
        <is>
          <t>공립</t>
        </is>
      </c>
      <c r="D1610" s="5" t="inlineStr">
        <is>
          <t>강서구</t>
        </is>
      </c>
      <c r="E1610" s="5" t="inlineStr">
        <is>
          <t>부산광역시 강서구 명지국제5로 170-5</t>
        </is>
      </c>
      <c r="F1610" s="11" t="inlineStr">
        <is>
          <t>http://myeong1.es.kr</t>
        </is>
      </c>
      <c r="G1610" s="5" t="inlineStr">
        <is>
          <t>051-290-1500</t>
        </is>
      </c>
      <c r="H1610" s="12">
        <f>초등학교!Q14</f>
        <v/>
      </c>
      <c r="I1610" s="5" t="inlineStr">
        <is>
          <t>1학년 114 / 2학년 128 / 3학년 140 / 4학년 144 / 5학년 126 / 6학년 143 / 특수학급 10</t>
        </is>
      </c>
    </row>
    <row r="1611">
      <c r="A1611" s="5" t="inlineStr">
        <is>
          <t>명지초등학교</t>
        </is>
      </c>
      <c r="B1611" s="5" t="inlineStr">
        <is>
          <t>초등학교</t>
        </is>
      </c>
      <c r="C1611" s="5" t="inlineStr">
        <is>
          <t>공립</t>
        </is>
      </c>
      <c r="D1611" s="5" t="inlineStr">
        <is>
          <t>강서구</t>
        </is>
      </c>
      <c r="E1611" s="5" t="inlineStr">
        <is>
          <t>부산광역시 강서구 명지국제6로 296</t>
        </is>
      </c>
      <c r="F1611" s="11" t="inlineStr">
        <is>
          <t>http://www.myungji.es.kr</t>
        </is>
      </c>
      <c r="G1611" s="5" t="inlineStr">
        <is>
          <t>051-602-1200</t>
        </is>
      </c>
      <c r="H1611" s="12">
        <f>초등학교!Q15</f>
        <v/>
      </c>
      <c r="I1611" s="5" t="inlineStr">
        <is>
          <t>1학년 191 / 2학년 180 / 3학년 214 / 4학년 248 / 5학년 232 / 6학년 259 / 특수학급 11</t>
        </is>
      </c>
    </row>
    <row r="1612">
      <c r="A1612" s="5" t="inlineStr">
        <is>
          <t>명호초등학교</t>
        </is>
      </c>
      <c r="B1612" s="5" t="inlineStr">
        <is>
          <t>초등학교</t>
        </is>
      </c>
      <c r="C1612" s="5" t="inlineStr">
        <is>
          <t>공립</t>
        </is>
      </c>
      <c r="D1612" s="5" t="inlineStr">
        <is>
          <t>강서구</t>
        </is>
      </c>
      <c r="E1612" s="5" t="inlineStr">
        <is>
          <t>부산광역시 강서구 명지오션시티2로 41</t>
        </is>
      </c>
      <c r="F1612" s="11" t="inlineStr">
        <is>
          <t>http://school.busanedu.net/myungho-e</t>
        </is>
      </c>
      <c r="G1612" s="5" t="inlineStr">
        <is>
          <t>051-220-1100</t>
        </is>
      </c>
      <c r="H1612" s="12">
        <f>초등학교!Q16</f>
        <v/>
      </c>
      <c r="I1612" s="5" t="inlineStr">
        <is>
          <t>1학년 156 / 2학년 161 / 3학년 178 / 4학년 234 / 5학년 261 / 6학년 263 / 특수학급 10</t>
        </is>
      </c>
    </row>
    <row r="1613">
      <c r="A1613" s="5" t="inlineStr">
        <is>
          <t>배영초등학교</t>
        </is>
      </c>
      <c r="B1613" s="5" t="inlineStr">
        <is>
          <t>초등학교</t>
        </is>
      </c>
      <c r="C1613" s="5" t="inlineStr">
        <is>
          <t>공립</t>
        </is>
      </c>
      <c r="D1613" s="5" t="inlineStr">
        <is>
          <t>강서구</t>
        </is>
      </c>
      <c r="E1613" s="5" t="inlineStr">
        <is>
          <t>부산광역시 강서구 공항로339번길 260</t>
        </is>
      </c>
      <c r="F1613" s="11" t="inlineStr">
        <is>
          <t>http://baeyeong.es.kr</t>
        </is>
      </c>
      <c r="G1613" s="5" t="inlineStr">
        <is>
          <t>051-971-4428</t>
        </is>
      </c>
      <c r="H1613" s="12">
        <f>초등학교!Q17</f>
        <v/>
      </c>
      <c r="I1613" s="5" t="inlineStr">
        <is>
          <t>1학년 4 / 2학년 2 / 3학년 2 / 4학년 7 / 5학년 3 / 6학년 9 / 특수학급 6</t>
        </is>
      </c>
    </row>
    <row r="1614">
      <c r="A1614" s="5" t="inlineStr">
        <is>
          <t>송정초등학교</t>
        </is>
      </c>
      <c r="B1614" s="5" t="inlineStr">
        <is>
          <t>초등학교</t>
        </is>
      </c>
      <c r="C1614" s="5" t="inlineStr">
        <is>
          <t>공립</t>
        </is>
      </c>
      <c r="D1614" s="5" t="inlineStr">
        <is>
          <t>강서구</t>
        </is>
      </c>
      <c r="E1614" s="5" t="inlineStr">
        <is>
          <t>부산광역시 강서구 신호산단4로 10</t>
        </is>
      </c>
      <c r="F1614" s="11" t="inlineStr">
        <is>
          <t>http://pssongjung.es.kr/</t>
        </is>
      </c>
      <c r="G1614" s="5" t="inlineStr">
        <is>
          <t>051-979-6300</t>
        </is>
      </c>
      <c r="H1614" s="12">
        <f>초등학교!Q18</f>
        <v/>
      </c>
      <c r="I1614" s="5" t="inlineStr">
        <is>
          <t>1학년 56 / 2학년 87 / 3학년 100 / 4학년 109 / 5학년 131 / 6학년 119 / 특수학급 9</t>
        </is>
      </c>
    </row>
    <row r="1615">
      <c r="A1615" s="5" t="inlineStr">
        <is>
          <t>신명초등학교</t>
        </is>
      </c>
      <c r="B1615" s="5" t="inlineStr">
        <is>
          <t>초등학교</t>
        </is>
      </c>
      <c r="C1615" s="5" t="inlineStr">
        <is>
          <t>공립</t>
        </is>
      </c>
      <c r="D1615" s="5" t="inlineStr">
        <is>
          <t>강서구</t>
        </is>
      </c>
      <c r="E1615" s="5" t="inlineStr">
        <is>
          <t>부산광역시 강서구 명지국제7로 178</t>
        </is>
      </c>
      <c r="F1615" s="11" t="inlineStr">
        <is>
          <t>http://bssm.es.kr</t>
        </is>
      </c>
      <c r="G1615" s="5" t="inlineStr">
        <is>
          <t>051-792-1200</t>
        </is>
      </c>
      <c r="H1615" s="12">
        <f>초등학교!Q19</f>
        <v/>
      </c>
      <c r="I1615" s="5" t="inlineStr">
        <is>
          <t>1학년 119 / 2학년 156 / 3학년 146 / 4학년 178 / 5학년 191 / 6학년 184 / 특수학급 12</t>
        </is>
      </c>
    </row>
    <row r="1616">
      <c r="A1616" s="5" t="inlineStr">
        <is>
          <t>신호초등학교</t>
        </is>
      </c>
      <c r="B1616" s="5" t="inlineStr">
        <is>
          <t>초등학교</t>
        </is>
      </c>
      <c r="C1616" s="5" t="inlineStr">
        <is>
          <t>공립</t>
        </is>
      </c>
      <c r="D1616" s="5" t="inlineStr">
        <is>
          <t>강서구</t>
        </is>
      </c>
      <c r="E1616" s="5" t="inlineStr">
        <is>
          <t>부산광역시 강서구 신호이로75번길 12</t>
        </is>
      </c>
      <c r="F1616" s="11" t="inlineStr">
        <is>
          <t>http://www.shinho.es.kr</t>
        </is>
      </c>
      <c r="G1616" s="5" t="inlineStr">
        <is>
          <t>051-9746-800</t>
        </is>
      </c>
      <c r="H1616" s="12">
        <f>초등학교!Q20</f>
        <v/>
      </c>
      <c r="I1616" s="5" t="inlineStr">
        <is>
          <t>1학년 41 / 2학년 45 / 3학년 53 / 4학년 69 / 5학년 66 / 6학년 82 / 특수학급 4</t>
        </is>
      </c>
    </row>
    <row r="1617">
      <c r="A1617" s="5" t="inlineStr">
        <is>
          <t>오션초등학교</t>
        </is>
      </c>
      <c r="B1617" s="5" t="inlineStr">
        <is>
          <t>초등학교</t>
        </is>
      </c>
      <c r="C1617" s="5" t="inlineStr">
        <is>
          <t>공립</t>
        </is>
      </c>
      <c r="D1617" s="5" t="inlineStr">
        <is>
          <t>강서구</t>
        </is>
      </c>
      <c r="E1617" s="5" t="inlineStr">
        <is>
          <t>부산광역시 강서구 명지오션시티6로 72</t>
        </is>
      </c>
      <c r="F1617" s="11" t="inlineStr">
        <is>
          <t>http://ocean.es.kr</t>
        </is>
      </c>
      <c r="G1617" s="5" t="inlineStr">
        <is>
          <t>051-220-7200</t>
        </is>
      </c>
      <c r="H1617" s="12">
        <f>초등학교!Q21</f>
        <v/>
      </c>
      <c r="I1617" s="5" t="inlineStr">
        <is>
          <t>1학년 80 / 2학년 127 / 3학년 126 / 4학년 160 / 5학년 196 / 6학년 184 / 특수학급 10</t>
        </is>
      </c>
    </row>
    <row r="1618">
      <c r="A1618" s="5" t="inlineStr">
        <is>
          <t>천가초등학교</t>
        </is>
      </c>
      <c r="B1618" s="5" t="inlineStr">
        <is>
          <t>초등학교</t>
        </is>
      </c>
      <c r="C1618" s="5" t="inlineStr">
        <is>
          <t>공립</t>
        </is>
      </c>
      <c r="D1618" s="5" t="inlineStr">
        <is>
          <t>강서구</t>
        </is>
      </c>
      <c r="E1618" s="5" t="inlineStr">
        <is>
          <t>부산광역시 강서구 동선길 135</t>
        </is>
      </c>
      <c r="F1618" s="11" t="inlineStr">
        <is>
          <t>http://www.chunga.es.kr</t>
        </is>
      </c>
      <c r="G1618" s="5" t="inlineStr">
        <is>
          <t>051-972-7008</t>
        </is>
      </c>
      <c r="H1618" s="12">
        <f>초등학교!Q22</f>
        <v/>
      </c>
      <c r="I1618" s="5" t="inlineStr">
        <is>
          <t>1학년 2 / 2학년 5 / 3학년 5 / 4학년 9 / 5학년 8 / 6학년 11 / 특수학급 2</t>
        </is>
      </c>
    </row>
    <row r="1619">
      <c r="A1619" s="5" t="inlineStr">
        <is>
          <t>공덕초등학교</t>
        </is>
      </c>
      <c r="B1619" s="5" t="inlineStr">
        <is>
          <t>초등학교</t>
        </is>
      </c>
      <c r="C1619" s="5" t="inlineStr">
        <is>
          <t>공립</t>
        </is>
      </c>
      <c r="D1619" s="5" t="inlineStr">
        <is>
          <t>금정구</t>
        </is>
      </c>
      <c r="E1619" s="5" t="inlineStr">
        <is>
          <t>부산광역시 금정구 대두로 2</t>
        </is>
      </c>
      <c r="F1619" s="11" t="inlineStr">
        <is>
          <t>http://www.kongduk.es.kr</t>
        </is>
      </c>
      <c r="G1619" s="5" t="inlineStr">
        <is>
          <t>051-508-2362</t>
        </is>
      </c>
      <c r="H1619" s="12">
        <f>초등학교!Q23</f>
        <v/>
      </c>
      <c r="I1619" s="5" t="inlineStr">
        <is>
          <t>1학년 6 / 2학년 3 / 3학년 5 / 4학년 6 / 5학년 13 / 6학년 5 / 특수학급 2</t>
        </is>
      </c>
    </row>
    <row r="1620">
      <c r="A1620" s="5" t="inlineStr">
        <is>
          <t>구서초등학교</t>
        </is>
      </c>
      <c r="B1620" s="5" t="inlineStr">
        <is>
          <t>초등학교</t>
        </is>
      </c>
      <c r="C1620" s="5" t="inlineStr">
        <is>
          <t>공립</t>
        </is>
      </c>
      <c r="D1620" s="5" t="inlineStr">
        <is>
          <t>금정구</t>
        </is>
      </c>
      <c r="E1620" s="5" t="inlineStr">
        <is>
          <t>부산광역시 금정구 구서중앙로 35</t>
        </is>
      </c>
      <c r="F1620" s="11" t="inlineStr">
        <is>
          <t>http://www.kuseo.es.kr</t>
        </is>
      </c>
      <c r="G1620" s="5" t="inlineStr">
        <is>
          <t>051-516-2994</t>
        </is>
      </c>
      <c r="H1620" s="12">
        <f>초등학교!Q24</f>
        <v/>
      </c>
      <c r="I1620" s="5" t="inlineStr">
        <is>
          <t>1학년 46 / 2학년 43 / 3학년 55 / 4학년 68 / 5학년 106 / 6학년 90 / 특수학급 6</t>
        </is>
      </c>
    </row>
    <row r="1621">
      <c r="A1621" s="5" t="inlineStr">
        <is>
          <t>금빛초등학교</t>
        </is>
      </c>
      <c r="B1621" s="5" t="inlineStr">
        <is>
          <t>초등학교</t>
        </is>
      </c>
      <c r="C1621" s="5" t="inlineStr">
        <is>
          <t>공립</t>
        </is>
      </c>
      <c r="D1621" s="5" t="inlineStr">
        <is>
          <t>금정구</t>
        </is>
      </c>
      <c r="E1621" s="5" t="inlineStr">
        <is>
          <t>부산광역시 금정구 소정로 31</t>
        </is>
      </c>
      <c r="F1621" s="11" t="inlineStr">
        <is>
          <t>http://www.gbit.es.kr</t>
        </is>
      </c>
      <c r="G1621" s="5" t="inlineStr">
        <is>
          <t>051-719-8300</t>
        </is>
      </c>
      <c r="H1621" s="12">
        <f>초등학교!Q25</f>
        <v/>
      </c>
      <c r="I1621" s="5" t="inlineStr">
        <is>
          <t>1학년 77 / 2학년 97 / 3학년 116 / 4학년 106 / 5학년 131 / 6학년 111 / 특수학급 14</t>
        </is>
      </c>
    </row>
    <row r="1622">
      <c r="A1622" s="5" t="inlineStr">
        <is>
          <t>금사초등학교</t>
        </is>
      </c>
      <c r="B1622" s="5" t="inlineStr">
        <is>
          <t>초등학교</t>
        </is>
      </c>
      <c r="C1622" s="5" t="inlineStr">
        <is>
          <t>공립</t>
        </is>
      </c>
      <c r="D1622" s="5" t="inlineStr">
        <is>
          <t>금정구</t>
        </is>
      </c>
      <c r="E1622" s="5" t="inlineStr">
        <is>
          <t>부산광역시 금정구 금사로57번길 24</t>
        </is>
      </c>
      <c r="F1622" s="11" t="inlineStr">
        <is>
          <t>http://www.kumsa.es.kr</t>
        </is>
      </c>
      <c r="G1622" s="5" t="inlineStr">
        <is>
          <t>051-531-3594</t>
        </is>
      </c>
      <c r="H1622" s="12">
        <f>초등학교!Q26</f>
        <v/>
      </c>
      <c r="I1622" s="5" t="inlineStr">
        <is>
          <t>1학년 33 / 2학년 35 / 3학년 36 / 4학년 35 / 5학년 57 / 6학년 37 / 특수학급 9</t>
        </is>
      </c>
    </row>
    <row r="1623">
      <c r="A1623" s="5" t="inlineStr">
        <is>
          <t>금샘초등학교</t>
        </is>
      </c>
      <c r="B1623" s="5" t="inlineStr">
        <is>
          <t>초등학교</t>
        </is>
      </c>
      <c r="C1623" s="5" t="inlineStr">
        <is>
          <t>공립</t>
        </is>
      </c>
      <c r="D1623" s="5" t="inlineStr">
        <is>
          <t>금정구</t>
        </is>
      </c>
      <c r="E1623" s="5" t="inlineStr">
        <is>
          <t>부산광역시 금정구 금샘로 525</t>
        </is>
      </c>
      <c r="F1623" s="11" t="inlineStr">
        <is>
          <t>http://www.geumsaem.es.kr</t>
        </is>
      </c>
      <c r="G1623" s="5" t="inlineStr">
        <is>
          <t>051-519-0800</t>
        </is>
      </c>
      <c r="H1623" s="12">
        <f>초등학교!Q27</f>
        <v/>
      </c>
      <c r="I1623" s="5" t="inlineStr">
        <is>
          <t>1학년 11 / 2학년 18 / 3학년 19 / 4학년 26 / 5학년 30 / 6학년 20 / 특수학급 9</t>
        </is>
      </c>
    </row>
    <row r="1624">
      <c r="A1624" s="5" t="inlineStr">
        <is>
          <t>금성초등학교</t>
        </is>
      </c>
      <c r="B1624" s="5" t="inlineStr">
        <is>
          <t>초등학교</t>
        </is>
      </c>
      <c r="C1624" s="5" t="inlineStr">
        <is>
          <t>공립</t>
        </is>
      </c>
      <c r="D1624" s="5" t="inlineStr">
        <is>
          <t>금정구</t>
        </is>
      </c>
      <c r="E1624" s="5" t="inlineStr">
        <is>
          <t>부산광역시 금정구 중리1길 15</t>
        </is>
      </c>
      <c r="F1624" s="11" t="inlineStr">
        <is>
          <t>http://school.busanedu.net/gumseang-e</t>
        </is>
      </c>
      <c r="G1624" s="5" t="inlineStr">
        <is>
          <t>051-517-5400</t>
        </is>
      </c>
      <c r="H1624" s="12">
        <f>초등학교!Q28</f>
        <v/>
      </c>
      <c r="I1624" s="5" t="inlineStr">
        <is>
          <t>1학년 14 / 2학년 3 / 3학년 9 / 4학년 3 / 5학년 13 / 6학년 4 / 특수학급 2</t>
        </is>
      </c>
    </row>
    <row r="1625">
      <c r="A1625" s="5" t="inlineStr">
        <is>
          <t>금양초등학교</t>
        </is>
      </c>
      <c r="B1625" s="5" t="inlineStr">
        <is>
          <t>초등학교</t>
        </is>
      </c>
      <c r="C1625" s="5" t="inlineStr">
        <is>
          <t>공립</t>
        </is>
      </c>
      <c r="D1625" s="5" t="inlineStr">
        <is>
          <t>금정구</t>
        </is>
      </c>
      <c r="E1625" s="5" t="inlineStr">
        <is>
          <t>부산광역시 금정구 중앙대로 1755</t>
        </is>
      </c>
      <c r="F1625" s="11" t="inlineStr">
        <is>
          <t>http://www.kumyang.es.kr</t>
        </is>
      </c>
      <c r="G1625" s="5" t="inlineStr">
        <is>
          <t>051-550-0400</t>
        </is>
      </c>
      <c r="H1625" s="12">
        <f>초등학교!Q29</f>
        <v/>
      </c>
      <c r="I1625" s="5" t="inlineStr">
        <is>
          <t>1학년 73 / 2학년 78 / 3학년 86 / 4학년 98 / 5학년 105 / 6학년 130 / 특수학급 13</t>
        </is>
      </c>
    </row>
    <row r="1626">
      <c r="A1626" s="5" t="inlineStr">
        <is>
          <t>금정초등학교</t>
        </is>
      </c>
      <c r="B1626" s="5" t="inlineStr">
        <is>
          <t>초등학교</t>
        </is>
      </c>
      <c r="C1626" s="5" t="inlineStr">
        <is>
          <t>공립</t>
        </is>
      </c>
      <c r="D1626" s="5" t="inlineStr">
        <is>
          <t>금정구</t>
        </is>
      </c>
      <c r="E1626" s="5" t="inlineStr">
        <is>
          <t>부산광역시 금정구 식물원로44번길 46</t>
        </is>
      </c>
      <c r="F1626" s="11" t="inlineStr">
        <is>
          <t>http://www.gumjeong.es.kr</t>
        </is>
      </c>
      <c r="G1626" s="5" t="inlineStr">
        <is>
          <t>051-719-5400</t>
        </is>
      </c>
      <c r="H1626" s="12">
        <f>초등학교!Q30</f>
        <v/>
      </c>
      <c r="I1626" s="5" t="inlineStr">
        <is>
          <t>1학년 214 / 2학년 221 / 3학년 209 / 4학년 209 / 5학년 246 / 6학년 212 / 특수학급 14</t>
        </is>
      </c>
    </row>
    <row r="1627">
      <c r="A1627" s="5" t="inlineStr">
        <is>
          <t>남산초등학교</t>
        </is>
      </c>
      <c r="B1627" s="5" t="inlineStr">
        <is>
          <t>초등학교</t>
        </is>
      </c>
      <c r="C1627" s="5" t="inlineStr">
        <is>
          <t>공립</t>
        </is>
      </c>
      <c r="D1627" s="5" t="inlineStr">
        <is>
          <t>금정구</t>
        </is>
      </c>
      <c r="E1627" s="5" t="inlineStr">
        <is>
          <t>부산광역시 금정구 금강로 614</t>
        </is>
      </c>
      <c r="F1627" s="11" t="inlineStr">
        <is>
          <t>http://www.pusannamsan.es.kr</t>
        </is>
      </c>
      <c r="G1627" s="5" t="inlineStr">
        <is>
          <t>051-550-5100</t>
        </is>
      </c>
      <c r="H1627" s="12">
        <f>초등학교!Q31</f>
        <v/>
      </c>
      <c r="I1627" s="5" t="inlineStr">
        <is>
          <t>1학년 33 / 2학년 35 / 3학년 46 / 4학년 57 / 5학년 61 / 6학년 85 / 특수학급 7</t>
        </is>
      </c>
    </row>
    <row r="1628">
      <c r="A1628" s="5" t="inlineStr">
        <is>
          <t>동래초등학교</t>
        </is>
      </c>
      <c r="B1628" s="5" t="inlineStr">
        <is>
          <t>초등학교</t>
        </is>
      </c>
      <c r="C1628" s="5" t="inlineStr">
        <is>
          <t>사립</t>
        </is>
      </c>
      <c r="D1628" s="5" t="inlineStr">
        <is>
          <t>금정구</t>
        </is>
      </c>
      <c r="E1628" s="5" t="inlineStr">
        <is>
          <t>부산광역시 금정구 체육공원로44번길 26</t>
        </is>
      </c>
      <c r="F1628" s="11" t="inlineStr">
        <is>
          <t>http://www.dongrae.es.kr/</t>
        </is>
      </c>
      <c r="G1628" s="5" t="inlineStr">
        <is>
          <t>051-581-0901</t>
        </is>
      </c>
      <c r="H1628" s="12">
        <f>초등학교!Q32</f>
        <v/>
      </c>
      <c r="I1628" s="5" t="inlineStr">
        <is>
          <t>1학년 112 / 2학년 109 / 3학년 109 / 4학년 101 / 5학년 97 / 6학년 89</t>
        </is>
      </c>
    </row>
    <row r="1629">
      <c r="A1629" s="5" t="inlineStr">
        <is>
          <t>동상초등학교</t>
        </is>
      </c>
      <c r="B1629" s="5" t="inlineStr">
        <is>
          <t>초등학교</t>
        </is>
      </c>
      <c r="C1629" s="5" t="inlineStr">
        <is>
          <t>공립</t>
        </is>
      </c>
      <c r="D1629" s="5" t="inlineStr">
        <is>
          <t>금정구</t>
        </is>
      </c>
      <c r="E1629" s="5" t="inlineStr">
        <is>
          <t>부산광역시 금정구 옥봉로 5</t>
        </is>
      </c>
      <c r="F1629" s="11" t="inlineStr">
        <is>
          <t>http://dongsang.es.kr</t>
        </is>
      </c>
      <c r="G1629" s="5" t="inlineStr">
        <is>
          <t>051-923-6500</t>
        </is>
      </c>
      <c r="H1629" s="12">
        <f>초등학교!Q33</f>
        <v/>
      </c>
      <c r="I1629" s="5" t="inlineStr">
        <is>
          <t>1학년 10 / 2학년 10 / 3학년 14 / 4학년 12 / 5학년 21 / 6학년 21 / 특수학급 3</t>
        </is>
      </c>
    </row>
    <row r="1630">
      <c r="A1630" s="5" t="inlineStr">
        <is>
          <t>동현초등학교</t>
        </is>
      </c>
      <c r="B1630" s="5" t="inlineStr">
        <is>
          <t>초등학교</t>
        </is>
      </c>
      <c r="C1630" s="5" t="inlineStr">
        <is>
          <t>공립</t>
        </is>
      </c>
      <c r="D1630" s="5" t="inlineStr">
        <is>
          <t>금정구</t>
        </is>
      </c>
      <c r="E1630" s="5" t="inlineStr">
        <is>
          <t>부산광역시 금정구 동현로 36</t>
        </is>
      </c>
      <c r="F1630" s="11" t="inlineStr">
        <is>
          <t>http://bs-donghyun.es.kr</t>
        </is>
      </c>
      <c r="G1630" s="5" t="inlineStr">
        <is>
          <t>051-960-5700</t>
        </is>
      </c>
      <c r="H1630" s="12">
        <f>초등학교!Q34</f>
        <v/>
      </c>
      <c r="I1630" s="5" t="inlineStr">
        <is>
          <t>1학년 23 / 2학년 38 / 3학년 41 / 4학년 55 / 5학년 37 / 6학년 57 / 특수학급 6</t>
        </is>
      </c>
    </row>
    <row r="1631">
      <c r="A1631" s="5" t="inlineStr">
        <is>
          <t>두실초등학교</t>
        </is>
      </c>
      <c r="B1631" s="5" t="inlineStr">
        <is>
          <t>초등학교</t>
        </is>
      </c>
      <c r="C1631" s="5" t="inlineStr">
        <is>
          <t>공립</t>
        </is>
      </c>
      <c r="D1631" s="5" t="inlineStr">
        <is>
          <t>금정구</t>
        </is>
      </c>
      <c r="E1631" s="5" t="inlineStr">
        <is>
          <t>부산광역시 금정구 중앙대로1893번길 33</t>
        </is>
      </c>
      <c r="F1631" s="11" t="inlineStr">
        <is>
          <t>http://www.dusil.es.kr</t>
        </is>
      </c>
      <c r="G1631" s="5" t="inlineStr">
        <is>
          <t>051-580-0400</t>
        </is>
      </c>
      <c r="H1631" s="12">
        <f>초등학교!Q35</f>
        <v/>
      </c>
      <c r="I1631" s="5" t="inlineStr">
        <is>
          <t>1학년 88 / 2학년 90 / 3학년 128 / 4학년 130 / 5학년 127 / 6학년 126 / 특수학급 5</t>
        </is>
      </c>
    </row>
    <row r="1632">
      <c r="A1632" s="5" t="inlineStr">
        <is>
          <t>부곡초등학교</t>
        </is>
      </c>
      <c r="B1632" s="5" t="inlineStr">
        <is>
          <t>초등학교</t>
        </is>
      </c>
      <c r="C1632" s="5" t="inlineStr">
        <is>
          <t>공립</t>
        </is>
      </c>
      <c r="D1632" s="5" t="inlineStr">
        <is>
          <t>금정구</t>
        </is>
      </c>
      <c r="E1632" s="5" t="inlineStr">
        <is>
          <t>부산광역시 금정구 기찰로22번길 15</t>
        </is>
      </c>
      <c r="F1632" s="11" t="inlineStr">
        <is>
          <t>http://www.pugok.es.kr</t>
        </is>
      </c>
      <c r="G1632" s="5" t="inlineStr">
        <is>
          <t>051-580-4800</t>
        </is>
      </c>
      <c r="H1632" s="12">
        <f>초등학교!Q36</f>
        <v/>
      </c>
      <c r="I1632" s="5" t="inlineStr">
        <is>
          <t>1학년 53 / 2학년 65 / 3학년 69 / 4학년 73 / 5학년 82 / 6학년 72 / 특수학급 7</t>
        </is>
      </c>
    </row>
    <row r="1633">
      <c r="A1633" s="5" t="inlineStr">
        <is>
          <t>부산삼육초등학교</t>
        </is>
      </c>
      <c r="B1633" s="5" t="inlineStr">
        <is>
          <t>초등학교</t>
        </is>
      </c>
      <c r="C1633" s="5" t="inlineStr">
        <is>
          <t>사립</t>
        </is>
      </c>
      <c r="D1633" s="5" t="inlineStr">
        <is>
          <t>금정구</t>
        </is>
      </c>
      <c r="E1633" s="5" t="inlineStr">
        <is>
          <t>부산광역시 금정구 금정도서관로 17</t>
        </is>
      </c>
      <c r="F1633" s="11" t="inlineStr">
        <is>
          <t>https://school.busanedu.net/bs36-e/main.do</t>
        </is>
      </c>
      <c r="G1633" s="5" t="inlineStr">
        <is>
          <t>051-442-3691</t>
        </is>
      </c>
      <c r="H1633" s="12">
        <f>초등학교!Q37</f>
        <v/>
      </c>
      <c r="I1633" s="5" t="inlineStr">
        <is>
          <t>1학년 60 / 2학년 60 / 3학년 60 / 4학년 60 / 5학년 53 / 6학년 58</t>
        </is>
      </c>
    </row>
    <row r="1634">
      <c r="A1634" s="5" t="inlineStr">
        <is>
          <t>서동초등학교</t>
        </is>
      </c>
      <c r="B1634" s="5" t="inlineStr">
        <is>
          <t>초등학교</t>
        </is>
      </c>
      <c r="C1634" s="5" t="inlineStr">
        <is>
          <t>공립</t>
        </is>
      </c>
      <c r="D1634" s="5" t="inlineStr">
        <is>
          <t>금정구</t>
        </is>
      </c>
      <c r="E1634" s="5" t="inlineStr">
        <is>
          <t>부산광역시 금정구 동현로 147</t>
        </is>
      </c>
      <c r="F1634" s="11" t="inlineStr">
        <is>
          <t>http://www.seodong.es.kr</t>
        </is>
      </c>
      <c r="G1634" s="5" t="inlineStr">
        <is>
          <t>051-985-3200</t>
        </is>
      </c>
      <c r="H1634" s="12">
        <f>초등학교!Q38</f>
        <v/>
      </c>
      <c r="I1634" s="5" t="inlineStr">
        <is>
          <t>1학년 5 / 2학년 8 / 3학년 15 / 4학년 6 / 5학년 11 / 6학년 16 / 특수학급 1</t>
        </is>
      </c>
    </row>
    <row r="1635">
      <c r="A1635" s="5" t="inlineStr">
        <is>
          <t>서명초등학교</t>
        </is>
      </c>
      <c r="B1635" s="5" t="inlineStr">
        <is>
          <t>초등학교</t>
        </is>
      </c>
      <c r="C1635" s="5" t="inlineStr">
        <is>
          <t>공립</t>
        </is>
      </c>
      <c r="D1635" s="5" t="inlineStr">
        <is>
          <t>금정구</t>
        </is>
      </c>
      <c r="E1635" s="5" t="inlineStr">
        <is>
          <t>부산광역시 금정구 명서로 48</t>
        </is>
      </c>
      <c r="F1635" s="11" t="inlineStr">
        <is>
          <t>http://www.seomyeong.es.kr</t>
        </is>
      </c>
      <c r="G1635" s="5" t="inlineStr">
        <is>
          <t>051-520-5300</t>
        </is>
      </c>
      <c r="H1635" s="12">
        <f>초등학교!Q39</f>
        <v/>
      </c>
      <c r="I1635" s="5" t="inlineStr">
        <is>
          <t>1학년 2 / 2학년 3 / 3학년 4 / 4학년 2 / 5학년 9 / 6학년 2 / 특수학급 5</t>
        </is>
      </c>
    </row>
    <row r="1636">
      <c r="A1636" s="5" t="inlineStr">
        <is>
          <t>장서초등학교</t>
        </is>
      </c>
      <c r="B1636" s="5" t="inlineStr">
        <is>
          <t>초등학교</t>
        </is>
      </c>
      <c r="C1636" s="5" t="inlineStr">
        <is>
          <t>공립</t>
        </is>
      </c>
      <c r="D1636" s="5" t="inlineStr">
        <is>
          <t>금정구</t>
        </is>
      </c>
      <c r="E1636" s="5" t="inlineStr">
        <is>
          <t>부산광역시 금정구 금강로 453</t>
        </is>
      </c>
      <c r="F1636" s="11" t="inlineStr">
        <is>
          <t>http://www.jangseo.es.kr/</t>
        </is>
      </c>
      <c r="G1636" s="5" t="inlineStr">
        <is>
          <t>051-515-3606</t>
        </is>
      </c>
      <c r="H1636" s="12">
        <f>초등학교!Q40</f>
        <v/>
      </c>
      <c r="I1636" s="5" t="inlineStr">
        <is>
          <t>1학년 76 / 2학년 66 / 3학년 88 / 4학년 87 / 5학년 113 / 6학년 115 / 특수학급 11</t>
        </is>
      </c>
    </row>
    <row r="1637">
      <c r="A1637" s="5" t="inlineStr">
        <is>
          <t>장전초등학교</t>
        </is>
      </c>
      <c r="B1637" s="5" t="inlineStr">
        <is>
          <t>초등학교</t>
        </is>
      </c>
      <c r="C1637" s="5" t="inlineStr">
        <is>
          <t>공립</t>
        </is>
      </c>
      <c r="D1637" s="5" t="inlineStr">
        <is>
          <t>금정구</t>
        </is>
      </c>
      <c r="E1637" s="5" t="inlineStr">
        <is>
          <t>부산광역시 금정구 수림로 90</t>
        </is>
      </c>
      <c r="F1637" s="11" t="inlineStr">
        <is>
          <t>http://www.jangjeon.es.kr</t>
        </is>
      </c>
      <c r="G1637" s="5" t="inlineStr">
        <is>
          <t>051-797-9200</t>
        </is>
      </c>
      <c r="H1637" s="12">
        <f>초등학교!Q41</f>
        <v/>
      </c>
      <c r="I1637" s="5" t="inlineStr">
        <is>
          <t>1학년 54 / 2학년 44 / 3학년 52 / 4학년 66 / 5학년 87 / 6학년 73 / 특수학급 7</t>
        </is>
      </c>
    </row>
    <row r="1638">
      <c r="A1638" s="5" t="inlineStr">
        <is>
          <t>청룡초등학교</t>
        </is>
      </c>
      <c r="B1638" s="5" t="inlineStr">
        <is>
          <t>초등학교</t>
        </is>
      </c>
      <c r="C1638" s="5" t="inlineStr">
        <is>
          <t>공립</t>
        </is>
      </c>
      <c r="D1638" s="5" t="inlineStr">
        <is>
          <t>금정구</t>
        </is>
      </c>
      <c r="E1638" s="5" t="inlineStr">
        <is>
          <t>부산광역시 금정구 팔송로 6</t>
        </is>
      </c>
      <c r="F1638" s="11" t="inlineStr">
        <is>
          <t>http://www.cheongryong.es.kr/</t>
        </is>
      </c>
      <c r="G1638" s="5" t="inlineStr">
        <is>
          <t>051-580-9303</t>
        </is>
      </c>
      <c r="H1638" s="12">
        <f>초등학교!Q42</f>
        <v/>
      </c>
      <c r="I1638" s="5" t="inlineStr">
        <is>
          <t>1학년 28 / 2학년 40 / 3학년 52 / 4학년 54 / 5학년 76 / 6학년 73 / 특수학급 12</t>
        </is>
      </c>
    </row>
    <row r="1639">
      <c r="A1639" s="5" t="inlineStr">
        <is>
          <t>현곡초등학교</t>
        </is>
      </c>
      <c r="B1639" s="5" t="inlineStr">
        <is>
          <t>초등학교</t>
        </is>
      </c>
      <c r="C1639" s="5" t="inlineStr">
        <is>
          <t>공립</t>
        </is>
      </c>
      <c r="D1639" s="5" t="inlineStr">
        <is>
          <t>금정구</t>
        </is>
      </c>
      <c r="E1639" s="5" t="inlineStr">
        <is>
          <t>부산광역시 금정구 동부곡로27번라길 20</t>
        </is>
      </c>
      <c r="F1639" s="11" t="inlineStr">
        <is>
          <t>https://school.busanedu.net/hyungok-e</t>
        </is>
      </c>
      <c r="G1639" s="5" t="inlineStr">
        <is>
          <t>051-512-0710∼1</t>
        </is>
      </c>
      <c r="H1639" s="12">
        <f>초등학교!Q43</f>
        <v/>
      </c>
      <c r="I1639" s="5" t="inlineStr">
        <is>
          <t>1학년 4 / 2학년 10 / 3학년 10 / 4학년 16 / 5학년 18 / 6학년 13 / 특수학급 7</t>
        </is>
      </c>
    </row>
    <row r="1640">
      <c r="A1640" s="5" t="inlineStr">
        <is>
          <t>가동초등학교</t>
        </is>
      </c>
      <c r="B1640" s="5" t="inlineStr">
        <is>
          <t>초등학교</t>
        </is>
      </c>
      <c r="C1640" s="5" t="inlineStr">
        <is>
          <t>공립</t>
        </is>
      </c>
      <c r="D1640" s="5" t="inlineStr">
        <is>
          <t>기장군</t>
        </is>
      </c>
      <c r="E1640" s="5" t="inlineStr">
        <is>
          <t>부산광역시 기장군 정관읍 정관5로 100</t>
        </is>
      </c>
      <c r="F1640" s="11" t="inlineStr">
        <is>
          <t>http://ga-dong.es.kr</t>
        </is>
      </c>
      <c r="G1640" s="5" t="inlineStr">
        <is>
          <t>051-780-3700</t>
        </is>
      </c>
      <c r="H1640" s="12">
        <f>초등학교!Q44</f>
        <v/>
      </c>
      <c r="I1640" s="5" t="inlineStr">
        <is>
          <t>1학년 110 / 2학년 105 / 3학년 127 / 4학년 136 / 5학년 169 / 6학년 184 / 특수학급 12</t>
        </is>
      </c>
    </row>
    <row r="1641">
      <c r="A1641" s="5" t="inlineStr">
        <is>
          <t>교리초등학교</t>
        </is>
      </c>
      <c r="B1641" s="5" t="inlineStr">
        <is>
          <t>초등학교</t>
        </is>
      </c>
      <c r="C1641" s="5" t="inlineStr">
        <is>
          <t>공립</t>
        </is>
      </c>
      <c r="D1641" s="5" t="inlineStr">
        <is>
          <t>기장군</t>
        </is>
      </c>
      <c r="E1641" s="5" t="inlineStr">
        <is>
          <t>부산광역시 기장군 기장읍 차성로 427</t>
        </is>
      </c>
      <c r="F1641" s="11" t="inlineStr">
        <is>
          <t>http://gyori.es.kr</t>
        </is>
      </c>
      <c r="G1641" s="5" t="inlineStr">
        <is>
          <t>051-720-0503</t>
        </is>
      </c>
      <c r="H1641" s="12">
        <f>초등학교!Q45</f>
        <v/>
      </c>
      <c r="I1641" s="5" t="inlineStr">
        <is>
          <t>1학년 51 / 2학년 68 / 3학년 80 / 4학년 87 / 5학년 86 / 6학년 107 / 특수학급 4</t>
        </is>
      </c>
    </row>
    <row r="1642">
      <c r="A1642" s="5" t="inlineStr">
        <is>
          <t>기장초등학교</t>
        </is>
      </c>
      <c r="B1642" s="5" t="inlineStr">
        <is>
          <t>초등학교</t>
        </is>
      </c>
      <c r="C1642" s="5" t="inlineStr">
        <is>
          <t>공립</t>
        </is>
      </c>
      <c r="D1642" s="5" t="inlineStr">
        <is>
          <t>기장군</t>
        </is>
      </c>
      <c r="E1642" s="5" t="inlineStr">
        <is>
          <t>부산광역시 기장군 기장읍 읍내로 69</t>
        </is>
      </c>
      <c r="F1642" s="11" t="inlineStr">
        <is>
          <t>http://gijang.es.kr/</t>
        </is>
      </c>
      <c r="G1642" s="5" t="inlineStr">
        <is>
          <t>051-720-8600</t>
        </is>
      </c>
      <c r="H1642" s="12">
        <f>초등학교!Q46</f>
        <v/>
      </c>
      <c r="I1642" s="5" t="inlineStr">
        <is>
          <t>1학년 52 / 2학년 63 / 3학년 63 / 4학년 79 / 5학년 87 / 6학년 75 / 특수학급 4</t>
        </is>
      </c>
    </row>
    <row r="1643">
      <c r="A1643" s="5" t="inlineStr">
        <is>
          <t>내리초등학교</t>
        </is>
      </c>
      <c r="B1643" s="5" t="inlineStr">
        <is>
          <t>초등학교</t>
        </is>
      </c>
      <c r="C1643" s="5" t="inlineStr">
        <is>
          <t>공립</t>
        </is>
      </c>
      <c r="D1643" s="5" t="inlineStr">
        <is>
          <t>기장군</t>
        </is>
      </c>
      <c r="E1643" s="5" t="inlineStr">
        <is>
          <t>부산광역시 기장군 기장읍 소정안길 50</t>
        </is>
      </c>
      <c r="F1643" s="11" t="inlineStr">
        <is>
          <t>http://naeri.es.kr</t>
        </is>
      </c>
      <c r="G1643" s="5" t="inlineStr">
        <is>
          <t>051-745-3100</t>
        </is>
      </c>
      <c r="H1643" s="12">
        <f>초등학교!Q47</f>
        <v/>
      </c>
      <c r="I1643" s="5" t="inlineStr">
        <is>
          <t>1학년 17 / 2학년 14 / 3학년 19 / 4학년 25 / 5학년 19 / 6학년 24 / 특수학급 1</t>
        </is>
      </c>
    </row>
    <row r="1644">
      <c r="A1644" s="5" t="inlineStr">
        <is>
          <t>달산초등학교</t>
        </is>
      </c>
      <c r="B1644" s="5" t="inlineStr">
        <is>
          <t>초등학교</t>
        </is>
      </c>
      <c r="C1644" s="5" t="inlineStr">
        <is>
          <t>공립</t>
        </is>
      </c>
      <c r="D1644" s="5" t="inlineStr">
        <is>
          <t>기장군</t>
        </is>
      </c>
      <c r="E1644" s="5" t="inlineStr">
        <is>
          <t>부산광역시 기장군 정관읍 정관로 674</t>
        </is>
      </c>
      <c r="F1644" s="11" t="inlineStr">
        <is>
          <t>http://bsdalsan.es.kr</t>
        </is>
      </c>
      <c r="G1644" s="5" t="inlineStr">
        <is>
          <t>051-750-9900</t>
        </is>
      </c>
      <c r="H1644" s="12">
        <f>초등학교!Q48</f>
        <v/>
      </c>
      <c r="I1644" s="5" t="inlineStr">
        <is>
          <t>1학년 44 / 2학년 57 / 3학년 80 / 4학년 101 / 5학년 96 / 6학년 102 / 특수학급 6</t>
        </is>
      </c>
    </row>
    <row r="1645">
      <c r="A1645" s="5" t="inlineStr">
        <is>
          <t>대청초등학교</t>
        </is>
      </c>
      <c r="B1645" s="5" t="inlineStr">
        <is>
          <t>초등학교</t>
        </is>
      </c>
      <c r="C1645" s="5" t="inlineStr">
        <is>
          <t>공립</t>
        </is>
      </c>
      <c r="D1645" s="5" t="inlineStr">
        <is>
          <t>기장군</t>
        </is>
      </c>
      <c r="E1645" s="5" t="inlineStr">
        <is>
          <t>부산광역시 기장군 기장읍 차성서로 31</t>
        </is>
      </c>
      <c r="F1645" s="11" t="inlineStr">
        <is>
          <t>http://www.daechung.es.kr/</t>
        </is>
      </c>
      <c r="G1645" s="5" t="inlineStr">
        <is>
          <t>051-723-0923</t>
        </is>
      </c>
      <c r="H1645" s="12">
        <f>초등학교!Q49</f>
        <v/>
      </c>
      <c r="I1645" s="5" t="inlineStr">
        <is>
          <t>1학년 68 / 2학년 80 / 3학년 67 / 4학년 75 / 5학년 76 / 6학년 81 / 특수학급 7</t>
        </is>
      </c>
    </row>
    <row r="1646">
      <c r="A1646" s="5" t="inlineStr">
        <is>
          <t>모전초등학교</t>
        </is>
      </c>
      <c r="B1646" s="5" t="inlineStr">
        <is>
          <t>초등학교</t>
        </is>
      </c>
      <c r="C1646" s="5" t="inlineStr">
        <is>
          <t>공립</t>
        </is>
      </c>
      <c r="D1646" s="5" t="inlineStr">
        <is>
          <t>기장군</t>
        </is>
      </c>
      <c r="E1646" s="5" t="inlineStr">
        <is>
          <t>부산광역시 기장군 정관읍 정관1로 17</t>
        </is>
      </c>
      <c r="F1646" s="11" t="inlineStr">
        <is>
          <t>http://bsmojeon.es.kr</t>
        </is>
      </c>
      <c r="G1646" s="5" t="inlineStr">
        <is>
          <t>051-720-6701</t>
        </is>
      </c>
      <c r="H1646" s="12">
        <f>초등학교!Q50</f>
        <v/>
      </c>
      <c r="I1646" s="5" t="inlineStr">
        <is>
          <t>1학년 136 / 2학년 167 / 3학년 199 / 4학년 264 / 5학년 262 / 6학년 292</t>
        </is>
      </c>
    </row>
    <row r="1647">
      <c r="A1647" s="5" t="inlineStr">
        <is>
          <t>방곡초등학교</t>
        </is>
      </c>
      <c r="B1647" s="5" t="inlineStr">
        <is>
          <t>초등학교</t>
        </is>
      </c>
      <c r="C1647" s="5" t="inlineStr">
        <is>
          <t>공립</t>
        </is>
      </c>
      <c r="D1647" s="5" t="inlineStr">
        <is>
          <t>기장군</t>
        </is>
      </c>
      <c r="E1647" s="5" t="inlineStr">
        <is>
          <t>부산광역시 기장군 정관면 정관덕산길 61</t>
        </is>
      </c>
      <c r="F1647" s="11" t="inlineStr">
        <is>
          <t>http://banggok.es.kr</t>
        </is>
      </c>
      <c r="G1647" s="5" t="inlineStr">
        <is>
          <t>051-780-7600</t>
        </is>
      </c>
      <c r="H1647" s="12">
        <f>초등학교!Q51</f>
        <v/>
      </c>
      <c r="I1647" s="5" t="inlineStr">
        <is>
          <t>1학년 97 / 2학년 109 / 3학년 135 / 4학년 150 / 5학년 190 / 6학년 190 / 특수학급 8</t>
        </is>
      </c>
    </row>
    <row r="1648">
      <c r="A1648" s="5" t="inlineStr">
        <is>
          <t>신정초등학교</t>
        </is>
      </c>
      <c r="B1648" s="5" t="inlineStr">
        <is>
          <t>초등학교</t>
        </is>
      </c>
      <c r="C1648" s="5" t="inlineStr">
        <is>
          <t>공립</t>
        </is>
      </c>
      <c r="D1648" s="5" t="inlineStr">
        <is>
          <t>기장군</t>
        </is>
      </c>
      <c r="E1648" s="5" t="inlineStr">
        <is>
          <t>부산광역시 기장군 정관읍 정관로 460</t>
        </is>
      </c>
      <c r="F1648" s="11" t="inlineStr">
        <is>
          <t>http://sinjeong.kr</t>
        </is>
      </c>
      <c r="G1648" s="5" t="inlineStr">
        <is>
          <t>051-745-3500</t>
        </is>
      </c>
      <c r="H1648" s="12">
        <f>초등학교!Q52</f>
        <v/>
      </c>
      <c r="I1648" s="5" t="inlineStr">
        <is>
          <t>1학년 58 / 2학년 75 / 3학년 84 / 4학년 107 / 5학년 138 / 6학년 128 / 특수학급 13</t>
        </is>
      </c>
    </row>
    <row r="1649">
      <c r="A1649" s="5" t="inlineStr">
        <is>
          <t>신진초등학교</t>
        </is>
      </c>
      <c r="B1649" s="5" t="inlineStr">
        <is>
          <t>초등학교</t>
        </is>
      </c>
      <c r="C1649" s="5" t="inlineStr">
        <is>
          <t>공립</t>
        </is>
      </c>
      <c r="D1649" s="5" t="inlineStr">
        <is>
          <t>기장군</t>
        </is>
      </c>
      <c r="E1649" s="5" t="inlineStr">
        <is>
          <t>부산광역시 기장군 철마면 고촌로28번길 10</t>
        </is>
      </c>
      <c r="F1649" s="11" t="inlineStr">
        <is>
          <t>http://school.busanedu.net/sinjin-e/main.do</t>
        </is>
      </c>
      <c r="G1649" s="5" t="inlineStr">
        <is>
          <t>051-720-8500</t>
        </is>
      </c>
      <c r="H1649" s="12">
        <f>초등학교!Q53</f>
        <v/>
      </c>
      <c r="I1649" s="5" t="inlineStr">
        <is>
          <t>1학년 8 / 2학년 14 / 3학년 19 / 4학년 24 / 5학년 24 / 6학년 29 / 특수학급 4</t>
        </is>
      </c>
    </row>
    <row r="1650">
      <c r="A1650" s="5" t="inlineStr">
        <is>
          <t>용암초등학교</t>
        </is>
      </c>
      <c r="B1650" s="5" t="inlineStr">
        <is>
          <t>초등학교</t>
        </is>
      </c>
      <c r="C1650" s="5" t="inlineStr">
        <is>
          <t>공립</t>
        </is>
      </c>
      <c r="D1650" s="5" t="inlineStr">
        <is>
          <t>기장군</t>
        </is>
      </c>
      <c r="E1650" s="5" t="inlineStr">
        <is>
          <t>부산광역시 기장군 기장읍 기장해안로 577</t>
        </is>
      </c>
      <c r="F1650" s="11" t="inlineStr">
        <is>
          <t>http://www.yongam.es.kr</t>
        </is>
      </c>
      <c r="G1650" s="5" t="inlineStr">
        <is>
          <t>051-721-1302</t>
        </is>
      </c>
      <c r="H1650" s="12">
        <f>초등학교!Q54</f>
        <v/>
      </c>
      <c r="I1650" s="5" t="inlineStr">
        <is>
          <t>1학년 8 / 2학년 5 / 3학년 16 / 4학년 11 / 5학년 6 / 6학년 10 / 특수학급 6</t>
        </is>
      </c>
    </row>
    <row r="1651">
      <c r="A1651" s="5" t="inlineStr">
        <is>
          <t>월내초등학교</t>
        </is>
      </c>
      <c r="B1651" s="5" t="inlineStr">
        <is>
          <t>초등학교</t>
        </is>
      </c>
      <c r="C1651" s="5" t="inlineStr">
        <is>
          <t>공립</t>
        </is>
      </c>
      <c r="D1651" s="5" t="inlineStr">
        <is>
          <t>기장군</t>
        </is>
      </c>
      <c r="E1651" s="5" t="inlineStr">
        <is>
          <t>부산광역시 기장군 장안읍 길천2길 25</t>
        </is>
      </c>
      <c r="F1651" s="11" t="inlineStr">
        <is>
          <t>http://www.wollae.es.kr</t>
        </is>
      </c>
      <c r="G1651" s="5" t="inlineStr">
        <is>
          <t>051-719-9700</t>
        </is>
      </c>
      <c r="H1651" s="12">
        <f>초등학교!Q55</f>
        <v/>
      </c>
      <c r="I1651" s="5" t="inlineStr">
        <is>
          <t>1학년 26 / 2학년 16 / 3학년 20 / 4학년 21 / 5학년 28 / 6학년 21 / 특수학급 3</t>
        </is>
      </c>
    </row>
    <row r="1652">
      <c r="A1652" s="5" t="inlineStr">
        <is>
          <t>월평초등학교</t>
        </is>
      </c>
      <c r="B1652" s="5" t="inlineStr">
        <is>
          <t>초등학교</t>
        </is>
      </c>
      <c r="C1652" s="5" t="inlineStr">
        <is>
          <t>공립</t>
        </is>
      </c>
      <c r="D1652" s="5" t="inlineStr">
        <is>
          <t>기장군</t>
        </is>
      </c>
      <c r="E1652" s="5" t="inlineStr">
        <is>
          <t>부산광역시 기장군 정관읍 월평1길 21</t>
        </is>
      </c>
      <c r="F1652" s="11" t="inlineStr">
        <is>
          <t>http://www.bswp.es.kr</t>
        </is>
      </c>
      <c r="G1652" s="5" t="inlineStr">
        <is>
          <t>051-508-8352</t>
        </is>
      </c>
      <c r="H1652" s="12">
        <f>초등학교!Q56</f>
        <v/>
      </c>
      <c r="I1652" s="5" t="inlineStr">
        <is>
          <t>1학년 6 / 2학년 3 / 3학년 9 / 4학년 7 / 5학년 8 / 6학년 7 / 특수학급 5</t>
        </is>
      </c>
    </row>
    <row r="1653">
      <c r="A1653" s="5" t="inlineStr">
        <is>
          <t>일광초등학교</t>
        </is>
      </c>
      <c r="B1653" s="5" t="inlineStr">
        <is>
          <t>초등학교</t>
        </is>
      </c>
      <c r="C1653" s="5" t="inlineStr">
        <is>
          <t>공립</t>
        </is>
      </c>
      <c r="D1653" s="5" t="inlineStr">
        <is>
          <t>기장군</t>
        </is>
      </c>
      <c r="E1653" s="5" t="inlineStr">
        <is>
          <t>부산광역시 기장군 일광읍 해빛로 46</t>
        </is>
      </c>
      <c r="F1653" s="11" t="inlineStr">
        <is>
          <t>http://school.busanedu.net/ilgwang-e/main.do</t>
        </is>
      </c>
      <c r="G1653" s="5" t="inlineStr">
        <is>
          <t>051-930-7770</t>
        </is>
      </c>
      <c r="H1653" s="12">
        <f>초등학교!Q57</f>
        <v/>
      </c>
      <c r="I1653" s="5" t="inlineStr">
        <is>
          <t>1학년 141 / 2학년 145 / 3학년 187 / 4학년 194 / 5학년 181 / 6학년 176 / 특수학급 11</t>
        </is>
      </c>
    </row>
    <row r="1654">
      <c r="A1654" s="5" t="inlineStr">
        <is>
          <t>장안초등학교</t>
        </is>
      </c>
      <c r="B1654" s="5" t="inlineStr">
        <is>
          <t>초등학교</t>
        </is>
      </c>
      <c r="C1654" s="5" t="inlineStr">
        <is>
          <t>공립</t>
        </is>
      </c>
      <c r="D1654" s="5" t="inlineStr">
        <is>
          <t>기장군</t>
        </is>
      </c>
      <c r="E1654" s="5" t="inlineStr">
        <is>
          <t>부산광역시 기장군 장안읍 장안로 67-4</t>
        </is>
      </c>
      <c r="F1654" s="11" t="inlineStr">
        <is>
          <t>http://www.jangancho.es.kr</t>
        </is>
      </c>
      <c r="G1654" s="5" t="inlineStr">
        <is>
          <t>051-720-1000</t>
        </is>
      </c>
      <c r="H1654" s="12">
        <f>초등학교!Q58</f>
        <v/>
      </c>
      <c r="I1654" s="5" t="inlineStr">
        <is>
          <t>1학년 14 / 2학년 4 / 3학년 11 / 4학년 12 / 5학년 8 / 6학년 10</t>
        </is>
      </c>
    </row>
    <row r="1655">
      <c r="A1655" s="5" t="inlineStr">
        <is>
          <t>정관초등학교</t>
        </is>
      </c>
      <c r="B1655" s="5" t="inlineStr">
        <is>
          <t>초등학교</t>
        </is>
      </c>
      <c r="C1655" s="5" t="inlineStr">
        <is>
          <t>공립</t>
        </is>
      </c>
      <c r="D1655" s="5" t="inlineStr">
        <is>
          <t>기장군</t>
        </is>
      </c>
      <c r="E1655" s="5" t="inlineStr">
        <is>
          <t>부산광역시 기장군 정관읍 정관로 530</t>
        </is>
      </c>
      <c r="F1655" s="11" t="inlineStr">
        <is>
          <t>http://www.jungkwan.es.kr/</t>
        </is>
      </c>
      <c r="G1655" s="5" t="inlineStr">
        <is>
          <t>051-720-1500</t>
        </is>
      </c>
      <c r="H1655" s="12">
        <f>초등학교!Q59</f>
        <v/>
      </c>
      <c r="I1655" s="5" t="inlineStr">
        <is>
          <t>1학년 115 / 2학년 158 / 3학년 171 / 4학년 233 / 5학년 215 / 6학년 240 / 특수학급 8</t>
        </is>
      </c>
    </row>
    <row r="1656">
      <c r="A1656" s="5" t="inlineStr">
        <is>
          <t>정원초등학교</t>
        </is>
      </c>
      <c r="B1656" s="5" t="inlineStr">
        <is>
          <t>초등학교</t>
        </is>
      </c>
      <c r="C1656" s="5" t="inlineStr">
        <is>
          <t>공립</t>
        </is>
      </c>
      <c r="D1656" s="5" t="inlineStr">
        <is>
          <t>기장군</t>
        </is>
      </c>
      <c r="E1656" s="5" t="inlineStr">
        <is>
          <t>부산광역시 기장군 정관읍 정관로 423</t>
        </is>
      </c>
      <c r="F1656" s="11" t="inlineStr">
        <is>
          <t>http://jeongwon.es.kr</t>
        </is>
      </c>
      <c r="G1656" s="5" t="inlineStr">
        <is>
          <t>051-750-9100</t>
        </is>
      </c>
      <c r="H1656" s="12">
        <f>초등학교!Q60</f>
        <v/>
      </c>
      <c r="I1656" s="5" t="inlineStr">
        <is>
          <t>1학년 97 / 2학년 113 / 3학년 124 / 4학년 164 / 5학년 189 / 6학년 191 / 특수학급 13</t>
        </is>
      </c>
    </row>
    <row r="1657">
      <c r="A1657" s="5" t="inlineStr">
        <is>
          <t>좌천초등학교</t>
        </is>
      </c>
      <c r="B1657" s="5" t="inlineStr">
        <is>
          <t>초등학교</t>
        </is>
      </c>
      <c r="C1657" s="5" t="inlineStr">
        <is>
          <t>공립</t>
        </is>
      </c>
      <c r="D1657" s="5" t="inlineStr">
        <is>
          <t>기장군</t>
        </is>
      </c>
      <c r="E1657" s="5" t="inlineStr">
        <is>
          <t>부산광역시 기장군 장안읍 좌천로 13-66</t>
        </is>
      </c>
      <c r="F1657" s="11" t="inlineStr">
        <is>
          <t>http://www.jwacheon.es.kr</t>
        </is>
      </c>
      <c r="G1657" s="5" t="inlineStr">
        <is>
          <t>051-720-4101</t>
        </is>
      </c>
      <c r="H1657" s="12">
        <f>초등학교!Q61</f>
        <v/>
      </c>
      <c r="I1657" s="5" t="inlineStr">
        <is>
          <t>1학년 4 / 3학년 3 / 4학년 8 / 5학년 6 / 6학년 9 / 특수학급 4</t>
        </is>
      </c>
    </row>
    <row r="1658">
      <c r="A1658" s="5" t="inlineStr">
        <is>
          <t>죽성초등학교</t>
        </is>
      </c>
      <c r="B1658" s="5" t="inlineStr">
        <is>
          <t>초등학교</t>
        </is>
      </c>
      <c r="C1658" s="5" t="inlineStr">
        <is>
          <t>공립</t>
        </is>
      </c>
      <c r="D1658" s="5" t="inlineStr">
        <is>
          <t>기장군</t>
        </is>
      </c>
      <c r="E1658" s="5" t="inlineStr">
        <is>
          <t>부산광역시 기장군 기장읍 죽성로 270</t>
        </is>
      </c>
      <c r="F1658" s="11" t="inlineStr">
        <is>
          <t>http://www.jukseong.es.kr</t>
        </is>
      </c>
      <c r="G1658" s="5" t="inlineStr">
        <is>
          <t>051-721-2768</t>
        </is>
      </c>
      <c r="H1658" s="12">
        <f>초등학교!Q62</f>
        <v/>
      </c>
      <c r="I1658" s="5" t="inlineStr">
        <is>
          <t>1학년 9 / 2학년 9 / 3학년 12 / 4학년 13 / 5학년 9 / 6학년 16 / 특수학급 5</t>
        </is>
      </c>
    </row>
    <row r="1659">
      <c r="A1659" s="5" t="inlineStr">
        <is>
          <t>철마초등학교</t>
        </is>
      </c>
      <c r="B1659" s="5" t="inlineStr">
        <is>
          <t>초등학교</t>
        </is>
      </c>
      <c r="C1659" s="5" t="inlineStr">
        <is>
          <t>공립</t>
        </is>
      </c>
      <c r="D1659" s="5" t="inlineStr">
        <is>
          <t>기장군</t>
        </is>
      </c>
      <c r="E1659" s="5" t="inlineStr">
        <is>
          <t>부산광역시 기장군 철마면 철마로 493</t>
        </is>
      </c>
      <c r="F1659" s="11" t="inlineStr">
        <is>
          <t>http://chulma.es.kr/</t>
        </is>
      </c>
      <c r="G1659" s="5" t="inlineStr">
        <is>
          <t>051-780-7500</t>
        </is>
      </c>
      <c r="H1659" s="12">
        <f>초등학교!Q63</f>
        <v/>
      </c>
      <c r="I1659" s="5" t="inlineStr">
        <is>
          <t>1학년 15 / 2학년 10 / 3학년 13 / 4학년 15 / 5학년 13 / 6학년 15</t>
        </is>
      </c>
    </row>
    <row r="1660">
      <c r="A1660" s="5" t="inlineStr">
        <is>
          <t>칠암초등학교</t>
        </is>
      </c>
      <c r="B1660" s="5" t="inlineStr">
        <is>
          <t>초등학교</t>
        </is>
      </c>
      <c r="C1660" s="5" t="inlineStr">
        <is>
          <t>공립</t>
        </is>
      </c>
      <c r="D1660" s="5" t="inlineStr">
        <is>
          <t>기장군</t>
        </is>
      </c>
      <c r="E1660" s="5" t="inlineStr">
        <is>
          <t>부산광역시 기장군 일광읍 박영준길 19</t>
        </is>
      </c>
      <c r="F1660" s="11" t="inlineStr">
        <is>
          <t>http://www.chilam.es.kr</t>
        </is>
      </c>
      <c r="G1660" s="5" t="inlineStr">
        <is>
          <t>051-727-0526</t>
        </is>
      </c>
      <c r="H1660" s="12">
        <f>초등학교!Q64</f>
        <v/>
      </c>
      <c r="I1660" s="5" t="inlineStr">
        <is>
          <t>1학년 7 / 2학년 6 / 3학년 8 / 4학년 9 / 5학년 9 / 6학년 10 / 특수학급 4</t>
        </is>
      </c>
    </row>
    <row r="1661">
      <c r="A1661" s="5" t="inlineStr">
        <is>
          <t>해빛초등학교</t>
        </is>
      </c>
      <c r="B1661" s="5" t="inlineStr">
        <is>
          <t>초등학교</t>
        </is>
      </c>
      <c r="C1661" s="5" t="inlineStr">
        <is>
          <t>공립</t>
        </is>
      </c>
      <c r="D1661" s="5" t="inlineStr">
        <is>
          <t>기장군</t>
        </is>
      </c>
      <c r="E1661" s="5" t="inlineStr">
        <is>
          <t>부산광역시 기장군 일광면 해빛6로 9</t>
        </is>
      </c>
      <c r="F1661" s="11" t="inlineStr">
        <is>
          <t>http://haebit.es.kr</t>
        </is>
      </c>
      <c r="G1661" s="5" t="inlineStr">
        <is>
          <t>051-790-8300</t>
        </is>
      </c>
      <c r="H1661" s="12">
        <f>초등학교!Q65</f>
        <v/>
      </c>
      <c r="I1661" s="5" t="inlineStr">
        <is>
          <t>1학년 186 / 2학년 179 / 3학년 163 / 4학년 203 / 5학년 191 / 6학년 178 / 특수학급 12</t>
        </is>
      </c>
    </row>
    <row r="1662">
      <c r="A1662" s="5" t="inlineStr">
        <is>
          <t>대남초등학교</t>
        </is>
      </c>
      <c r="B1662" s="5" t="inlineStr">
        <is>
          <t>초등학교</t>
        </is>
      </c>
      <c r="C1662" s="5" t="inlineStr">
        <is>
          <t>공립</t>
        </is>
      </c>
      <c r="D1662" s="5" t="inlineStr">
        <is>
          <t>남구</t>
        </is>
      </c>
      <c r="E1662" s="5" t="inlineStr">
        <is>
          <t>부산광역시 남구 황령대로 343번길 9-55</t>
        </is>
      </c>
      <c r="F1662" s="11" t="inlineStr">
        <is>
          <t>http://daenam.es.kr/</t>
        </is>
      </c>
      <c r="G1662" s="5" t="inlineStr">
        <is>
          <t>051-622-9434</t>
        </is>
      </c>
      <c r="H1662" s="12">
        <f>초등학교!Q66</f>
        <v/>
      </c>
      <c r="I1662" s="5" t="inlineStr">
        <is>
          <t>1학년 29 / 2학년 45 / 3학년 59 / 4학년 35 / 5학년 63 / 6학년 42 / 특수학급 5</t>
        </is>
      </c>
    </row>
    <row r="1663">
      <c r="A1663" s="5" t="inlineStr">
        <is>
          <t>대연초등학교</t>
        </is>
      </c>
      <c r="B1663" s="5" t="inlineStr">
        <is>
          <t>초등학교</t>
        </is>
      </c>
      <c r="C1663" s="5" t="inlineStr">
        <is>
          <t>공립</t>
        </is>
      </c>
      <c r="D1663" s="5" t="inlineStr">
        <is>
          <t>남구</t>
        </is>
      </c>
      <c r="E1663" s="5" t="inlineStr">
        <is>
          <t>부산광역시 남구 진남로18번길 11</t>
        </is>
      </c>
      <c r="F1663" s="11" t="inlineStr">
        <is>
          <t>http://www.daeyeon.es.kr</t>
        </is>
      </c>
      <c r="G1663" s="5" t="inlineStr">
        <is>
          <t>051-610-7600</t>
        </is>
      </c>
      <c r="H1663" s="12">
        <f>초등학교!Q67</f>
        <v/>
      </c>
      <c r="I1663" s="5" t="inlineStr">
        <is>
          <t>1학년 72 / 2학년 86 / 3학년 106 / 4학년 125 / 5학년 141 / 6학년 163 / 특수학급 10</t>
        </is>
      </c>
    </row>
    <row r="1664">
      <c r="A1664" s="5" t="inlineStr">
        <is>
          <t>대천초등학교</t>
        </is>
      </c>
      <c r="B1664" s="5" t="inlineStr">
        <is>
          <t>초등학교</t>
        </is>
      </c>
      <c r="C1664" s="5" t="inlineStr">
        <is>
          <t>공립</t>
        </is>
      </c>
      <c r="D1664" s="5" t="inlineStr">
        <is>
          <t>남구</t>
        </is>
      </c>
      <c r="E1664" s="5" t="inlineStr">
        <is>
          <t>부산광역시 남구 조각공원로 19</t>
        </is>
      </c>
      <c r="F1664" s="11" t="inlineStr">
        <is>
          <t>http://www.daechon.es.kr</t>
        </is>
      </c>
      <c r="G1664" s="5" t="inlineStr">
        <is>
          <t>051-622-3101</t>
        </is>
      </c>
      <c r="H1664" s="12">
        <f>초등학교!Q68</f>
        <v/>
      </c>
      <c r="I1664" s="5" t="inlineStr">
        <is>
          <t>1학년 57 / 2학년 50 / 3학년 73 / 4학년 89 / 5학년 104 / 6학년 87 / 특수학급 7</t>
        </is>
      </c>
    </row>
    <row r="1665">
      <c r="A1665" s="5" t="inlineStr">
        <is>
          <t>동천초등학교</t>
        </is>
      </c>
      <c r="B1665" s="5" t="inlineStr">
        <is>
          <t>초등학교</t>
        </is>
      </c>
      <c r="C1665" s="5" t="inlineStr">
        <is>
          <t>공립</t>
        </is>
      </c>
      <c r="D1665" s="5" t="inlineStr">
        <is>
          <t>남구</t>
        </is>
      </c>
      <c r="E1665" s="5" t="inlineStr">
        <is>
          <t>부산광역시 남구 석포로26번길 22</t>
        </is>
      </c>
      <c r="F1665" s="11" t="inlineStr">
        <is>
          <t>https://school.busanedu.net/dong-cheon-e/main.do</t>
        </is>
      </c>
      <c r="G1665" s="5" t="inlineStr">
        <is>
          <t>051-644-2853</t>
        </is>
      </c>
      <c r="H1665" s="12">
        <f>초등학교!Q69</f>
        <v/>
      </c>
      <c r="I1665" s="5" t="inlineStr">
        <is>
          <t>1학년 25 / 2학년 22 / 3학년 32 / 4학년 46 / 5학년 51 / 6학년 44 / 특수학급 3</t>
        </is>
      </c>
    </row>
    <row r="1666">
      <c r="A1666" s="5" t="inlineStr">
        <is>
          <t>동항초등학교</t>
        </is>
      </c>
      <c r="B1666" s="5" t="inlineStr">
        <is>
          <t>초등학교</t>
        </is>
      </c>
      <c r="C1666" s="5" t="inlineStr">
        <is>
          <t>공립</t>
        </is>
      </c>
      <c r="D1666" s="5" t="inlineStr">
        <is>
          <t>남구</t>
        </is>
      </c>
      <c r="E1666" s="5" t="inlineStr">
        <is>
          <t>부산광역시 남구 우암로 42</t>
        </is>
      </c>
      <c r="F1666" s="11" t="inlineStr">
        <is>
          <t>http://donghang.es.kr</t>
        </is>
      </c>
      <c r="G1666" s="5" t="inlineStr">
        <is>
          <t>051-643-8236</t>
        </is>
      </c>
      <c r="H1666" s="12">
        <f>초등학교!Q70</f>
        <v/>
      </c>
      <c r="I1666" s="5" t="inlineStr">
        <is>
          <t>1학년 7 / 2학년 11 / 3학년 20 / 4학년 8 / 5학년 30 / 6학년 17 / 특수학급 4</t>
        </is>
      </c>
    </row>
    <row r="1667">
      <c r="A1667" s="5" t="inlineStr">
        <is>
          <t>문현초등학교</t>
        </is>
      </c>
      <c r="B1667" s="5" t="inlineStr">
        <is>
          <t>초등학교</t>
        </is>
      </c>
      <c r="C1667" s="5" t="inlineStr">
        <is>
          <t>공립</t>
        </is>
      </c>
      <c r="D1667" s="5" t="inlineStr">
        <is>
          <t>남구</t>
        </is>
      </c>
      <c r="E1667" s="5" t="inlineStr">
        <is>
          <t>부산광역시 남구 고동골로 86-13</t>
        </is>
      </c>
      <c r="F1667" s="11" t="inlineStr">
        <is>
          <t>https://school.busanedu.net/moonhyun-e</t>
        </is>
      </c>
      <c r="G1667" s="5" t="inlineStr">
        <is>
          <t>051-646-8565</t>
        </is>
      </c>
      <c r="H1667" s="12">
        <f>초등학교!Q71</f>
        <v/>
      </c>
      <c r="I1667" s="5" t="inlineStr">
        <is>
          <t>1학년 52 / 2학년 60 / 3학년 76 / 4학년 75 / 5학년 88 / 6학년 91 / 특수학급 7</t>
        </is>
      </c>
    </row>
    <row r="1668">
      <c r="A1668" s="5" t="inlineStr">
        <is>
          <t>백운초등학교</t>
        </is>
      </c>
      <c r="B1668" s="5" t="inlineStr">
        <is>
          <t>초등학교</t>
        </is>
      </c>
      <c r="C1668" s="5" t="inlineStr">
        <is>
          <t>공립</t>
        </is>
      </c>
      <c r="D1668" s="5" t="inlineStr">
        <is>
          <t>남구</t>
        </is>
      </c>
      <c r="E1668" s="5" t="inlineStr">
        <is>
          <t>부산광역시 남구 동명로 76</t>
        </is>
      </c>
      <c r="F1668" s="11" t="inlineStr">
        <is>
          <t>https://school.busanedu.net/baekwoon-e</t>
        </is>
      </c>
      <c r="G1668" s="5" t="inlineStr">
        <is>
          <t>051-7908-700</t>
        </is>
      </c>
      <c r="H1668" s="12">
        <f>초등학교!Q72</f>
        <v/>
      </c>
      <c r="I1668" s="5" t="inlineStr">
        <is>
          <t>1학년 14 / 2학년 9 / 3학년 18 / 4학년 25 / 5학년 18 / 6학년 30 / 특수학급 8</t>
        </is>
      </c>
    </row>
    <row r="1669">
      <c r="A1669" s="5" t="inlineStr">
        <is>
          <t>분포초등학교</t>
        </is>
      </c>
      <c r="B1669" s="5" t="inlineStr">
        <is>
          <t>초등학교</t>
        </is>
      </c>
      <c r="C1669" s="5" t="inlineStr">
        <is>
          <t>공립</t>
        </is>
      </c>
      <c r="D1669" s="5" t="inlineStr">
        <is>
          <t>남구</t>
        </is>
      </c>
      <c r="E1669" s="5" t="inlineStr">
        <is>
          <t>부산광역시 남구 분포로 41</t>
        </is>
      </c>
      <c r="F1669" s="11" t="inlineStr">
        <is>
          <t>http://www.bunpo.es.kr</t>
        </is>
      </c>
      <c r="G1669" s="5" t="inlineStr">
        <is>
          <t>051-626-4251</t>
        </is>
      </c>
      <c r="H1669" s="12">
        <f>초등학교!Q73</f>
        <v/>
      </c>
      <c r="I1669" s="5" t="inlineStr">
        <is>
          <t>1학년 116 / 2학년 116 / 3학년 139 / 4학년 163 / 5학년 181 / 6학년 197 / 특수학급 5</t>
        </is>
      </c>
    </row>
    <row r="1670">
      <c r="A1670" s="5" t="inlineStr">
        <is>
          <t>석포초등학교</t>
        </is>
      </c>
      <c r="B1670" s="5" t="inlineStr">
        <is>
          <t>초등학교</t>
        </is>
      </c>
      <c r="C1670" s="5" t="inlineStr">
        <is>
          <t>공립</t>
        </is>
      </c>
      <c r="D1670" s="5" t="inlineStr">
        <is>
          <t>남구</t>
        </is>
      </c>
      <c r="E1670" s="5" t="inlineStr">
        <is>
          <t>부산광역시 남구 석포로86번길 76</t>
        </is>
      </c>
      <c r="F1670" s="11" t="inlineStr">
        <is>
          <t>http://www.sukpo.es.kr</t>
        </is>
      </c>
      <c r="G1670" s="5" t="inlineStr">
        <is>
          <t>051-629-9200</t>
        </is>
      </c>
      <c r="H1670" s="12">
        <f>초등학교!Q74</f>
        <v/>
      </c>
      <c r="I1670" s="5" t="inlineStr">
        <is>
          <t>1학년 94 / 2학년 110 / 3학년 107 / 4학년 89 / 5학년 116 / 6학년 113 / 특수학급 9</t>
        </is>
      </c>
    </row>
    <row r="1671">
      <c r="A1671" s="5" t="inlineStr">
        <is>
          <t>성동초등학교</t>
        </is>
      </c>
      <c r="B1671" s="5" t="inlineStr">
        <is>
          <t>초등학교</t>
        </is>
      </c>
      <c r="C1671" s="5" t="inlineStr">
        <is>
          <t>공립</t>
        </is>
      </c>
      <c r="D1671" s="5" t="inlineStr">
        <is>
          <t>남구</t>
        </is>
      </c>
      <c r="E1671" s="5" t="inlineStr">
        <is>
          <t>부산광역시 남구 전포대로68번길 27</t>
        </is>
      </c>
      <c r="F1671" s="11" t="inlineStr">
        <is>
          <t>http://www.esungdong.es.kr</t>
        </is>
      </c>
      <c r="G1671" s="5" t="inlineStr">
        <is>
          <t>051-950-1000</t>
        </is>
      </c>
      <c r="H1671" s="12">
        <f>초등학교!Q75</f>
        <v/>
      </c>
      <c r="I1671" s="5" t="inlineStr">
        <is>
          <t>1학년 76 / 2학년 83 / 3학년 111 / 4학년 140 / 5학년 129 / 6학년 130 / 특수학급 9</t>
        </is>
      </c>
    </row>
    <row r="1672">
      <c r="A1672" s="5" t="inlineStr">
        <is>
          <t>성천초등학교</t>
        </is>
      </c>
      <c r="B1672" s="5" t="inlineStr">
        <is>
          <t>초등학교</t>
        </is>
      </c>
      <c r="C1672" s="5" t="inlineStr">
        <is>
          <t>공립</t>
        </is>
      </c>
      <c r="D1672" s="5" t="inlineStr">
        <is>
          <t>남구</t>
        </is>
      </c>
      <c r="E1672" s="5" t="inlineStr">
        <is>
          <t>부산광역시 남구 장고개로 64-41</t>
        </is>
      </c>
      <c r="F1672" s="11" t="inlineStr">
        <is>
          <t>http://www.sungchun.es.kr</t>
        </is>
      </c>
      <c r="G1672" s="5" t="inlineStr">
        <is>
          <t>051-645-8097</t>
        </is>
      </c>
      <c r="H1672" s="12">
        <f>초등학교!Q76</f>
        <v/>
      </c>
      <c r="I1672" s="5" t="inlineStr">
        <is>
          <t>1학년 9 / 2학년 16 / 3학년 21 / 4학년 22 / 5학년 20 / 6학년 10 / 특수학급 4</t>
        </is>
      </c>
    </row>
    <row r="1673">
      <c r="A1673" s="5" t="inlineStr">
        <is>
          <t>신연초등학교</t>
        </is>
      </c>
      <c r="B1673" s="5" t="inlineStr">
        <is>
          <t>초등학교</t>
        </is>
      </c>
      <c r="C1673" s="5" t="inlineStr">
        <is>
          <t>공립</t>
        </is>
      </c>
      <c r="D1673" s="5" t="inlineStr">
        <is>
          <t>남구</t>
        </is>
      </c>
      <c r="E1673" s="5" t="inlineStr">
        <is>
          <t>부산광역시 남구 유엔로35번길 46</t>
        </is>
      </c>
      <c r="F1673" s="11" t="inlineStr">
        <is>
          <t>http://www.sinyeon.es.kr/</t>
        </is>
      </c>
      <c r="G1673" s="5" t="inlineStr">
        <is>
          <t>051-260-8620</t>
        </is>
      </c>
      <c r="H1673" s="12">
        <f>초등학교!Q77</f>
        <v/>
      </c>
      <c r="I1673" s="5" t="inlineStr">
        <is>
          <t>1학년 26 / 2학년 28 / 3학년 36 / 4학년 12 / 5학년 33 / 6학년 24 / 특수학급 3</t>
        </is>
      </c>
    </row>
    <row r="1674">
      <c r="A1674" s="5" t="inlineStr">
        <is>
          <t>연포초등학교</t>
        </is>
      </c>
      <c r="B1674" s="5" t="inlineStr">
        <is>
          <t>초등학교</t>
        </is>
      </c>
      <c r="C1674" s="5" t="inlineStr">
        <is>
          <t>공립</t>
        </is>
      </c>
      <c r="D1674" s="5" t="inlineStr">
        <is>
          <t>남구</t>
        </is>
      </c>
      <c r="E1674" s="5" t="inlineStr">
        <is>
          <t>부산광역시 남구 못골로 17</t>
        </is>
      </c>
      <c r="F1674" s="11" t="inlineStr">
        <is>
          <t>http://yeonpo.es.kr</t>
        </is>
      </c>
      <c r="G1674" s="5" t="inlineStr">
        <is>
          <t>051-630-1000</t>
        </is>
      </c>
      <c r="H1674" s="12">
        <f>초등학교!Q78</f>
        <v/>
      </c>
      <c r="I1674" s="5" t="inlineStr">
        <is>
          <t>1학년 176 / 2학년 165 / 3학년 191 / 4학년 218 / 5학년 215 / 6학년 218 / 특수학급 7</t>
        </is>
      </c>
    </row>
    <row r="1675">
      <c r="A1675" s="5" t="inlineStr">
        <is>
          <t>오륙도초등학교</t>
        </is>
      </c>
      <c r="B1675" s="5" t="inlineStr">
        <is>
          <t>초등학교</t>
        </is>
      </c>
      <c r="C1675" s="5" t="inlineStr">
        <is>
          <t>공립</t>
        </is>
      </c>
      <c r="D1675" s="5" t="inlineStr">
        <is>
          <t>남구</t>
        </is>
      </c>
      <c r="E1675" s="5" t="inlineStr">
        <is>
          <t>부산광역시 남구 오륙도로 57</t>
        </is>
      </c>
      <c r="F1675" s="11" t="inlineStr">
        <is>
          <t>http://www.oryukdo.es.kr/</t>
        </is>
      </c>
      <c r="G1675" s="5" t="inlineStr">
        <is>
          <t>051-610-6805</t>
        </is>
      </c>
      <c r="H1675" s="12">
        <f>초등학교!Q79</f>
        <v/>
      </c>
      <c r="I1675" s="5" t="inlineStr">
        <is>
          <t>1학년 62 / 2학년 61 / 3학년 70 / 4학년 86 / 5학년 87 / 6학년 81</t>
        </is>
      </c>
    </row>
    <row r="1676">
      <c r="A1676" s="5" t="inlineStr">
        <is>
          <t>용당초등학교</t>
        </is>
      </c>
      <c r="B1676" s="5" t="inlineStr">
        <is>
          <t>초등학교</t>
        </is>
      </c>
      <c r="C1676" s="5" t="inlineStr">
        <is>
          <t>공립</t>
        </is>
      </c>
      <c r="D1676" s="5" t="inlineStr">
        <is>
          <t>남구</t>
        </is>
      </c>
      <c r="E1676" s="5" t="inlineStr">
        <is>
          <t>부산광역시 남구 신선로 341</t>
        </is>
      </c>
      <c r="F1676" s="11" t="inlineStr">
        <is>
          <t>http://yongdang.es.kr/</t>
        </is>
      </c>
      <c r="G1676" s="5" t="inlineStr">
        <is>
          <t>051-624-4013</t>
        </is>
      </c>
      <c r="H1676" s="12">
        <f>초등학교!Q80</f>
        <v/>
      </c>
      <c r="I1676" s="5" t="inlineStr">
        <is>
          <t>1학년 7 / 2학년 3 / 3학년 8 / 4학년 13 / 5학년 20 / 6학년 10 / 특수학급 6</t>
        </is>
      </c>
    </row>
    <row r="1677">
      <c r="A1677" s="5" t="inlineStr">
        <is>
          <t>용문초등학교</t>
        </is>
      </c>
      <c r="B1677" s="5" t="inlineStr">
        <is>
          <t>초등학교</t>
        </is>
      </c>
      <c r="C1677" s="5" t="inlineStr">
        <is>
          <t>공립</t>
        </is>
      </c>
      <c r="D1677" s="5" t="inlineStr">
        <is>
          <t>남구</t>
        </is>
      </c>
      <c r="E1677" s="5" t="inlineStr">
        <is>
          <t>부산광역시 남구 신선로 542</t>
        </is>
      </c>
      <c r="F1677" s="11" t="inlineStr">
        <is>
          <t>http://yong-mun.es.kr/</t>
        </is>
      </c>
      <c r="G1677" s="5" t="inlineStr">
        <is>
          <t>051-623-4864</t>
        </is>
      </c>
      <c r="H1677" s="12">
        <f>초등학교!Q81</f>
        <v/>
      </c>
      <c r="I1677" s="5" t="inlineStr">
        <is>
          <t>1학년 97 / 2학년 113 / 3학년 120 / 4학년 148 / 5학년 171 / 6학년 150</t>
        </is>
      </c>
    </row>
    <row r="1678">
      <c r="A1678" s="5" t="inlineStr">
        <is>
          <t>용산초등학교</t>
        </is>
      </c>
      <c r="B1678" s="5" t="inlineStr">
        <is>
          <t>초등학교</t>
        </is>
      </c>
      <c r="C1678" s="5" t="inlineStr">
        <is>
          <t>공립</t>
        </is>
      </c>
      <c r="D1678" s="5" t="inlineStr">
        <is>
          <t>남구</t>
        </is>
      </c>
      <c r="E1678" s="5" t="inlineStr">
        <is>
          <t>부산광역시 남구 동명로 176번길 55</t>
        </is>
      </c>
      <c r="F1678" s="11" t="inlineStr">
        <is>
          <t>http://school.busanedu.net/yong-san-e/main.do</t>
        </is>
      </c>
      <c r="G1678" s="5" t="inlineStr">
        <is>
          <t>051-610-7300</t>
        </is>
      </c>
      <c r="H1678" s="12">
        <f>초등학교!Q82</f>
        <v/>
      </c>
      <c r="I1678" s="5" t="inlineStr">
        <is>
          <t>1학년 15 / 2학년 26 / 3학년 38 / 4학년 41 / 5학년 56 / 6학년 49 / 특수학급 6</t>
        </is>
      </c>
    </row>
    <row r="1679">
      <c r="A1679" s="5" t="inlineStr">
        <is>
          <t>용소초등학교</t>
        </is>
      </c>
      <c r="B1679" s="5" t="inlineStr">
        <is>
          <t>초등학교</t>
        </is>
      </c>
      <c r="C1679" s="5" t="inlineStr">
        <is>
          <t>공립</t>
        </is>
      </c>
      <c r="D1679" s="5" t="inlineStr">
        <is>
          <t>남구</t>
        </is>
      </c>
      <c r="E1679" s="5" t="inlineStr">
        <is>
          <t>부산광역시 남구 수영로325번길 114</t>
        </is>
      </c>
      <c r="F1679" s="11" t="inlineStr">
        <is>
          <t>http://yong-so.es.kr/</t>
        </is>
      </c>
      <c r="G1679" s="5" t="inlineStr">
        <is>
          <t>051-750-9700</t>
        </is>
      </c>
      <c r="H1679" s="12">
        <f>초등학교!Q83</f>
        <v/>
      </c>
      <c r="I1679" s="5" t="inlineStr">
        <is>
          <t>1학년 114 / 2학년 143 / 3학년 157 / 4학년 193 / 5학년 182 / 6학년 213 / 특수학급 7</t>
        </is>
      </c>
    </row>
    <row r="1680">
      <c r="A1680" s="5" t="inlineStr">
        <is>
          <t>용호초등학교</t>
        </is>
      </c>
      <c r="B1680" s="5" t="inlineStr">
        <is>
          <t>초등학교</t>
        </is>
      </c>
      <c r="C1680" s="5" t="inlineStr">
        <is>
          <t>공립</t>
        </is>
      </c>
      <c r="D1680" s="5" t="inlineStr">
        <is>
          <t>남구</t>
        </is>
      </c>
      <c r="E1680" s="5" t="inlineStr">
        <is>
          <t>부산광역시 남구 용호로42번길 94</t>
        </is>
      </c>
      <c r="F1680" s="11" t="inlineStr">
        <is>
          <t>http://yh.es.kr/</t>
        </is>
      </c>
      <c r="G1680" s="5" t="inlineStr">
        <is>
          <t>051-718-2204</t>
        </is>
      </c>
      <c r="H1680" s="12">
        <f>초등학교!Q84</f>
        <v/>
      </c>
      <c r="I1680" s="5" t="inlineStr">
        <is>
          <t>1학년 32 / 2학년 45 / 3학년 50 / 4학년 65 / 5학년 73 / 6학년 74 / 특수학급 10</t>
        </is>
      </c>
    </row>
    <row r="1681">
      <c r="A1681" s="5" t="inlineStr">
        <is>
          <t>우암초등학교</t>
        </is>
      </c>
      <c r="B1681" s="5" t="inlineStr">
        <is>
          <t>초등학교</t>
        </is>
      </c>
      <c r="C1681" s="5" t="inlineStr">
        <is>
          <t>공립</t>
        </is>
      </c>
      <c r="D1681" s="5" t="inlineStr">
        <is>
          <t>남구</t>
        </is>
      </c>
      <c r="E1681" s="5" t="inlineStr">
        <is>
          <t>부산광역시 남구 우암로 190-19</t>
        </is>
      </c>
      <c r="F1681" s="11" t="inlineStr">
        <is>
          <t>http://www.uambusan.es.kr/</t>
        </is>
      </c>
      <c r="G1681" s="5" t="inlineStr">
        <is>
          <t>070-8709-2103</t>
        </is>
      </c>
      <c r="H1681" s="12">
        <f>초등학교!Q85</f>
        <v/>
      </c>
      <c r="I1681" s="5" t="inlineStr">
        <is>
          <t>1학년 33 / 2학년 38 / 3학년 42 / 4학년 40 / 5학년 50 / 6학년 56 / 특수학급 5</t>
        </is>
      </c>
    </row>
    <row r="1682">
      <c r="A1682" s="5" t="inlineStr">
        <is>
          <t>운산초등학교</t>
        </is>
      </c>
      <c r="B1682" s="5" t="inlineStr">
        <is>
          <t>초등학교</t>
        </is>
      </c>
      <c r="C1682" s="5" t="inlineStr">
        <is>
          <t>공립</t>
        </is>
      </c>
      <c r="D1682" s="5" t="inlineStr">
        <is>
          <t>남구</t>
        </is>
      </c>
      <c r="E1682" s="5" t="inlineStr">
        <is>
          <t>부산광역시 남구 용호로269번길 89</t>
        </is>
      </c>
      <c r="F1682" s="11" t="inlineStr">
        <is>
          <t>http://www.unsan.es.kr</t>
        </is>
      </c>
      <c r="G1682" s="5" t="inlineStr">
        <is>
          <t>051-626-1202</t>
        </is>
      </c>
      <c r="H1682" s="12">
        <f>초등학교!Q86</f>
        <v/>
      </c>
      <c r="I1682" s="5" t="inlineStr">
        <is>
          <t>1학년 61 / 2학년 63 / 3학년 85 / 4학년 78 / 5학년 71 / 6학년 73 / 특수학급 9</t>
        </is>
      </c>
    </row>
    <row r="1683">
      <c r="A1683" s="5" t="inlineStr">
        <is>
          <t>동일중앙초등학교</t>
        </is>
      </c>
      <c r="B1683" s="5" t="inlineStr">
        <is>
          <t>초등학교</t>
        </is>
      </c>
      <c r="C1683" s="5" t="inlineStr">
        <is>
          <t>공립</t>
        </is>
      </c>
      <c r="D1683" s="5" t="inlineStr">
        <is>
          <t>동구</t>
        </is>
      </c>
      <c r="E1683" s="5" t="inlineStr">
        <is>
          <t>부산광역시 동구 구봉로 46</t>
        </is>
      </c>
      <c r="F1683" s="11" t="inlineStr">
        <is>
          <t>http://dongiljungang.es.kr/</t>
        </is>
      </c>
      <c r="G1683" s="5" t="inlineStr">
        <is>
          <t>051-460-0100</t>
        </is>
      </c>
      <c r="H1683" s="12">
        <f>초등학교!Q87</f>
        <v/>
      </c>
      <c r="I1683" s="5" t="inlineStr">
        <is>
          <t>1학년 126 / 2학년 105 / 3학년 142 / 4학년 150 / 5학년 179 / 6학년 141 / 특수학급 14</t>
        </is>
      </c>
    </row>
    <row r="1684">
      <c r="A1684" s="5" t="inlineStr">
        <is>
          <t>범일초등학교</t>
        </is>
      </c>
      <c r="B1684" s="5" t="inlineStr">
        <is>
          <t>초등학교</t>
        </is>
      </c>
      <c r="C1684" s="5" t="inlineStr">
        <is>
          <t>공립</t>
        </is>
      </c>
      <c r="D1684" s="5" t="inlineStr">
        <is>
          <t>동구</t>
        </is>
      </c>
      <c r="E1684" s="5" t="inlineStr">
        <is>
          <t>부산광역시 동구 증산서로 55</t>
        </is>
      </c>
      <c r="F1684" s="11" t="inlineStr">
        <is>
          <t>http://beom-il.es.kr</t>
        </is>
      </c>
      <c r="G1684" s="5" t="inlineStr">
        <is>
          <t>051-630-6000</t>
        </is>
      </c>
      <c r="H1684" s="12">
        <f>초등학교!Q88</f>
        <v/>
      </c>
      <c r="I1684" s="5" t="inlineStr">
        <is>
          <t>1학년 24 / 2학년 16 / 3학년 27 / 4학년 26 / 5학년 32 / 6학년 30 / 특수학급 8</t>
        </is>
      </c>
    </row>
    <row r="1685">
      <c r="A1685" s="5" t="inlineStr">
        <is>
          <t>성남초등학교</t>
        </is>
      </c>
      <c r="B1685" s="5" t="inlineStr">
        <is>
          <t>초등학교</t>
        </is>
      </c>
      <c r="C1685" s="5" t="inlineStr">
        <is>
          <t>공립</t>
        </is>
      </c>
      <c r="D1685" s="5" t="inlineStr">
        <is>
          <t>동구</t>
        </is>
      </c>
      <c r="E1685" s="5" t="inlineStr">
        <is>
          <t>부산광역시 동구 범일로53번길 14</t>
        </is>
      </c>
      <c r="F1685" s="11" t="inlineStr">
        <is>
          <t>https://school.busanedu.net/pusansungnam-e</t>
        </is>
      </c>
      <c r="G1685" s="5" t="inlineStr">
        <is>
          <t>051-646-9637</t>
        </is>
      </c>
      <c r="H1685" s="12">
        <f>초등학교!Q89</f>
        <v/>
      </c>
      <c r="I1685" s="5" t="inlineStr">
        <is>
          <t>1학년 91 / 2학년 94 / 3학년 95 / 4학년 99 / 5학년 90 / 6학년 99 / 특수학급 5</t>
        </is>
      </c>
    </row>
    <row r="1686">
      <c r="A1686" s="5" t="inlineStr">
        <is>
          <t>수성초등학교</t>
        </is>
      </c>
      <c r="B1686" s="5" t="inlineStr">
        <is>
          <t>초등학교</t>
        </is>
      </c>
      <c r="C1686" s="5" t="inlineStr">
        <is>
          <t>공립</t>
        </is>
      </c>
      <c r="D1686" s="5" t="inlineStr">
        <is>
          <t>동구</t>
        </is>
      </c>
      <c r="E1686" s="5" t="inlineStr">
        <is>
          <t>부산광역시 동구 망양로 807</t>
        </is>
      </c>
      <c r="F1686" s="11" t="inlineStr">
        <is>
          <t>http://suseong.es.kr</t>
        </is>
      </c>
      <c r="G1686" s="5" t="inlineStr">
        <is>
          <t>051-466-1837</t>
        </is>
      </c>
      <c r="H1686" s="12">
        <f>초등학교!Q90</f>
        <v/>
      </c>
      <c r="I1686" s="5" t="inlineStr">
        <is>
          <t>1학년 11 / 2학년 14 / 3학년 14 / 4학년 22 / 5학년 14 / 6학년 26 / 특수학급 3</t>
        </is>
      </c>
    </row>
    <row r="1687">
      <c r="A1687" s="5" t="inlineStr">
        <is>
          <t>수정초등학교</t>
        </is>
      </c>
      <c r="B1687" s="5" t="inlineStr">
        <is>
          <t>초등학교</t>
        </is>
      </c>
      <c r="C1687" s="5" t="inlineStr">
        <is>
          <t>공립</t>
        </is>
      </c>
      <c r="D1687" s="5" t="inlineStr">
        <is>
          <t>동구</t>
        </is>
      </c>
      <c r="E1687" s="5" t="inlineStr">
        <is>
          <t>부산광역시 동구 진성로 29</t>
        </is>
      </c>
      <c r="F1687" s="11" t="inlineStr">
        <is>
          <t>http://www.bsujeong.es.kr/</t>
        </is>
      </c>
      <c r="G1687" s="5" t="inlineStr">
        <is>
          <t>051-719-1800</t>
        </is>
      </c>
      <c r="H1687" s="12">
        <f>초등학교!Q91</f>
        <v/>
      </c>
      <c r="I1687" s="5" t="inlineStr">
        <is>
          <t>1학년 36 / 2학년 23 / 3학년 56 / 4학년 52 / 5학년 63 / 6학년 44 / 특수학급 7</t>
        </is>
      </c>
    </row>
    <row r="1688">
      <c r="A1688" s="5" t="inlineStr">
        <is>
          <t>초량초등학교</t>
        </is>
      </c>
      <c r="B1688" s="5" t="inlineStr">
        <is>
          <t>초등학교</t>
        </is>
      </c>
      <c r="C1688" s="5" t="inlineStr">
        <is>
          <t>공립</t>
        </is>
      </c>
      <c r="D1688" s="5" t="inlineStr">
        <is>
          <t>동구</t>
        </is>
      </c>
      <c r="E1688" s="5" t="inlineStr">
        <is>
          <t>부산광역시 동구 초량상로 49</t>
        </is>
      </c>
      <c r="F1688" s="11" t="inlineStr">
        <is>
          <t>https://school.busanedu.net/chogyo-e</t>
        </is>
      </c>
      <c r="G1688" s="5" t="inlineStr">
        <is>
          <t>051-468-5115</t>
        </is>
      </c>
      <c r="H1688" s="12">
        <f>초등학교!Q92</f>
        <v/>
      </c>
      <c r="I1688" s="5" t="inlineStr">
        <is>
          <t>1학년 16 / 2학년 20 / 3학년 20 / 4학년 31 / 5학년 34 / 6학년 45 / 특수학급 3</t>
        </is>
      </c>
    </row>
    <row r="1689">
      <c r="A1689" s="5" t="inlineStr">
        <is>
          <t>교동초등학교</t>
        </is>
      </c>
      <c r="B1689" s="5" t="inlineStr">
        <is>
          <t>초등학교</t>
        </is>
      </c>
      <c r="C1689" s="5" t="inlineStr">
        <is>
          <t>공립</t>
        </is>
      </c>
      <c r="D1689" s="5" t="inlineStr">
        <is>
          <t>동래구</t>
        </is>
      </c>
      <c r="E1689" s="5" t="inlineStr">
        <is>
          <t>부산광역시 동래구 시실로 73-13</t>
        </is>
      </c>
      <c r="F1689" s="11" t="inlineStr">
        <is>
          <t>http://www.kd.es.kr</t>
        </is>
      </c>
      <c r="G1689" s="5" t="inlineStr">
        <is>
          <t>051-6200-104</t>
        </is>
      </c>
      <c r="H1689" s="12">
        <f>초등학교!Q93</f>
        <v/>
      </c>
      <c r="I1689" s="5" t="inlineStr">
        <is>
          <t>1학년 85 / 2학년 118 / 3학년 134 / 4학년 125 / 5학년 168 / 6학년 152 / 특수학급 4</t>
        </is>
      </c>
    </row>
    <row r="1690">
      <c r="A1690" s="5" t="inlineStr">
        <is>
          <t>금강초등학교</t>
        </is>
      </c>
      <c r="B1690" s="5" t="inlineStr">
        <is>
          <t>초등학교</t>
        </is>
      </c>
      <c r="C1690" s="5" t="inlineStr">
        <is>
          <t>공립</t>
        </is>
      </c>
      <c r="D1690" s="5" t="inlineStr">
        <is>
          <t>동래구</t>
        </is>
      </c>
      <c r="E1690" s="5" t="inlineStr">
        <is>
          <t>부산광역시 동래구 사직북로28번길 125</t>
        </is>
      </c>
      <c r="F1690" s="11" t="inlineStr">
        <is>
          <t>http://www.geumgang.es.kr/</t>
        </is>
      </c>
      <c r="G1690" s="5" t="inlineStr">
        <is>
          <t>051-590-0600</t>
        </is>
      </c>
      <c r="H1690" s="12">
        <f>초등학교!Q94</f>
        <v/>
      </c>
      <c r="I1690" s="5" t="inlineStr">
        <is>
          <t>1학년 129 / 2학년 118 / 3학년 119 / 4학년 127 / 5학년 132 / 6학년 131 / 특수학급 12</t>
        </is>
      </c>
    </row>
    <row r="1691">
      <c r="A1691" s="5" t="inlineStr">
        <is>
          <t>낙민초등학교</t>
        </is>
      </c>
      <c r="B1691" s="5" t="inlineStr">
        <is>
          <t>초등학교</t>
        </is>
      </c>
      <c r="C1691" s="5" t="inlineStr">
        <is>
          <t>공립</t>
        </is>
      </c>
      <c r="D1691" s="5" t="inlineStr">
        <is>
          <t>동래구</t>
        </is>
      </c>
      <c r="E1691" s="5" t="inlineStr">
        <is>
          <t>부산광역시 동래구 충렬대로272번길 34</t>
        </is>
      </c>
      <c r="F1691" s="11" t="inlineStr">
        <is>
          <t>http://nakmin.es.kr</t>
        </is>
      </c>
      <c r="G1691" s="5" t="inlineStr">
        <is>
          <t>051-712-5200</t>
        </is>
      </c>
      <c r="H1691" s="12">
        <f>초등학교!Q95</f>
        <v/>
      </c>
      <c r="I1691" s="5" t="inlineStr">
        <is>
          <t>1학년 52 / 2학년 78 / 3학년 75 / 4학년 109 / 5학년 136 / 6학년 85 / 특수학급 6</t>
        </is>
      </c>
    </row>
    <row r="1692">
      <c r="A1692" s="5" t="inlineStr">
        <is>
          <t>내산초등학교</t>
        </is>
      </c>
      <c r="B1692" s="5" t="inlineStr">
        <is>
          <t>초등학교</t>
        </is>
      </c>
      <c r="C1692" s="5" t="inlineStr">
        <is>
          <t>공립</t>
        </is>
      </c>
      <c r="D1692" s="5" t="inlineStr">
        <is>
          <t>동래구</t>
        </is>
      </c>
      <c r="E1692" s="5" t="inlineStr">
        <is>
          <t>부산광역시 동래구 중앙대로1335번길 38</t>
        </is>
      </c>
      <c r="F1692" s="11" t="inlineStr">
        <is>
          <t>http://www.naesan.es.kr</t>
        </is>
      </c>
      <c r="G1692" s="5" t="inlineStr">
        <is>
          <t>051-792-0400</t>
        </is>
      </c>
      <c r="H1692" s="12">
        <f>초등학교!Q96</f>
        <v/>
      </c>
      <c r="I1692" s="5" t="inlineStr">
        <is>
          <t>1학년 13 / 2학년 14 / 3학년 24 / 4학년 40 / 5학년 38 / 6학년 42 / 특수학급 11</t>
        </is>
      </c>
    </row>
    <row r="1693">
      <c r="A1693" s="5" t="inlineStr">
        <is>
          <t>내성초등학교</t>
        </is>
      </c>
      <c r="B1693" s="5" t="inlineStr">
        <is>
          <t>초등학교</t>
        </is>
      </c>
      <c r="C1693" s="5" t="inlineStr">
        <is>
          <t>공립</t>
        </is>
      </c>
      <c r="D1693" s="5" t="inlineStr">
        <is>
          <t>동래구</t>
        </is>
      </c>
      <c r="E1693" s="5" t="inlineStr">
        <is>
          <t>부산광역시 동래구 동래로 173</t>
        </is>
      </c>
      <c r="F1693" s="11" t="inlineStr">
        <is>
          <t>http://www.naesung.es.kr</t>
        </is>
      </c>
      <c r="G1693" s="5" t="inlineStr">
        <is>
          <t>051-550-8600</t>
        </is>
      </c>
      <c r="H1693" s="12">
        <f>초등학교!Q97</f>
        <v/>
      </c>
      <c r="I1693" s="5" t="inlineStr">
        <is>
          <t>1학년 11 / 2학년 8 / 3학년 11 / 4학년 13 / 5학년 20 / 6학년 20 / 특수학급 8</t>
        </is>
      </c>
    </row>
    <row r="1694">
      <c r="A1694" s="5" t="inlineStr">
        <is>
          <t>달북초등학교</t>
        </is>
      </c>
      <c r="B1694" s="5" t="inlineStr">
        <is>
          <t>초등학교</t>
        </is>
      </c>
      <c r="C1694" s="5" t="inlineStr">
        <is>
          <t>공립</t>
        </is>
      </c>
      <c r="D1694" s="5" t="inlineStr">
        <is>
          <t>동래구</t>
        </is>
      </c>
      <c r="E1694" s="5" t="inlineStr">
        <is>
          <t>부산광역시 동래구 쇠미로 131</t>
        </is>
      </c>
      <c r="F1694" s="11" t="inlineStr">
        <is>
          <t>http://www.dalbuk.es.kr</t>
        </is>
      </c>
      <c r="G1694" s="5" t="inlineStr">
        <is>
          <t>051-7900-500</t>
        </is>
      </c>
      <c r="H1694" s="12">
        <f>초등학교!Q98</f>
        <v/>
      </c>
      <c r="I1694" s="5" t="inlineStr">
        <is>
          <t>1학년 55 / 2학년 59 / 3학년 79 / 4학년 91 / 5학년 99 / 6학년 81 / 특수학급 6</t>
        </is>
      </c>
    </row>
    <row r="1695">
      <c r="A1695" s="5" t="inlineStr">
        <is>
          <t>명동초등학교</t>
        </is>
      </c>
      <c r="B1695" s="5" t="inlineStr">
        <is>
          <t>초등학교</t>
        </is>
      </c>
      <c r="C1695" s="5" t="inlineStr">
        <is>
          <t>공립</t>
        </is>
      </c>
      <c r="D1695" s="5" t="inlineStr">
        <is>
          <t>동래구</t>
        </is>
      </c>
      <c r="E1695" s="5" t="inlineStr">
        <is>
          <t>부산광역시 동래구 명장로63번길 60-5</t>
        </is>
      </c>
      <c r="F1695" s="11" t="inlineStr">
        <is>
          <t>http://www.mdong.es.kr</t>
        </is>
      </c>
      <c r="G1695" s="5" t="inlineStr">
        <is>
          <t>051-550-5700</t>
        </is>
      </c>
      <c r="H1695" s="12">
        <f>초등학교!Q99</f>
        <v/>
      </c>
      <c r="I1695" s="5" t="inlineStr">
        <is>
          <t>1학년 53 / 2학년 55 / 3학년 74 / 4학년 78 / 5학년 89 / 6학년 73 / 특수학급 5</t>
        </is>
      </c>
    </row>
    <row r="1696">
      <c r="A1696" s="5" t="inlineStr">
        <is>
          <t>명륜초등학교</t>
        </is>
      </c>
      <c r="B1696" s="5" t="inlineStr">
        <is>
          <t>초등학교</t>
        </is>
      </c>
      <c r="C1696" s="5" t="inlineStr">
        <is>
          <t>공립</t>
        </is>
      </c>
      <c r="D1696" s="5" t="inlineStr">
        <is>
          <t>동래구</t>
        </is>
      </c>
      <c r="E1696" s="5" t="inlineStr">
        <is>
          <t>부산광역시 동래구 동래로 91</t>
        </is>
      </c>
      <c r="F1696" s="11" t="inlineStr">
        <is>
          <t>http://school.busanedu.net/myeongryun-e/main.do</t>
        </is>
      </c>
      <c r="G1696" s="5" t="inlineStr">
        <is>
          <t>051-713-6800</t>
        </is>
      </c>
      <c r="H1696" s="12">
        <f>초등학교!Q100</f>
        <v/>
      </c>
      <c r="I1696" s="5" t="inlineStr">
        <is>
          <t>1학년 162 / 2학년 130 / 3학년 165 / 4학년 195 / 5학년 210 / 6학년 213 / 특수학급 6</t>
        </is>
      </c>
    </row>
    <row r="1697">
      <c r="A1697" s="5" t="inlineStr">
        <is>
          <t>명서초등학교</t>
        </is>
      </c>
      <c r="B1697" s="5" t="inlineStr">
        <is>
          <t>초등학교</t>
        </is>
      </c>
      <c r="C1697" s="5" t="inlineStr">
        <is>
          <t>공립</t>
        </is>
      </c>
      <c r="D1697" s="5" t="inlineStr">
        <is>
          <t>동래구</t>
        </is>
      </c>
      <c r="E1697" s="5" t="inlineStr">
        <is>
          <t>부산광역시 동래구 명서로 121</t>
        </is>
      </c>
      <c r="F1697" s="11" t="inlineStr">
        <is>
          <t>http://www.myongseo.es.kr</t>
        </is>
      </c>
      <c r="G1697" s="5" t="inlineStr">
        <is>
          <t>051-524-7837</t>
        </is>
      </c>
      <c r="H1697" s="12">
        <f>초등학교!Q101</f>
        <v/>
      </c>
      <c r="I1697" s="5" t="inlineStr">
        <is>
          <t>1학년 10 / 2학년 9 / 3학년 10 / 4학년 11 / 5학년 13 / 6학년 25 / 특수학급 6</t>
        </is>
      </c>
    </row>
    <row r="1698">
      <c r="A1698" s="5" t="inlineStr">
        <is>
          <t>명장초등학교</t>
        </is>
      </c>
      <c r="B1698" s="5" t="inlineStr">
        <is>
          <t>초등학교</t>
        </is>
      </c>
      <c r="C1698" s="5" t="inlineStr">
        <is>
          <t>공립</t>
        </is>
      </c>
      <c r="D1698" s="5" t="inlineStr">
        <is>
          <t>동래구</t>
        </is>
      </c>
      <c r="E1698" s="5" t="inlineStr">
        <is>
          <t>부산광역시 동래구 복천로 121</t>
        </is>
      </c>
      <c r="F1698" s="11" t="inlineStr">
        <is>
          <t>http://myungjang.es.kr</t>
        </is>
      </c>
      <c r="G1698" s="5" t="inlineStr">
        <is>
          <t>051-529-0644</t>
        </is>
      </c>
      <c r="H1698" s="12">
        <f>초등학교!Q102</f>
        <v/>
      </c>
      <c r="I1698" s="5" t="inlineStr">
        <is>
          <t>1학년 56 / 2학년 42 / 3학년 56 / 4학년 68 / 5학년 53 / 6학년 58 / 특수학급 7</t>
        </is>
      </c>
    </row>
    <row r="1699">
      <c r="A1699" s="5" t="inlineStr">
        <is>
          <t>미남초등학교</t>
        </is>
      </c>
      <c r="B1699" s="5" t="inlineStr">
        <is>
          <t>초등학교</t>
        </is>
      </c>
      <c r="C1699" s="5" t="inlineStr">
        <is>
          <t>공립</t>
        </is>
      </c>
      <c r="D1699" s="5" t="inlineStr">
        <is>
          <t>동래구</t>
        </is>
      </c>
      <c r="E1699" s="5" t="inlineStr">
        <is>
          <t>부산광역시 동래구 충렬대로100번길 83</t>
        </is>
      </c>
      <c r="F1699" s="11" t="inlineStr">
        <is>
          <t>http://minam.es.kr/</t>
        </is>
      </c>
      <c r="G1699" s="5" t="inlineStr">
        <is>
          <t>051-504-9666</t>
        </is>
      </c>
      <c r="H1699" s="12">
        <f>초등학교!Q103</f>
        <v/>
      </c>
      <c r="I1699" s="5" t="inlineStr">
        <is>
          <t>1학년 22 / 2학년 36 / 3학년 29 / 4학년 45 / 5학년 44 / 6학년 47 / 특수학급 5</t>
        </is>
      </c>
    </row>
    <row r="1700">
      <c r="A1700" s="5" t="inlineStr">
        <is>
          <t>사직초등학교</t>
        </is>
      </c>
      <c r="B1700" s="5" t="inlineStr">
        <is>
          <t>초등학교</t>
        </is>
      </c>
      <c r="C1700" s="5" t="inlineStr">
        <is>
          <t>공립</t>
        </is>
      </c>
      <c r="D1700" s="5" t="inlineStr">
        <is>
          <t>동래구</t>
        </is>
      </c>
      <c r="E1700" s="5" t="inlineStr">
        <is>
          <t>부산광역시 동래구 쇠미로81번길 7</t>
        </is>
      </c>
      <c r="F1700" s="11" t="inlineStr">
        <is>
          <t>http://www.sajik.es.kr</t>
        </is>
      </c>
      <c r="G1700" s="5" t="inlineStr">
        <is>
          <t>051-500-3200</t>
        </is>
      </c>
      <c r="H1700" s="12">
        <f>초등학교!Q104</f>
        <v/>
      </c>
      <c r="I1700" s="5" t="inlineStr">
        <is>
          <t>1학년 98 / 2학년 123 / 3학년 135 / 4학년 152 / 5학년 185 / 6학년 202 / 특수학급 6</t>
        </is>
      </c>
    </row>
    <row r="1701">
      <c r="A1701" s="5" t="inlineStr">
        <is>
          <t>수안초등학교</t>
        </is>
      </c>
      <c r="B1701" s="5" t="inlineStr">
        <is>
          <t>초등학교</t>
        </is>
      </c>
      <c r="C1701" s="5" t="inlineStr">
        <is>
          <t>공립</t>
        </is>
      </c>
      <c r="D1701" s="5" t="inlineStr">
        <is>
          <t>동래구</t>
        </is>
      </c>
      <c r="E1701" s="5" t="inlineStr">
        <is>
          <t>부산광역시 동래구 온천천로 215</t>
        </is>
      </c>
      <c r="F1701" s="11" t="inlineStr">
        <is>
          <t>http://suan.es.kr</t>
        </is>
      </c>
      <c r="G1701" s="5" t="inlineStr">
        <is>
          <t>051-550-8700</t>
        </is>
      </c>
      <c r="H1701" s="12">
        <f>초등학교!Q105</f>
        <v/>
      </c>
      <c r="I1701" s="5" t="inlineStr">
        <is>
          <t>1학년 18 / 2학년 8 / 3학년 20 / 4학년 18 / 5학년 30 / 6학년 34 / 특수학급 4</t>
        </is>
      </c>
    </row>
    <row r="1702">
      <c r="A1702" s="5" t="inlineStr">
        <is>
          <t>안남초등학교</t>
        </is>
      </c>
      <c r="B1702" s="5" t="inlineStr">
        <is>
          <t>초등학교</t>
        </is>
      </c>
      <c r="C1702" s="5" t="inlineStr">
        <is>
          <t>공립</t>
        </is>
      </c>
      <c r="D1702" s="5" t="inlineStr">
        <is>
          <t>동래구</t>
        </is>
      </c>
      <c r="E1702" s="5" t="inlineStr">
        <is>
          <t>부산광역시 동래구 연안로 46</t>
        </is>
      </c>
      <c r="F1702" s="11" t="inlineStr">
        <is>
          <t>http://annam.es.kr</t>
        </is>
      </c>
      <c r="G1702" s="5" t="inlineStr">
        <is>
          <t>051-520-6600</t>
        </is>
      </c>
      <c r="H1702" s="12">
        <f>초등학교!Q106</f>
        <v/>
      </c>
      <c r="I1702" s="5" t="inlineStr">
        <is>
          <t>1학년 79 / 2학년 82 / 3학년 103 / 4학년 125 / 5학년 132 / 6학년 133 / 특수학급 11</t>
        </is>
      </c>
    </row>
    <row r="1703">
      <c r="A1703" s="5" t="inlineStr">
        <is>
          <t>안락초등학교</t>
        </is>
      </c>
      <c r="B1703" s="5" t="inlineStr">
        <is>
          <t>초등학교</t>
        </is>
      </c>
      <c r="C1703" s="5" t="inlineStr">
        <is>
          <t>공립</t>
        </is>
      </c>
      <c r="D1703" s="5" t="inlineStr">
        <is>
          <t>동래구</t>
        </is>
      </c>
      <c r="E1703" s="5" t="inlineStr">
        <is>
          <t>부산광역시 동래구 명안로53번길 22</t>
        </is>
      </c>
      <c r="F1703" s="11" t="inlineStr">
        <is>
          <t>http://anrak.es.kr</t>
        </is>
      </c>
      <c r="G1703" s="5" t="inlineStr">
        <is>
          <t>051-713-8500</t>
        </is>
      </c>
      <c r="H1703" s="12">
        <f>초등학교!Q107</f>
        <v/>
      </c>
      <c r="I1703" s="5" t="inlineStr">
        <is>
          <t>1학년 12 / 2학년 24 / 3학년 21 / 4학년 33 / 5학년 34 / 6학년 31 / 특수학급 6</t>
        </is>
      </c>
    </row>
    <row r="1704">
      <c r="A1704" s="5" t="inlineStr">
        <is>
          <t>안민초등학교</t>
        </is>
      </c>
      <c r="B1704" s="5" t="inlineStr">
        <is>
          <t>초등학교</t>
        </is>
      </c>
      <c r="C1704" s="5" t="inlineStr">
        <is>
          <t>공립</t>
        </is>
      </c>
      <c r="D1704" s="5" t="inlineStr">
        <is>
          <t>동래구</t>
        </is>
      </c>
      <c r="E1704" s="5" t="inlineStr">
        <is>
          <t>부산광역시 동래구 온천천로381번길 19</t>
        </is>
      </c>
      <c r="F1704" s="11" t="inlineStr">
        <is>
          <t>http://www.anmin.es.kr/</t>
        </is>
      </c>
      <c r="G1704" s="5" t="inlineStr">
        <is>
          <t>051-580-4500</t>
        </is>
      </c>
      <c r="H1704" s="12">
        <f>초등학교!Q108</f>
        <v/>
      </c>
      <c r="I1704" s="5" t="inlineStr">
        <is>
          <t>1학년 70 / 2학년 83 / 3학년 90 / 4학년 96 / 5학년 121 / 6학년 123 / 특수학급 6</t>
        </is>
      </c>
    </row>
    <row r="1705">
      <c r="A1705" s="5" t="inlineStr">
        <is>
          <t>안진초등학교</t>
        </is>
      </c>
      <c r="B1705" s="5" t="inlineStr">
        <is>
          <t>초등학교</t>
        </is>
      </c>
      <c r="C1705" s="5" t="inlineStr">
        <is>
          <t>공립</t>
        </is>
      </c>
      <c r="D1705" s="5" t="inlineStr">
        <is>
          <t>동래구</t>
        </is>
      </c>
      <c r="E1705" s="5" t="inlineStr">
        <is>
          <t>부산광역시 동래구 안남로 63</t>
        </is>
      </c>
      <c r="F1705" s="11" t="inlineStr">
        <is>
          <t>http://anjin.es.kr</t>
        </is>
      </c>
      <c r="G1705" s="5" t="inlineStr">
        <is>
          <t>051-520-1600</t>
        </is>
      </c>
      <c r="H1705" s="12">
        <f>초등학교!Q109</f>
        <v/>
      </c>
      <c r="I1705" s="5" t="inlineStr">
        <is>
          <t>1학년 46 / 2학년 58 / 3학년 50 / 4학년 61 / 5학년 81 / 6학년 79 / 특수학급 6</t>
        </is>
      </c>
    </row>
    <row r="1706">
      <c r="A1706" s="5" t="inlineStr">
        <is>
          <t>여고초등학교</t>
        </is>
      </c>
      <c r="B1706" s="5" t="inlineStr">
        <is>
          <t>초등학교</t>
        </is>
      </c>
      <c r="C1706" s="5" t="inlineStr">
        <is>
          <t>공립</t>
        </is>
      </c>
      <c r="D1706" s="5" t="inlineStr">
        <is>
          <t>동래구</t>
        </is>
      </c>
      <c r="E1706" s="5" t="inlineStr">
        <is>
          <t>부산광역시 동래구 여고로63번가길 12</t>
        </is>
      </c>
      <c r="F1706" s="11" t="inlineStr">
        <is>
          <t>http://www.yeogo.es.kr</t>
        </is>
      </c>
      <c r="G1706" s="5" t="inlineStr">
        <is>
          <t>051-590-0500</t>
        </is>
      </c>
      <c r="H1706" s="12">
        <f>초등학교!Q110</f>
        <v/>
      </c>
      <c r="I1706" s="5" t="inlineStr">
        <is>
          <t>1학년 102 / 2학년 111 / 3학년 149 / 4학년 157 / 5학년 199 / 6학년 230 / 특수학급 6</t>
        </is>
      </c>
    </row>
    <row r="1707">
      <c r="A1707" s="5" t="inlineStr">
        <is>
          <t>예원초등학교</t>
        </is>
      </c>
      <c r="B1707" s="5" t="inlineStr">
        <is>
          <t>초등학교</t>
        </is>
      </c>
      <c r="C1707" s="5" t="inlineStr">
        <is>
          <t>공립</t>
        </is>
      </c>
      <c r="D1707" s="5" t="inlineStr">
        <is>
          <t>동래구</t>
        </is>
      </c>
      <c r="E1707" s="5" t="inlineStr">
        <is>
          <t>부산광역시 동래구 사직로 78</t>
        </is>
      </c>
      <c r="F1707" s="11" t="inlineStr">
        <is>
          <t>http://www.yewon.es.kr</t>
        </is>
      </c>
      <c r="G1707" s="5" t="inlineStr">
        <is>
          <t>051-500-0400</t>
        </is>
      </c>
      <c r="H1707" s="12">
        <f>초등학교!Q111</f>
        <v/>
      </c>
      <c r="I1707" s="5" t="inlineStr">
        <is>
          <t>1학년 120 / 2학년 124 / 3학년 120 / 4학년 168 / 5학년 180 / 6학년 174 / 특수학급 5</t>
        </is>
      </c>
    </row>
    <row r="1708">
      <c r="A1708" s="5" t="inlineStr">
        <is>
          <t>온샘초등학교</t>
        </is>
      </c>
      <c r="B1708" s="5" t="inlineStr">
        <is>
          <t>초등학교</t>
        </is>
      </c>
      <c r="C1708" s="5" t="inlineStr">
        <is>
          <t>공립</t>
        </is>
      </c>
      <c r="D1708" s="5" t="inlineStr">
        <is>
          <t>동래구</t>
        </is>
      </c>
      <c r="E1708" s="5" t="inlineStr">
        <is>
          <t>부산광역시 동래구 충렬대로75번길 25</t>
        </is>
      </c>
      <c r="F1708" s="11" t="inlineStr">
        <is>
          <t>http://www.onsaem.es.kr</t>
        </is>
      </c>
      <c r="G1708" s="5" t="inlineStr">
        <is>
          <t>051-667-6900</t>
        </is>
      </c>
      <c r="H1708" s="12">
        <f>초등학교!Q112</f>
        <v/>
      </c>
      <c r="I1708" s="5" t="inlineStr">
        <is>
          <t>1학년 233 / 2학년 235 / 3학년 246 / 4학년 251 / 5학년 231 / 6학년 202 / 특수학급 13</t>
        </is>
      </c>
    </row>
    <row r="1709">
      <c r="A1709" s="5" t="inlineStr">
        <is>
          <t>온천초등학교</t>
        </is>
      </c>
      <c r="B1709" s="5" t="inlineStr">
        <is>
          <t>초등학교</t>
        </is>
      </c>
      <c r="C1709" s="5" t="inlineStr">
        <is>
          <t>공립</t>
        </is>
      </c>
      <c r="D1709" s="5" t="inlineStr">
        <is>
          <t>동래구</t>
        </is>
      </c>
      <c r="E1709" s="5" t="inlineStr">
        <is>
          <t>부산광역시 동래구 충렬대로107번길 124</t>
        </is>
      </c>
      <c r="F1709" s="11" t="inlineStr">
        <is>
          <t>http://www.onchun.es.kr/</t>
        </is>
      </c>
      <c r="G1709" s="5" t="inlineStr">
        <is>
          <t>051-550-7800</t>
        </is>
      </c>
      <c r="H1709" s="12">
        <f>초등학교!Q113</f>
        <v/>
      </c>
      <c r="I1709" s="5" t="inlineStr">
        <is>
          <t>1학년 164 / 2학년 161 / 3학년 166 / 4학년 201 / 5학년 157 / 6학년 206 / 특수학급 14</t>
        </is>
      </c>
    </row>
    <row r="1710">
      <c r="A1710" s="5" t="inlineStr">
        <is>
          <t>충렬초등학교</t>
        </is>
      </c>
      <c r="B1710" s="5" t="inlineStr">
        <is>
          <t>초등학교</t>
        </is>
      </c>
      <c r="C1710" s="5" t="inlineStr">
        <is>
          <t>공립</t>
        </is>
      </c>
      <c r="D1710" s="5" t="inlineStr">
        <is>
          <t>동래구</t>
        </is>
      </c>
      <c r="E1710" s="5" t="inlineStr">
        <is>
          <t>부산광역시 동래구 안락로125번길 22</t>
        </is>
      </c>
      <c r="F1710" s="11" t="inlineStr">
        <is>
          <t>http://www.pscr.es.kr</t>
        </is>
      </c>
      <c r="G1710" s="5" t="inlineStr">
        <is>
          <t>051-997-4100</t>
        </is>
      </c>
      <c r="H1710" s="12">
        <f>초등학교!Q114</f>
        <v/>
      </c>
      <c r="I1710" s="5" t="inlineStr">
        <is>
          <t>1학년 10 / 2학년 7 / 3학년 11 / 4학년 16 / 5학년 17 / 6학년 21 / 특수학급 3</t>
        </is>
      </c>
    </row>
    <row r="1711">
      <c r="A1711" s="5" t="inlineStr">
        <is>
          <t>혜화초등학교</t>
        </is>
      </c>
      <c r="B1711" s="5" t="inlineStr">
        <is>
          <t>초등학교</t>
        </is>
      </c>
      <c r="C1711" s="5" t="inlineStr">
        <is>
          <t>사립</t>
        </is>
      </c>
      <c r="D1711" s="5" t="inlineStr">
        <is>
          <t>동래구</t>
        </is>
      </c>
      <c r="E1711" s="5" t="inlineStr">
        <is>
          <t>부산광역시 동래구 명장로99번길 25</t>
        </is>
      </c>
      <c r="F1711" s="11" t="inlineStr">
        <is>
          <t>http://www.hyehwa.es.kr</t>
        </is>
      </c>
      <c r="G1711" s="5" t="inlineStr">
        <is>
          <t>051-531-1667</t>
        </is>
      </c>
      <c r="H1711" s="12">
        <f>초등학교!Q115</f>
        <v/>
      </c>
      <c r="I1711" s="5" t="inlineStr">
        <is>
          <t>1학년 59 / 2학년 60 / 3학년 60 / 4학년 56 / 5학년 56 / 6학년 52</t>
        </is>
      </c>
    </row>
    <row r="1712">
      <c r="A1712" s="5" t="inlineStr">
        <is>
          <t>가남초등학교</t>
        </is>
      </c>
      <c r="B1712" s="5" t="inlineStr">
        <is>
          <t>초등학교</t>
        </is>
      </c>
      <c r="C1712" s="5" t="inlineStr">
        <is>
          <t>공립</t>
        </is>
      </c>
      <c r="D1712" s="5" t="inlineStr">
        <is>
          <t>부산진구</t>
        </is>
      </c>
      <c r="E1712" s="5" t="inlineStr">
        <is>
          <t>부산광역시 부산진구 엄광로 325</t>
        </is>
      </c>
      <c r="F1712" s="11" t="inlineStr">
        <is>
          <t>http://www.ga-nam.es.kr</t>
        </is>
      </c>
      <c r="G1712" s="5" t="inlineStr">
        <is>
          <t>051-893-2702</t>
        </is>
      </c>
      <c r="H1712" s="12">
        <f>초등학교!Q116</f>
        <v/>
      </c>
      <c r="I1712" s="5" t="inlineStr">
        <is>
          <t>1학년 4 / 2학년 4 / 3학년 6 / 4학년 11 / 5학년 12 / 6학년 8 / 특수학급 5</t>
        </is>
      </c>
    </row>
    <row r="1713">
      <c r="A1713" s="5" t="inlineStr">
        <is>
          <t>가야초등학교</t>
        </is>
      </c>
      <c r="B1713" s="5" t="inlineStr">
        <is>
          <t>초등학교</t>
        </is>
      </c>
      <c r="C1713" s="5" t="inlineStr">
        <is>
          <t>공립</t>
        </is>
      </c>
      <c r="D1713" s="5" t="inlineStr">
        <is>
          <t>부산진구</t>
        </is>
      </c>
      <c r="E1713" s="5" t="inlineStr">
        <is>
          <t>부산광역시 부산진구 대학로 22</t>
        </is>
      </c>
      <c r="F1713" s="11" t="inlineStr">
        <is>
          <t>http://www.ka-ya.es.kr</t>
        </is>
      </c>
      <c r="G1713" s="5" t="inlineStr">
        <is>
          <t>051-892-3515</t>
        </is>
      </c>
      <c r="H1713" s="12">
        <f>초등학교!Q117</f>
        <v/>
      </c>
      <c r="I1713" s="5" t="inlineStr">
        <is>
          <t>1학년 142 / 2학년 137 / 3학년 136 / 4학년 183 / 5학년 157 / 6학년 176 / 특수학급 12</t>
        </is>
      </c>
    </row>
    <row r="1714">
      <c r="A1714" s="5" t="inlineStr">
        <is>
          <t>가평초등학교</t>
        </is>
      </c>
      <c r="B1714" s="5" t="inlineStr">
        <is>
          <t>초등학교</t>
        </is>
      </c>
      <c r="C1714" s="5" t="inlineStr">
        <is>
          <t>공립</t>
        </is>
      </c>
      <c r="D1714" s="5" t="inlineStr">
        <is>
          <t>부산진구</t>
        </is>
      </c>
      <c r="E1714" s="5" t="inlineStr">
        <is>
          <t>부산광역시 부산진구 가야대로482번길 87</t>
        </is>
      </c>
      <c r="F1714" s="11" t="inlineStr">
        <is>
          <t>http://school.busanedu.net/busangapyeong-e/main.do</t>
        </is>
      </c>
      <c r="G1714" s="5" t="inlineStr">
        <is>
          <t>051-895-1351</t>
        </is>
      </c>
      <c r="H1714" s="12">
        <f>초등학교!Q118</f>
        <v/>
      </c>
      <c r="I1714" s="5" t="inlineStr">
        <is>
          <t>1학년 74 / 2학년 70 / 3학년 72 / 4학년 103 / 5학년 124 / 6학년 117 / 특수학급 13</t>
        </is>
      </c>
    </row>
    <row r="1715">
      <c r="A1715" s="5" t="inlineStr">
        <is>
          <t>개금초등학교</t>
        </is>
      </c>
      <c r="B1715" s="5" t="inlineStr">
        <is>
          <t>초등학교</t>
        </is>
      </c>
      <c r="C1715" s="5" t="inlineStr">
        <is>
          <t>공립</t>
        </is>
      </c>
      <c r="D1715" s="5" t="inlineStr">
        <is>
          <t>부산진구</t>
        </is>
      </c>
      <c r="E1715" s="5" t="inlineStr">
        <is>
          <t>부산광역시 부산진구 가야대로443번길 25-10</t>
        </is>
      </c>
      <c r="F1715" s="11" t="inlineStr">
        <is>
          <t>http://kaegum.es.kr/</t>
        </is>
      </c>
      <c r="G1715" s="5" t="inlineStr">
        <is>
          <t>051-893-0421</t>
        </is>
      </c>
      <c r="H1715" s="12">
        <f>초등학교!Q119</f>
        <v/>
      </c>
      <c r="I1715" s="5" t="inlineStr">
        <is>
          <t>1학년 72 / 2학년 57 / 3학년 70 / 4학년 87 / 5학년 104 / 6학년 135 / 특수학급 10</t>
        </is>
      </c>
    </row>
    <row r="1716">
      <c r="A1716" s="5" t="inlineStr">
        <is>
          <t>개림초등학교</t>
        </is>
      </c>
      <c r="B1716" s="5" t="inlineStr">
        <is>
          <t>초등학교</t>
        </is>
      </c>
      <c r="C1716" s="5" t="inlineStr">
        <is>
          <t>공립</t>
        </is>
      </c>
      <c r="D1716" s="5" t="inlineStr">
        <is>
          <t>부산진구</t>
        </is>
      </c>
      <c r="E1716" s="5" t="inlineStr">
        <is>
          <t>부산광역시 부산진구 백양대로320번길 40</t>
        </is>
      </c>
      <c r="F1716" s="5" t="inlineStr"/>
      <c r="G1716" s="5" t="inlineStr">
        <is>
          <t>051-607-7001</t>
        </is>
      </c>
      <c r="H1716" s="12">
        <f>초등학교!Q120</f>
        <v/>
      </c>
      <c r="I1716" s="5" t="inlineStr">
        <is>
          <t>1학년 82 / 2학년 80 / 3학년 100 / 4학년 108 / 5학년 132 / 6학년 111 / 특수학급 6</t>
        </is>
      </c>
    </row>
    <row r="1717">
      <c r="A1717" s="5" t="inlineStr">
        <is>
          <t>개원초등학교</t>
        </is>
      </c>
      <c r="B1717" s="5" t="inlineStr">
        <is>
          <t>초등학교</t>
        </is>
      </c>
      <c r="C1717" s="5" t="inlineStr">
        <is>
          <t>공립</t>
        </is>
      </c>
      <c r="D1717" s="5" t="inlineStr">
        <is>
          <t>부산진구</t>
        </is>
      </c>
      <c r="E1717" s="5" t="inlineStr">
        <is>
          <t>부산광역시 부산진구 백양관문로77번길 17</t>
        </is>
      </c>
      <c r="F1717" s="11" t="inlineStr">
        <is>
          <t>http://kaewone.es.kr</t>
        </is>
      </c>
      <c r="G1717" s="5" t="inlineStr">
        <is>
          <t>051-927-9640</t>
        </is>
      </c>
      <c r="H1717" s="12">
        <f>초등학교!Q121</f>
        <v/>
      </c>
      <c r="I1717" s="5" t="inlineStr">
        <is>
          <t>1학년 44 / 2학년 54 / 3학년 62 / 4학년 73 / 5학년 74 / 6학년 88 / 특수학급 7</t>
        </is>
      </c>
    </row>
    <row r="1718">
      <c r="A1718" s="5" t="inlineStr">
        <is>
          <t>개포초등학교</t>
        </is>
      </c>
      <c r="B1718" s="5" t="inlineStr">
        <is>
          <t>초등학교</t>
        </is>
      </c>
      <c r="C1718" s="5" t="inlineStr">
        <is>
          <t>공립</t>
        </is>
      </c>
      <c r="D1718" s="5" t="inlineStr">
        <is>
          <t>부산진구</t>
        </is>
      </c>
      <c r="E1718" s="5" t="inlineStr">
        <is>
          <t>부산광역시 부산진구 백양대로208번길 9</t>
        </is>
      </c>
      <c r="F1718" s="11" t="inlineStr">
        <is>
          <t>http://www.gaepo.es.kr</t>
        </is>
      </c>
      <c r="G1718" s="5" t="inlineStr">
        <is>
          <t>051-930-8000</t>
        </is>
      </c>
      <c r="H1718" s="12">
        <f>초등학교!Q122</f>
        <v/>
      </c>
      <c r="I1718" s="5" t="inlineStr">
        <is>
          <t>1학년 18 / 2학년 24 / 3학년 27 / 4학년 36 / 5학년 45 / 6학년 47 / 특수학급 5</t>
        </is>
      </c>
    </row>
    <row r="1719">
      <c r="A1719" s="5" t="inlineStr">
        <is>
          <t>개화초등학교</t>
        </is>
      </c>
      <c r="B1719" s="5" t="inlineStr">
        <is>
          <t>초등학교</t>
        </is>
      </c>
      <c r="C1719" s="5" t="inlineStr">
        <is>
          <t>공립</t>
        </is>
      </c>
      <c r="D1719" s="5" t="inlineStr">
        <is>
          <t>부산진구</t>
        </is>
      </c>
      <c r="E1719" s="5" t="inlineStr">
        <is>
          <t>부산광역시 부산진구 개금본동로66번길 12-12</t>
        </is>
      </c>
      <c r="F1719" s="11" t="inlineStr">
        <is>
          <t>http://www.kae-hwa.es.kr</t>
        </is>
      </c>
      <c r="G1719" s="5" t="inlineStr">
        <is>
          <t>051-890-0100</t>
        </is>
      </c>
      <c r="H1719" s="12">
        <f>초등학교!Q123</f>
        <v/>
      </c>
      <c r="I1719" s="5" t="inlineStr">
        <is>
          <t>1학년 14 / 2학년 10 / 3학년 23 / 4학년 21 / 5학년 33 / 6학년 30 / 특수학급 3</t>
        </is>
      </c>
    </row>
    <row r="1720">
      <c r="A1720" s="5" t="inlineStr">
        <is>
          <t>당감초등학교</t>
        </is>
      </c>
      <c r="B1720" s="5" t="inlineStr">
        <is>
          <t>초등학교</t>
        </is>
      </c>
      <c r="C1720" s="5" t="inlineStr">
        <is>
          <t>공립</t>
        </is>
      </c>
      <c r="D1720" s="5" t="inlineStr">
        <is>
          <t>부산진구</t>
        </is>
      </c>
      <c r="E1720" s="5" t="inlineStr">
        <is>
          <t>부산광역시 부산진구 당감로 22-5</t>
        </is>
      </c>
      <c r="F1720" s="11" t="inlineStr">
        <is>
          <t>http://www.danggam.es.kr</t>
        </is>
      </c>
      <c r="G1720" s="5" t="inlineStr">
        <is>
          <t>051-896-0081</t>
        </is>
      </c>
      <c r="H1720" s="12">
        <f>초등학교!Q124</f>
        <v/>
      </c>
      <c r="I1720" s="5" t="inlineStr">
        <is>
          <t>1학년 15 / 2학년 15 / 3학년 21 / 4학년 15 / 5학년 32 / 6학년 39 / 특수학급 5</t>
        </is>
      </c>
    </row>
    <row r="1721">
      <c r="A1721" s="5" t="inlineStr">
        <is>
          <t>당평초등학교</t>
        </is>
      </c>
      <c r="B1721" s="5" t="inlineStr">
        <is>
          <t>초등학교</t>
        </is>
      </c>
      <c r="C1721" s="5" t="inlineStr">
        <is>
          <t>공립</t>
        </is>
      </c>
      <c r="D1721" s="5" t="inlineStr">
        <is>
          <t>부산진구</t>
        </is>
      </c>
      <c r="E1721" s="5" t="inlineStr">
        <is>
          <t>부산광역시 부산진구 백양대로136번길 26</t>
        </is>
      </c>
      <c r="F1721" s="11" t="inlineStr">
        <is>
          <t>http://www.dangpyung.es.kr</t>
        </is>
      </c>
      <c r="G1721" s="5" t="inlineStr">
        <is>
          <t>051-890-8500</t>
        </is>
      </c>
      <c r="H1721" s="12">
        <f>초등학교!Q125</f>
        <v/>
      </c>
      <c r="I1721" s="5" t="inlineStr">
        <is>
          <t>1학년 14 / 2학년 23 / 3학년 35 / 4학년 25 / 5학년 45 / 6학년 44 / 특수학급 7</t>
        </is>
      </c>
    </row>
    <row r="1722">
      <c r="A1722" s="5" t="inlineStr">
        <is>
          <t>동성초등학교</t>
        </is>
      </c>
      <c r="B1722" s="5" t="inlineStr">
        <is>
          <t>초등학교</t>
        </is>
      </c>
      <c r="C1722" s="5" t="inlineStr">
        <is>
          <t>사립</t>
        </is>
      </c>
      <c r="D1722" s="5" t="inlineStr">
        <is>
          <t>부산진구</t>
        </is>
      </c>
      <c r="E1722" s="5" t="inlineStr">
        <is>
          <t>부산광역시 부산진구 동성로 26</t>
        </is>
      </c>
      <c r="F1722" s="11" t="inlineStr">
        <is>
          <t>https://school.busanedu.net/ds-e</t>
        </is>
      </c>
      <c r="G1722" s="5" t="inlineStr">
        <is>
          <t>051-803-8987</t>
        </is>
      </c>
      <c r="H1722" s="12">
        <f>초등학교!Q126</f>
        <v/>
      </c>
      <c r="I1722" s="5" t="inlineStr">
        <is>
          <t>1학년 112 / 2학년 112 / 3학년 112 / 4학년 112 / 5학년 120 / 6학년 120</t>
        </is>
      </c>
    </row>
    <row r="1723">
      <c r="A1723" s="5" t="inlineStr">
        <is>
          <t>동양초등학교</t>
        </is>
      </c>
      <c r="B1723" s="5" t="inlineStr">
        <is>
          <t>초등학교</t>
        </is>
      </c>
      <c r="C1723" s="5" t="inlineStr">
        <is>
          <t>공립</t>
        </is>
      </c>
      <c r="D1723" s="5" t="inlineStr">
        <is>
          <t>부산진구</t>
        </is>
      </c>
      <c r="E1723" s="5" t="inlineStr">
        <is>
          <t>부산광역시 부산진구 백양산로 99</t>
        </is>
      </c>
      <c r="F1723" s="11" t="inlineStr">
        <is>
          <t>http://school.busanedu.net/dong-yang-e/main.do</t>
        </is>
      </c>
      <c r="G1723" s="5" t="inlineStr">
        <is>
          <t>051-819-9103</t>
        </is>
      </c>
      <c r="H1723" s="12">
        <f>초등학교!Q127</f>
        <v/>
      </c>
      <c r="I1723" s="5" t="inlineStr">
        <is>
          <t>1학년 16 / 2학년 18 / 3학년 31 / 4학년 28 / 5학년 36 / 6학년 31 / 특수학급 4</t>
        </is>
      </c>
    </row>
    <row r="1724">
      <c r="A1724" s="5" t="inlineStr">
        <is>
          <t>동원초등학교</t>
        </is>
      </c>
      <c r="B1724" s="5" t="inlineStr">
        <is>
          <t>초등학교</t>
        </is>
      </c>
      <c r="C1724" s="5" t="inlineStr">
        <is>
          <t>공립</t>
        </is>
      </c>
      <c r="D1724" s="5" t="inlineStr">
        <is>
          <t>부산진구</t>
        </is>
      </c>
      <c r="E1724" s="5" t="inlineStr">
        <is>
          <t>부산광역시 부산진구 백양산로 43</t>
        </is>
      </c>
      <c r="F1724" s="11" t="inlineStr">
        <is>
          <t>http://www.pdw.es.kr</t>
        </is>
      </c>
      <c r="G1724" s="5" t="inlineStr">
        <is>
          <t>051-890-0200</t>
        </is>
      </c>
      <c r="H1724" s="12">
        <f>초등학교!Q128</f>
        <v/>
      </c>
      <c r="I1724" s="5" t="inlineStr">
        <is>
          <t>1학년 76 / 2학년 92 / 3학년 99 / 4학년 92 / 5학년 114 / 6학년 108 / 특수학급 6</t>
        </is>
      </c>
    </row>
    <row r="1725">
      <c r="A1725" s="5" t="inlineStr">
        <is>
          <t>동평초등학교</t>
        </is>
      </c>
      <c r="B1725" s="5" t="inlineStr">
        <is>
          <t>초등학교</t>
        </is>
      </c>
      <c r="C1725" s="5" t="inlineStr">
        <is>
          <t>공립</t>
        </is>
      </c>
      <c r="D1725" s="5" t="inlineStr">
        <is>
          <t>부산진구</t>
        </is>
      </c>
      <c r="E1725" s="5" t="inlineStr">
        <is>
          <t>부산광역시 부산진구 당감서로65번길 31</t>
        </is>
      </c>
      <c r="F1725" s="11" t="inlineStr">
        <is>
          <t>http://dongpyeong.es.kr</t>
        </is>
      </c>
      <c r="G1725" s="5" t="inlineStr">
        <is>
          <t>051-718-0100</t>
        </is>
      </c>
      <c r="H1725" s="12">
        <f>초등학교!Q129</f>
        <v/>
      </c>
      <c r="I1725" s="5" t="inlineStr">
        <is>
          <t>1학년 74 / 2학년 92 / 3학년 79 / 4학년 86 / 5학년 88 / 6학년 81 / 특수학급 6</t>
        </is>
      </c>
    </row>
    <row r="1726">
      <c r="A1726" s="5" t="inlineStr">
        <is>
          <t>부산진초등학교</t>
        </is>
      </c>
      <c r="B1726" s="5" t="inlineStr">
        <is>
          <t>초등학교</t>
        </is>
      </c>
      <c r="C1726" s="5" t="inlineStr">
        <is>
          <t>공립</t>
        </is>
      </c>
      <c r="D1726" s="5" t="inlineStr">
        <is>
          <t>부산진구</t>
        </is>
      </c>
      <c r="E1726" s="5" t="inlineStr">
        <is>
          <t>부산광역시 부산진구 범천로 30</t>
        </is>
      </c>
      <c r="F1726" s="11" t="inlineStr">
        <is>
          <t>http://pusanjin.es.kr</t>
        </is>
      </c>
      <c r="G1726" s="5" t="inlineStr">
        <is>
          <t>051-801-2800</t>
        </is>
      </c>
      <c r="H1726" s="12">
        <f>초등학교!Q130</f>
        <v/>
      </c>
      <c r="I1726" s="5" t="inlineStr">
        <is>
          <t>1학년 48 / 2학년 52 / 3학년 75 / 4학년 78 / 5학년 68 / 6학년 60 / 특수학급 8</t>
        </is>
      </c>
    </row>
    <row r="1727">
      <c r="A1727" s="5" t="inlineStr">
        <is>
          <t>부암초등학교</t>
        </is>
      </c>
      <c r="B1727" s="5" t="inlineStr">
        <is>
          <t>초등학교</t>
        </is>
      </c>
      <c r="C1727" s="5" t="inlineStr">
        <is>
          <t>공립</t>
        </is>
      </c>
      <c r="D1727" s="5" t="inlineStr">
        <is>
          <t>부산진구</t>
        </is>
      </c>
      <c r="E1727" s="5" t="inlineStr">
        <is>
          <t>부산광역시 부산진구 신천대로263번길 26</t>
        </is>
      </c>
      <c r="F1727" s="11" t="inlineStr">
        <is>
          <t>http://www.buam.es.kr</t>
        </is>
      </c>
      <c r="G1727" s="5" t="inlineStr">
        <is>
          <t>051-816-2675</t>
        </is>
      </c>
      <c r="H1727" s="12">
        <f>초등학교!Q131</f>
        <v/>
      </c>
      <c r="I1727" s="5" t="inlineStr">
        <is>
          <t>1학년 101 / 2학년 104 / 3학년 101 / 4학년 122 / 5학년 115 / 6학년 131 / 특수학급 11</t>
        </is>
      </c>
    </row>
    <row r="1728">
      <c r="A1728" s="5" t="inlineStr">
        <is>
          <t>부전초등학교</t>
        </is>
      </c>
      <c r="B1728" s="5" t="inlineStr">
        <is>
          <t>초등학교</t>
        </is>
      </c>
      <c r="C1728" s="5" t="inlineStr">
        <is>
          <t>공립</t>
        </is>
      </c>
      <c r="D1728" s="5" t="inlineStr">
        <is>
          <t>부산진구</t>
        </is>
      </c>
      <c r="E1728" s="5" t="inlineStr">
        <is>
          <t>부산광역시 부산진구 부전로65번길 25</t>
        </is>
      </c>
      <c r="F1728" s="11" t="inlineStr">
        <is>
          <t>https://school.busanedu.net/pspujun-e/main.do#</t>
        </is>
      </c>
      <c r="G1728" s="5" t="inlineStr">
        <is>
          <t>051-811-7800</t>
        </is>
      </c>
      <c r="H1728" s="12">
        <f>초등학교!Q132</f>
        <v/>
      </c>
      <c r="I1728" s="5" t="inlineStr">
        <is>
          <t>1학년 59 / 2학년 62 / 3학년 49 / 4학년 61 / 5학년 56 / 6학년 62 / 특수학급 5</t>
        </is>
      </c>
    </row>
    <row r="1729">
      <c r="A1729" s="5" t="inlineStr">
        <is>
          <t>선암초등학교</t>
        </is>
      </c>
      <c r="B1729" s="5" t="inlineStr">
        <is>
          <t>초등학교</t>
        </is>
      </c>
      <c r="C1729" s="5" t="inlineStr">
        <is>
          <t>공립</t>
        </is>
      </c>
      <c r="D1729" s="5" t="inlineStr">
        <is>
          <t>부산진구</t>
        </is>
      </c>
      <c r="E1729" s="5" t="inlineStr">
        <is>
          <t>부산광역시 부산진구 엄광로 412</t>
        </is>
      </c>
      <c r="F1729" s="11" t="inlineStr">
        <is>
          <t>http://sunam.es.kr</t>
        </is>
      </c>
      <c r="G1729" s="5" t="inlineStr">
        <is>
          <t>051-646-7955</t>
        </is>
      </c>
      <c r="H1729" s="12">
        <f>초등학교!Q133</f>
        <v/>
      </c>
      <c r="I1729" s="5" t="inlineStr">
        <is>
          <t>1학년 23 / 2학년 21 / 3학년 30 / 4학년 23 / 5학년 21 / 6학년 13 / 특수학급 4</t>
        </is>
      </c>
    </row>
    <row r="1730">
      <c r="A1730" s="5" t="inlineStr">
        <is>
          <t>성북초등학교</t>
        </is>
      </c>
      <c r="B1730" s="5" t="inlineStr">
        <is>
          <t>초등학교</t>
        </is>
      </c>
      <c r="C1730" s="5" t="inlineStr">
        <is>
          <t>공립</t>
        </is>
      </c>
      <c r="D1730" s="5" t="inlineStr">
        <is>
          <t>부산진구</t>
        </is>
      </c>
      <c r="E1730" s="5" t="inlineStr">
        <is>
          <t>부산광역시 부산진구 황령대로 79</t>
        </is>
      </c>
      <c r="F1730" s="11" t="inlineStr">
        <is>
          <t>https://school.busanedu.net/seongbuk-e/</t>
        </is>
      </c>
      <c r="G1730" s="5" t="inlineStr">
        <is>
          <t>051-802-0872</t>
        </is>
      </c>
      <c r="H1730" s="12">
        <f>초등학교!Q134</f>
        <v/>
      </c>
      <c r="I1730" s="5" t="inlineStr">
        <is>
          <t>1학년 65 / 2학년 72 / 3학년 102 / 4학년 103 / 5학년 120 / 6학년 103 / 특수학급 12</t>
        </is>
      </c>
    </row>
    <row r="1731">
      <c r="A1731" s="5" t="inlineStr">
        <is>
          <t>성서초등학교</t>
        </is>
      </c>
      <c r="B1731" s="5" t="inlineStr">
        <is>
          <t>초등학교</t>
        </is>
      </c>
      <c r="C1731" s="5" t="inlineStr">
        <is>
          <t>공립</t>
        </is>
      </c>
      <c r="D1731" s="5" t="inlineStr">
        <is>
          <t>부산진구</t>
        </is>
      </c>
      <c r="E1731" s="5" t="inlineStr">
        <is>
          <t>부산광역시 부산진구 중앙번영로 25</t>
        </is>
      </c>
      <c r="F1731" s="11" t="inlineStr">
        <is>
          <t>http://www.sungso.es.kr</t>
        </is>
      </c>
      <c r="G1731" s="5" t="inlineStr">
        <is>
          <t>051-631-0481</t>
        </is>
      </c>
      <c r="H1731" s="12">
        <f>초등학교!Q135</f>
        <v/>
      </c>
      <c r="I1731" s="5" t="inlineStr">
        <is>
          <t>1학년 25 / 2학년 29 / 3학년 33 / 4학년 24 / 5학년 25 / 6학년 30 / 특수학급 5</t>
        </is>
      </c>
    </row>
    <row r="1732">
      <c r="A1732" s="5" t="inlineStr">
        <is>
          <t>성전초등학교</t>
        </is>
      </c>
      <c r="B1732" s="5" t="inlineStr">
        <is>
          <t>초등학교</t>
        </is>
      </c>
      <c r="C1732" s="5" t="inlineStr">
        <is>
          <t>공립</t>
        </is>
      </c>
      <c r="D1732" s="5" t="inlineStr">
        <is>
          <t>부산진구</t>
        </is>
      </c>
      <c r="E1732" s="5" t="inlineStr">
        <is>
          <t>부산광역시 부산진구 전포대로298번길 15</t>
        </is>
      </c>
      <c r="F1732" s="11" t="inlineStr">
        <is>
          <t>http://www.sungjeun.es.kr/</t>
        </is>
      </c>
      <c r="G1732" s="5" t="inlineStr">
        <is>
          <t>051-7195-700</t>
        </is>
      </c>
      <c r="H1732" s="12">
        <f>초등학교!Q136</f>
        <v/>
      </c>
      <c r="I1732" s="5" t="inlineStr">
        <is>
          <t>1학년 62 / 2학년 79 / 3학년 67 / 4학년 70 / 5학년 69 / 6학년 69 / 특수학급 4</t>
        </is>
      </c>
    </row>
    <row r="1733">
      <c r="A1733" s="5" t="inlineStr">
        <is>
          <t>성지초등학교</t>
        </is>
      </c>
      <c r="B1733" s="5" t="inlineStr">
        <is>
          <t>초등학교</t>
        </is>
      </c>
      <c r="C1733" s="5" t="inlineStr">
        <is>
          <t>공립</t>
        </is>
      </c>
      <c r="D1733" s="5" t="inlineStr">
        <is>
          <t>부산진구</t>
        </is>
      </c>
      <c r="E1733" s="5" t="inlineStr">
        <is>
          <t>부산광역시 부산진구 시민공원로 62</t>
        </is>
      </c>
      <c r="F1733" s="11" t="inlineStr">
        <is>
          <t>http://www.sungji.es.kr</t>
        </is>
      </c>
      <c r="G1733" s="5" t="inlineStr">
        <is>
          <t>051-816-0242</t>
        </is>
      </c>
      <c r="H1733" s="12">
        <f>초등학교!Q137</f>
        <v/>
      </c>
      <c r="I1733" s="5" t="inlineStr">
        <is>
          <t>1학년 58 / 2학년 69 / 3학년 55 / 4학년 86 / 5학년 71 / 6학년 89 / 특수학급 13</t>
        </is>
      </c>
    </row>
    <row r="1734">
      <c r="A1734" s="5" t="inlineStr">
        <is>
          <t>양동초등학교</t>
        </is>
      </c>
      <c r="B1734" s="5" t="inlineStr">
        <is>
          <t>초등학교</t>
        </is>
      </c>
      <c r="C1734" s="5" t="inlineStr">
        <is>
          <t>공립</t>
        </is>
      </c>
      <c r="D1734" s="5" t="inlineStr">
        <is>
          <t>부산진구</t>
        </is>
      </c>
      <c r="E1734" s="5" t="inlineStr">
        <is>
          <t>부산광역시 부산진구 황령산로605번길 35-10</t>
        </is>
      </c>
      <c r="F1734" s="11" t="inlineStr">
        <is>
          <t>http://www.yangdong.es.kr/</t>
        </is>
      </c>
      <c r="G1734" s="5" t="inlineStr">
        <is>
          <t>051-863-1656</t>
        </is>
      </c>
      <c r="H1734" s="12">
        <f>초등학교!Q138</f>
        <v/>
      </c>
      <c r="I1734" s="5" t="inlineStr">
        <is>
          <t>1학년 171 / 2학년 153 / 3학년 179 / 4학년 191 / 5학년 160 / 6학년 164 / 특수학급 16</t>
        </is>
      </c>
    </row>
    <row r="1735">
      <c r="A1735" s="5" t="inlineStr">
        <is>
          <t>양성초등학교</t>
        </is>
      </c>
      <c r="B1735" s="5" t="inlineStr">
        <is>
          <t>초등학교</t>
        </is>
      </c>
      <c r="C1735" s="5" t="inlineStr">
        <is>
          <t>공립</t>
        </is>
      </c>
      <c r="D1735" s="5" t="inlineStr">
        <is>
          <t>부산진구</t>
        </is>
      </c>
      <c r="E1735" s="5" t="inlineStr">
        <is>
          <t>부산광역시 부산진구 양성로 34</t>
        </is>
      </c>
      <c r="F1735" s="11" t="inlineStr">
        <is>
          <t>http://yangsung.es.kr</t>
        </is>
      </c>
      <c r="G1735" s="5" t="inlineStr">
        <is>
          <t>051-868-7414</t>
        </is>
      </c>
      <c r="H1735" s="12">
        <f>초등학교!Q139</f>
        <v/>
      </c>
      <c r="I1735" s="5" t="inlineStr">
        <is>
          <t>1학년 28 / 2학년 39 / 3학년 35 / 4학년 41 / 5학년 44 / 6학년 58 / 특수학급 9</t>
        </is>
      </c>
    </row>
    <row r="1736">
      <c r="A1736" s="5" t="inlineStr">
        <is>
          <t>양정초등학교</t>
        </is>
      </c>
      <c r="B1736" s="5" t="inlineStr">
        <is>
          <t>초등학교</t>
        </is>
      </c>
      <c r="C1736" s="5" t="inlineStr">
        <is>
          <t>공립</t>
        </is>
      </c>
      <c r="D1736" s="5" t="inlineStr">
        <is>
          <t>부산진구</t>
        </is>
      </c>
      <c r="E1736" s="5" t="inlineStr">
        <is>
          <t>부산광역시 부산진구 중앙대로941번길 24</t>
        </is>
      </c>
      <c r="F1736" s="11" t="inlineStr">
        <is>
          <t>http://www.yj.es.kr</t>
        </is>
      </c>
      <c r="G1736" s="5" t="inlineStr">
        <is>
          <t>051-852-0903</t>
        </is>
      </c>
      <c r="H1736" s="12">
        <f>초등학교!Q140</f>
        <v/>
      </c>
      <c r="I1736" s="5" t="inlineStr">
        <is>
          <t>1학년 128 / 2학년 124 / 3학년 123 / 4학년 146 / 5학년 153 / 6학년 149 / 특수학급 14</t>
        </is>
      </c>
    </row>
    <row r="1737">
      <c r="A1737" s="5" t="inlineStr">
        <is>
          <t>연지초등학교</t>
        </is>
      </c>
      <c r="B1737" s="5" t="inlineStr">
        <is>
          <t>초등학교</t>
        </is>
      </c>
      <c r="C1737" s="5" t="inlineStr">
        <is>
          <t>공립</t>
        </is>
      </c>
      <c r="D1737" s="5" t="inlineStr">
        <is>
          <t>부산진구</t>
        </is>
      </c>
      <c r="E1737" s="5" t="inlineStr">
        <is>
          <t>부산광역시 부산진구 연지로 29</t>
        </is>
      </c>
      <c r="F1737" s="11" t="inlineStr">
        <is>
          <t>http://yeonji.es.kr/</t>
        </is>
      </c>
      <c r="G1737" s="5" t="inlineStr">
        <is>
          <t>051-816-0541</t>
        </is>
      </c>
      <c r="H1737" s="12">
        <f>초등학교!Q141</f>
        <v/>
      </c>
      <c r="I1737" s="5" t="inlineStr">
        <is>
          <t>1학년 177 / 2학년 187 / 3학년 205 / 4학년 219 / 5학년 236 / 6학년 214 / 특수학급 14</t>
        </is>
      </c>
    </row>
    <row r="1738">
      <c r="A1738" s="5" t="inlineStr">
        <is>
          <t>연학초등학교</t>
        </is>
      </c>
      <c r="B1738" s="5" t="inlineStr">
        <is>
          <t>초등학교</t>
        </is>
      </c>
      <c r="C1738" s="5" t="inlineStr">
        <is>
          <t>공립</t>
        </is>
      </c>
      <c r="D1738" s="5" t="inlineStr">
        <is>
          <t>부산진구</t>
        </is>
      </c>
      <c r="E1738" s="5" t="inlineStr">
        <is>
          <t>부산광역시 부산진구 초읍천로 43번길</t>
        </is>
      </c>
      <c r="F1738" s="11" t="inlineStr">
        <is>
          <t>http://www.yeonhak.es.kr</t>
        </is>
      </c>
      <c r="G1738" s="5" t="inlineStr">
        <is>
          <t>051-7182-800</t>
        </is>
      </c>
      <c r="H1738" s="12">
        <f>초등학교!Q142</f>
        <v/>
      </c>
      <c r="I1738" s="5" t="inlineStr">
        <is>
          <t>1학년 38 / 2학년 49 / 3학년 59 / 4학년 73 / 5학년 60 / 6학년 67 / 특수학급 6</t>
        </is>
      </c>
    </row>
    <row r="1739">
      <c r="A1739" s="5" t="inlineStr">
        <is>
          <t>전포초등학교</t>
        </is>
      </c>
      <c r="B1739" s="5" t="inlineStr">
        <is>
          <t>초등학교</t>
        </is>
      </c>
      <c r="C1739" s="5" t="inlineStr">
        <is>
          <t>공립</t>
        </is>
      </c>
      <c r="D1739" s="5" t="inlineStr">
        <is>
          <t>부산진구</t>
        </is>
      </c>
      <c r="E1739" s="5" t="inlineStr">
        <is>
          <t>부산광역시 부산진구 전포대로255번길 38</t>
        </is>
      </c>
      <c r="F1739" s="11" t="inlineStr">
        <is>
          <t>http://jeonpo.es.kr/</t>
        </is>
      </c>
      <c r="G1739" s="5" t="inlineStr">
        <is>
          <t>051-809-7862</t>
        </is>
      </c>
      <c r="H1739" s="12">
        <f>초등학교!Q143</f>
        <v/>
      </c>
      <c r="I1739" s="5" t="inlineStr">
        <is>
          <t>1학년 44 / 2학년 43 / 3학년 60 / 4학년 63 / 5학년 46 / 6학년 61 / 특수학급 8</t>
        </is>
      </c>
    </row>
    <row r="1740">
      <c r="A1740" s="5" t="inlineStr">
        <is>
          <t>주례초등학교</t>
        </is>
      </c>
      <c r="B1740" s="5" t="inlineStr">
        <is>
          <t>초등학교</t>
        </is>
      </c>
      <c r="C1740" s="5" t="inlineStr">
        <is>
          <t>공립</t>
        </is>
      </c>
      <c r="D1740" s="5" t="inlineStr">
        <is>
          <t>부산진구</t>
        </is>
      </c>
      <c r="E1740" s="5" t="inlineStr">
        <is>
          <t>부산광역시 부산진구 진사로61번길 28-7</t>
        </is>
      </c>
      <c r="F1740" s="11" t="inlineStr">
        <is>
          <t>http://www.jure.es.kr</t>
        </is>
      </c>
      <c r="G1740" s="5" t="inlineStr">
        <is>
          <t>051-890-5500</t>
        </is>
      </c>
      <c r="H1740" s="12">
        <f>초등학교!Q144</f>
        <v/>
      </c>
      <c r="I1740" s="5" t="inlineStr">
        <is>
          <t>1학년 21 / 2학년 38 / 3학년 43 / 4학년 46 / 5학년 65 / 6학년 48 / 특수학급 11</t>
        </is>
      </c>
    </row>
    <row r="1741">
      <c r="A1741" s="5" t="inlineStr">
        <is>
          <t>초읍초등학교</t>
        </is>
      </c>
      <c r="B1741" s="5" t="inlineStr">
        <is>
          <t>초등학교</t>
        </is>
      </c>
      <c r="C1741" s="5" t="inlineStr">
        <is>
          <t>공립</t>
        </is>
      </c>
      <c r="D1741" s="5" t="inlineStr">
        <is>
          <t>부산진구</t>
        </is>
      </c>
      <c r="E1741" s="5" t="inlineStr">
        <is>
          <t>부산광역시 부산진구 성지로104번길 26</t>
        </is>
      </c>
      <c r="F1741" s="11" t="inlineStr">
        <is>
          <t>http://www.choup.es.kr</t>
        </is>
      </c>
      <c r="G1741" s="5" t="inlineStr">
        <is>
          <t>051-797-9400</t>
        </is>
      </c>
      <c r="H1741" s="12">
        <f>초등학교!Q145</f>
        <v/>
      </c>
      <c r="I1741" s="5" t="inlineStr">
        <is>
          <t>1학년 67 / 2학년 51 / 3학년 65 / 4학년 72 / 5학년 75 / 6학년 70 / 특수학급 6</t>
        </is>
      </c>
    </row>
    <row r="1742">
      <c r="A1742" s="5" t="inlineStr">
        <is>
          <t>구남초등학교</t>
        </is>
      </c>
      <c r="B1742" s="5" t="inlineStr">
        <is>
          <t>초등학교</t>
        </is>
      </c>
      <c r="C1742" s="5" t="inlineStr">
        <is>
          <t>공립</t>
        </is>
      </c>
      <c r="D1742" s="5" t="inlineStr">
        <is>
          <t>북구</t>
        </is>
      </c>
      <c r="E1742" s="5" t="inlineStr">
        <is>
          <t>부산광역시 북구 구남로14번가길 23</t>
        </is>
      </c>
      <c r="F1742" s="11" t="inlineStr">
        <is>
          <t>http://kunam.es.kr</t>
        </is>
      </c>
      <c r="G1742" s="5" t="inlineStr">
        <is>
          <t>051-336-6602</t>
        </is>
      </c>
      <c r="H1742" s="12">
        <f>초등학교!Q146</f>
        <v/>
      </c>
      <c r="I1742" s="5" t="inlineStr">
        <is>
          <t>1학년 30 / 2학년 61 / 3학년 41 / 4학년 63 / 5학년 72 / 6학년 73 / 특수학급 8</t>
        </is>
      </c>
    </row>
    <row r="1743">
      <c r="A1743" s="5" t="inlineStr">
        <is>
          <t>구포초등학교</t>
        </is>
      </c>
      <c r="B1743" s="5" t="inlineStr">
        <is>
          <t>초등학교</t>
        </is>
      </c>
      <c r="C1743" s="5" t="inlineStr">
        <is>
          <t>공립</t>
        </is>
      </c>
      <c r="D1743" s="5" t="inlineStr">
        <is>
          <t>북구</t>
        </is>
      </c>
      <c r="E1743" s="5" t="inlineStr">
        <is>
          <t>부산광역시 북구 백양대로1124번길 20</t>
        </is>
      </c>
      <c r="F1743" s="11" t="inlineStr">
        <is>
          <t>http://school.busanedu.net/gupo-e</t>
        </is>
      </c>
      <c r="G1743" s="5" t="inlineStr">
        <is>
          <t>051-330-5900</t>
        </is>
      </c>
      <c r="H1743" s="12">
        <f>초등학교!Q147</f>
        <v/>
      </c>
      <c r="I1743" s="5" t="inlineStr">
        <is>
          <t>1학년 87 / 2학년 91 / 3학년 79 / 4학년 109 / 5학년 92 / 6학년 87 / 특수학급 15</t>
        </is>
      </c>
    </row>
    <row r="1744">
      <c r="A1744" s="5" t="inlineStr">
        <is>
          <t>금곡초등학교</t>
        </is>
      </c>
      <c r="B1744" s="5" t="inlineStr">
        <is>
          <t>초등학교</t>
        </is>
      </c>
      <c r="C1744" s="5" t="inlineStr">
        <is>
          <t>공립</t>
        </is>
      </c>
      <c r="D1744" s="5" t="inlineStr">
        <is>
          <t>북구</t>
        </is>
      </c>
      <c r="E1744" s="5" t="inlineStr">
        <is>
          <t>부산광역시 북구 효열로 174</t>
        </is>
      </c>
      <c r="F1744" s="11" t="inlineStr">
        <is>
          <t>http://www.geumgok.es.kr/</t>
        </is>
      </c>
      <c r="G1744" s="5" t="inlineStr">
        <is>
          <t>051-330-5500</t>
        </is>
      </c>
      <c r="H1744" s="12">
        <f>초등학교!Q148</f>
        <v/>
      </c>
      <c r="I1744" s="5" t="inlineStr">
        <is>
          <t>1학년 21 / 2학년 29 / 3학년 43 / 4학년 38 / 5학년 52 / 6학년 48 / 특수학급 5</t>
        </is>
      </c>
    </row>
    <row r="1745">
      <c r="A1745" s="5" t="inlineStr">
        <is>
          <t>금명초등학교</t>
        </is>
      </c>
      <c r="B1745" s="5" t="inlineStr">
        <is>
          <t>초등학교</t>
        </is>
      </c>
      <c r="C1745" s="5" t="inlineStr">
        <is>
          <t>공립</t>
        </is>
      </c>
      <c r="D1745" s="5" t="inlineStr">
        <is>
          <t>북구</t>
        </is>
      </c>
      <c r="E1745" s="5" t="inlineStr">
        <is>
          <t>부산광역시 북구 화명신도시로 197</t>
        </is>
      </c>
      <c r="F1745" s="11" t="inlineStr">
        <is>
          <t>https://school.busanedu.net/geummyeong-e/</t>
        </is>
      </c>
      <c r="G1745" s="5" t="inlineStr">
        <is>
          <t>051-364-1837</t>
        </is>
      </c>
      <c r="H1745" s="12">
        <f>초등학교!Q149</f>
        <v/>
      </c>
      <c r="I1745" s="5" t="inlineStr">
        <is>
          <t>1학년 37 / 2학년 61 / 3학년 56 / 4학년 69 / 5학년 88 / 6학년 89 / 특수학급 6</t>
        </is>
      </c>
    </row>
    <row r="1746">
      <c r="A1746" s="5" t="inlineStr">
        <is>
          <t>금창초등학교</t>
        </is>
      </c>
      <c r="B1746" s="5" t="inlineStr">
        <is>
          <t>초등학교</t>
        </is>
      </c>
      <c r="C1746" s="5" t="inlineStr">
        <is>
          <t>공립</t>
        </is>
      </c>
      <c r="D1746" s="5" t="inlineStr">
        <is>
          <t>북구</t>
        </is>
      </c>
      <c r="E1746" s="5" t="inlineStr">
        <is>
          <t>부산광역시 북구 효열로235번길 14</t>
        </is>
      </c>
      <c r="F1746" s="11" t="inlineStr">
        <is>
          <t>http://www.geumchang.es.kr</t>
        </is>
      </c>
      <c r="G1746" s="5" t="inlineStr">
        <is>
          <t>051-320-5600</t>
        </is>
      </c>
      <c r="H1746" s="12">
        <f>초등학교!Q150</f>
        <v/>
      </c>
      <c r="I1746" s="5" t="inlineStr">
        <is>
          <t>1학년 7 / 2학년 9 / 3학년 3 / 4학년 20 / 5학년 15 / 6학년 28 / 특수학급 6</t>
        </is>
      </c>
    </row>
    <row r="1747">
      <c r="A1747" s="5" t="inlineStr">
        <is>
          <t>대천리초등학교</t>
        </is>
      </c>
      <c r="B1747" s="5" t="inlineStr">
        <is>
          <t>초등학교</t>
        </is>
      </c>
      <c r="C1747" s="5" t="inlineStr">
        <is>
          <t>공립</t>
        </is>
      </c>
      <c r="D1747" s="5" t="inlineStr">
        <is>
          <t>북구</t>
        </is>
      </c>
      <c r="E1747" s="5" t="inlineStr">
        <is>
          <t>부산광역시 북구 산성로 87-10</t>
        </is>
      </c>
      <c r="F1747" s="11" t="inlineStr">
        <is>
          <t>http://www.daechunlee.es.kr</t>
        </is>
      </c>
      <c r="G1747" s="5" t="inlineStr">
        <is>
          <t>051-366-2700</t>
        </is>
      </c>
      <c r="H1747" s="12">
        <f>초등학교!Q151</f>
        <v/>
      </c>
      <c r="I1747" s="5" t="inlineStr">
        <is>
          <t>1학년 19 / 2학년 19 / 3학년 21 / 4학년 31 / 5학년 46 / 6학년 37 / 특수학급 6</t>
        </is>
      </c>
    </row>
    <row r="1748">
      <c r="A1748" s="5" t="inlineStr">
        <is>
          <t>덕성초등학교</t>
        </is>
      </c>
      <c r="B1748" s="5" t="inlineStr">
        <is>
          <t>초등학교</t>
        </is>
      </c>
      <c r="C1748" s="5" t="inlineStr">
        <is>
          <t>공립</t>
        </is>
      </c>
      <c r="D1748" s="5" t="inlineStr">
        <is>
          <t>북구</t>
        </is>
      </c>
      <c r="E1748" s="5" t="inlineStr">
        <is>
          <t>부산광역시 북구 만덕대로39번길 45</t>
        </is>
      </c>
      <c r="F1748" s="11" t="inlineStr">
        <is>
          <t>http://school.busanedu.net/dsedu-e</t>
        </is>
      </c>
      <c r="G1748" s="5" t="inlineStr">
        <is>
          <t>051-330-3600</t>
        </is>
      </c>
      <c r="H1748" s="12">
        <f>초등학교!Q152</f>
        <v/>
      </c>
      <c r="I1748" s="5" t="inlineStr">
        <is>
          <t>1학년 56 / 2학년 61 / 3학년 52 / 4학년 57 / 5학년 60 / 6학년 54 / 특수학급 6</t>
        </is>
      </c>
    </row>
    <row r="1749">
      <c r="A1749" s="5" t="inlineStr">
        <is>
          <t>덕양초등학교</t>
        </is>
      </c>
      <c r="B1749" s="5" t="inlineStr">
        <is>
          <t>초등학교</t>
        </is>
      </c>
      <c r="C1749" s="5" t="inlineStr">
        <is>
          <t>공립</t>
        </is>
      </c>
      <c r="D1749" s="5" t="inlineStr">
        <is>
          <t>북구</t>
        </is>
      </c>
      <c r="E1749" s="5" t="inlineStr">
        <is>
          <t>부산광역시 북구 함박봉로 42</t>
        </is>
      </c>
      <c r="F1749" s="11" t="inlineStr">
        <is>
          <t>http://deokyang.es.kr</t>
        </is>
      </c>
      <c r="G1749" s="5" t="inlineStr">
        <is>
          <t>051-338-8364</t>
        </is>
      </c>
      <c r="H1749" s="12">
        <f>초등학교!Q153</f>
        <v/>
      </c>
      <c r="I1749" s="5" t="inlineStr">
        <is>
          <t>1학년 33 / 2학년 38 / 3학년 44 / 4학년 46 / 5학년 62 / 6학년 60 / 특수학급 5</t>
        </is>
      </c>
    </row>
    <row r="1750">
      <c r="A1750" s="5" t="inlineStr">
        <is>
          <t>덕천초등학교</t>
        </is>
      </c>
      <c r="B1750" s="5" t="inlineStr">
        <is>
          <t>초등학교</t>
        </is>
      </c>
      <c r="C1750" s="5" t="inlineStr">
        <is>
          <t>공립</t>
        </is>
      </c>
      <c r="D1750" s="5" t="inlineStr">
        <is>
          <t>북구</t>
        </is>
      </c>
      <c r="E1750" s="5" t="inlineStr">
        <is>
          <t>부산광역시 북구 덕천2길 10</t>
        </is>
      </c>
      <c r="F1750" s="11" t="inlineStr">
        <is>
          <t>http://school.busanedu.net/dugchun-e/main.do</t>
        </is>
      </c>
      <c r="G1750" s="5" t="inlineStr">
        <is>
          <t>051-331-9194</t>
        </is>
      </c>
      <c r="H1750" s="12">
        <f>초등학교!Q154</f>
        <v/>
      </c>
      <c r="I1750" s="5" t="inlineStr">
        <is>
          <t>1학년 7 / 2학년 11 / 3학년 7 / 4학년 13 / 5학년 14 / 6학년 11 / 특수학급 4</t>
        </is>
      </c>
    </row>
    <row r="1751">
      <c r="A1751" s="5" t="inlineStr">
        <is>
          <t>만덕초등학교</t>
        </is>
      </c>
      <c r="B1751" s="5" t="inlineStr">
        <is>
          <t>초등학교</t>
        </is>
      </c>
      <c r="C1751" s="5" t="inlineStr">
        <is>
          <t>공립</t>
        </is>
      </c>
      <c r="D1751" s="5" t="inlineStr">
        <is>
          <t>북구</t>
        </is>
      </c>
      <c r="E1751" s="5" t="inlineStr">
        <is>
          <t>부산광역시 북구 만덕1로 72</t>
        </is>
      </c>
      <c r="F1751" s="11" t="inlineStr">
        <is>
          <t>http://manduk.or.kr</t>
        </is>
      </c>
      <c r="G1751" s="5" t="inlineStr">
        <is>
          <t>051-320-7600</t>
        </is>
      </c>
      <c r="H1751" s="12">
        <f>초등학교!Q155</f>
        <v/>
      </c>
      <c r="I1751" s="5" t="inlineStr">
        <is>
          <t>1학년 58 / 2학년 62 / 3학년 69 / 4학년 73 / 5학년 57 / 6학년 54 / 특수학급 7</t>
        </is>
      </c>
    </row>
    <row r="1752">
      <c r="A1752" s="5" t="inlineStr">
        <is>
          <t>명덕초등학교</t>
        </is>
      </c>
      <c r="B1752" s="5" t="inlineStr">
        <is>
          <t>초등학교</t>
        </is>
      </c>
      <c r="C1752" s="5" t="inlineStr">
        <is>
          <t>공립</t>
        </is>
      </c>
      <c r="D1752" s="5" t="inlineStr">
        <is>
          <t>북구</t>
        </is>
      </c>
      <c r="E1752" s="5" t="inlineStr">
        <is>
          <t>부산광역시 북구 금곡대로186번길 43</t>
        </is>
      </c>
      <c r="F1752" s="11" t="inlineStr">
        <is>
          <t>http://myd.es.kr</t>
        </is>
      </c>
      <c r="G1752" s="5" t="inlineStr">
        <is>
          <t>051-330-6800</t>
        </is>
      </c>
      <c r="H1752" s="12">
        <f>초등학교!Q156</f>
        <v/>
      </c>
      <c r="I1752" s="5" t="inlineStr">
        <is>
          <t>1학년 70 / 2학년 82 / 3학년 98 / 4학년 108 / 5학년 127 / 6학년 115 / 특수학급 7</t>
        </is>
      </c>
    </row>
    <row r="1753">
      <c r="A1753" s="5" t="inlineStr">
        <is>
          <t>명진초등학교</t>
        </is>
      </c>
      <c r="B1753" s="5" t="inlineStr">
        <is>
          <t>초등학교</t>
        </is>
      </c>
      <c r="C1753" s="5" t="inlineStr">
        <is>
          <t>공립</t>
        </is>
      </c>
      <c r="D1753" s="5" t="inlineStr">
        <is>
          <t>북구</t>
        </is>
      </c>
      <c r="E1753" s="5" t="inlineStr">
        <is>
          <t>부산광역시 북구 화명신도시로 159</t>
        </is>
      </c>
      <c r="F1753" s="11" t="inlineStr">
        <is>
          <t>http://myungjin.es.kr</t>
        </is>
      </c>
      <c r="G1753" s="5" t="inlineStr">
        <is>
          <t>051-330-4700</t>
        </is>
      </c>
      <c r="H1753" s="12">
        <f>초등학교!Q157</f>
        <v/>
      </c>
      <c r="I1753" s="5" t="inlineStr">
        <is>
          <t>1학년 59 / 2학년 75 / 3학년 88 / 4학년 92 / 5학년 107 / 6학년 115 / 특수학급 2</t>
        </is>
      </c>
    </row>
    <row r="1754">
      <c r="A1754" s="5" t="inlineStr">
        <is>
          <t>백산초등학교</t>
        </is>
      </c>
      <c r="B1754" s="5" t="inlineStr">
        <is>
          <t>초등학교</t>
        </is>
      </c>
      <c r="C1754" s="5" t="inlineStr">
        <is>
          <t>공립</t>
        </is>
      </c>
      <c r="D1754" s="5" t="inlineStr">
        <is>
          <t>북구</t>
        </is>
      </c>
      <c r="E1754" s="5" t="inlineStr">
        <is>
          <t>부산광역시 북구 덕천로259번길 23</t>
        </is>
      </c>
      <c r="F1754" s="11" t="inlineStr">
        <is>
          <t>http://www.baeksan.es.kr</t>
        </is>
      </c>
      <c r="G1754" s="5" t="inlineStr">
        <is>
          <t>051-330-8900</t>
        </is>
      </c>
      <c r="H1754" s="12">
        <f>초등학교!Q158</f>
        <v/>
      </c>
      <c r="I1754" s="5" t="inlineStr">
        <is>
          <t>1학년 61 / 2학년 58 / 3학년 93 / 4학년 91 / 5학년 97 / 6학년 91 / 특수학급 5</t>
        </is>
      </c>
    </row>
    <row r="1755">
      <c r="A1755" s="5" t="inlineStr">
        <is>
          <t>백양초등학교</t>
        </is>
      </c>
      <c r="B1755" s="5" t="inlineStr">
        <is>
          <t>초등학교</t>
        </is>
      </c>
      <c r="C1755" s="5" t="inlineStr">
        <is>
          <t>공립</t>
        </is>
      </c>
      <c r="D1755" s="5" t="inlineStr">
        <is>
          <t>북구</t>
        </is>
      </c>
      <c r="E1755" s="5" t="inlineStr">
        <is>
          <t>부산광역시 북구 상리로18번길 12</t>
        </is>
      </c>
      <c r="F1755" s="11" t="inlineStr">
        <is>
          <t>http://baekyang.es.kr/</t>
        </is>
      </c>
      <c r="G1755" s="5" t="inlineStr">
        <is>
          <t>051-310-5500</t>
        </is>
      </c>
      <c r="H1755" s="12">
        <f>초등학교!Q159</f>
        <v/>
      </c>
      <c r="I1755" s="5" t="inlineStr">
        <is>
          <t>1학년 122 / 2학년 143 / 3학년 151 / 4학년 153 / 5학년 156 / 6학년 137 / 특수학급 12</t>
        </is>
      </c>
    </row>
    <row r="1756">
      <c r="A1756" s="5" t="inlineStr">
        <is>
          <t>상학초등학교</t>
        </is>
      </c>
      <c r="B1756" s="5" t="inlineStr">
        <is>
          <t>초등학교</t>
        </is>
      </c>
      <c r="C1756" s="5" t="inlineStr">
        <is>
          <t>공립</t>
        </is>
      </c>
      <c r="D1756" s="5" t="inlineStr">
        <is>
          <t>북구</t>
        </is>
      </c>
      <c r="E1756" s="5" t="inlineStr">
        <is>
          <t>부산광역시 북구 상학산복길 191</t>
        </is>
      </c>
      <c r="F1756" s="11" t="inlineStr">
        <is>
          <t>http://www.sanghak.es.kr/</t>
        </is>
      </c>
      <c r="G1756" s="5" t="inlineStr">
        <is>
          <t>051-330-4300</t>
        </is>
      </c>
      <c r="H1756" s="12">
        <f>초등학교!Q160</f>
        <v/>
      </c>
      <c r="I1756" s="5" t="inlineStr">
        <is>
          <t>1학년 52 / 2학년 47 / 3학년 39 / 4학년 41 / 5학년 48 / 6학년 41 / 특수학급 6</t>
        </is>
      </c>
    </row>
    <row r="1757">
      <c r="A1757" s="5" t="inlineStr">
        <is>
          <t>신금초등학교</t>
        </is>
      </c>
      <c r="B1757" s="5" t="inlineStr">
        <is>
          <t>초등학교</t>
        </is>
      </c>
      <c r="C1757" s="5" t="inlineStr">
        <is>
          <t>공립</t>
        </is>
      </c>
      <c r="D1757" s="5" t="inlineStr">
        <is>
          <t>북구</t>
        </is>
      </c>
      <c r="E1757" s="5" t="inlineStr">
        <is>
          <t>부산광역시 북구 효열로 42</t>
        </is>
      </c>
      <c r="F1757" s="11" t="inlineStr">
        <is>
          <t>http://www.sinkum.es.kr</t>
        </is>
      </c>
      <c r="G1757" s="5" t="inlineStr">
        <is>
          <t>051-330-6400</t>
        </is>
      </c>
      <c r="H1757" s="12">
        <f>초등학교!Q161</f>
        <v/>
      </c>
      <c r="I1757" s="5" t="inlineStr">
        <is>
          <t>1학년 29 / 2학년 31 / 3학년 26 / 4학년 40 / 5학년 48 / 6학년 36 / 특수학급 5</t>
        </is>
      </c>
    </row>
    <row r="1758">
      <c r="A1758" s="5" t="inlineStr">
        <is>
          <t>신덕초등학교</t>
        </is>
      </c>
      <c r="B1758" s="5" t="inlineStr">
        <is>
          <t>초등학교</t>
        </is>
      </c>
      <c r="C1758" s="5" t="inlineStr">
        <is>
          <t>공립</t>
        </is>
      </c>
      <c r="D1758" s="5" t="inlineStr">
        <is>
          <t>북구</t>
        </is>
      </c>
      <c r="E1758" s="5" t="inlineStr">
        <is>
          <t>부산광역시 북구 함박봉로140번가길 25</t>
        </is>
      </c>
      <c r="F1758" s="11" t="inlineStr">
        <is>
          <t>http://sinduk.es.kr</t>
        </is>
      </c>
      <c r="G1758" s="5" t="inlineStr">
        <is>
          <t>051-330-2900</t>
        </is>
      </c>
      <c r="H1758" s="12">
        <f>초등학교!Q162</f>
        <v/>
      </c>
      <c r="I1758" s="5" t="inlineStr">
        <is>
          <t>1학년 14 / 2학년 20 / 3학년 28 / 4학년 41 / 5학년 42 / 6학년 40 / 특수학급 7</t>
        </is>
      </c>
    </row>
    <row r="1759">
      <c r="A1759" s="5" t="inlineStr">
        <is>
          <t>신천초등학교</t>
        </is>
      </c>
      <c r="B1759" s="5" t="inlineStr">
        <is>
          <t>초등학교</t>
        </is>
      </c>
      <c r="C1759" s="5" t="inlineStr">
        <is>
          <t>공립</t>
        </is>
      </c>
      <c r="D1759" s="5" t="inlineStr">
        <is>
          <t>북구</t>
        </is>
      </c>
      <c r="E1759" s="5" t="inlineStr">
        <is>
          <t>부산광역시 북구 모분재로 83</t>
        </is>
      </c>
      <c r="F1759" s="11" t="inlineStr">
        <is>
          <t>http://psc.es.kr</t>
        </is>
      </c>
      <c r="G1759" s="5" t="inlineStr">
        <is>
          <t>051-341-4691</t>
        </is>
      </c>
      <c r="H1759" s="12">
        <f>초등학교!Q163</f>
        <v/>
      </c>
      <c r="I1759" s="5" t="inlineStr">
        <is>
          <t>1학년 12 / 2학년 24 / 3학년 20 / 4학년 27 / 5학년 24 / 6학년 21 / 특수학급 8</t>
        </is>
      </c>
    </row>
    <row r="1760">
      <c r="A1760" s="5" t="inlineStr">
        <is>
          <t>양덕초등학교</t>
        </is>
      </c>
      <c r="B1760" s="5" t="inlineStr">
        <is>
          <t>초등학교</t>
        </is>
      </c>
      <c r="C1760" s="5" t="inlineStr">
        <is>
          <t>공립</t>
        </is>
      </c>
      <c r="D1760" s="5" t="inlineStr">
        <is>
          <t>북구</t>
        </is>
      </c>
      <c r="E1760" s="5" t="inlineStr">
        <is>
          <t>부산광역시 북구 팽나무로 58</t>
        </is>
      </c>
      <c r="F1760" s="11" t="inlineStr">
        <is>
          <t>https://school.busanedu.net/yangduk-e/main.do</t>
        </is>
      </c>
      <c r="G1760" s="5" t="inlineStr">
        <is>
          <t>051-719-8600</t>
        </is>
      </c>
      <c r="H1760" s="12">
        <f>초등학교!Q164</f>
        <v/>
      </c>
      <c r="I1760" s="5" t="inlineStr">
        <is>
          <t>1학년 11 / 2학년 12 / 3학년 27 / 4학년 18 / 5학년 18 / 6학년 30 / 특수학급 4</t>
        </is>
      </c>
    </row>
    <row r="1761">
      <c r="A1761" s="5" t="inlineStr">
        <is>
          <t>양천초등학교</t>
        </is>
      </c>
      <c r="B1761" s="5" t="inlineStr">
        <is>
          <t>초등학교</t>
        </is>
      </c>
      <c r="C1761" s="5" t="inlineStr">
        <is>
          <t>공립</t>
        </is>
      </c>
      <c r="D1761" s="5" t="inlineStr">
        <is>
          <t>북구</t>
        </is>
      </c>
      <c r="E1761" s="5" t="inlineStr">
        <is>
          <t>부산광역시 북구 덕천로 132</t>
        </is>
      </c>
      <c r="F1761" s="11" t="inlineStr">
        <is>
          <t>http://busanyangchun.es.kr</t>
        </is>
      </c>
      <c r="G1761" s="5" t="inlineStr">
        <is>
          <t>051-797-6500</t>
        </is>
      </c>
      <c r="H1761" s="12">
        <f>초등학교!Q165</f>
        <v/>
      </c>
      <c r="I1761" s="5" t="inlineStr">
        <is>
          <t>1학년 11 / 2학년 9 / 3학년 11 / 4학년 11 / 5학년 18 / 6학년 22 / 특수학급 8</t>
        </is>
      </c>
    </row>
    <row r="1762">
      <c r="A1762" s="5" t="inlineStr">
        <is>
          <t>와석초등학교</t>
        </is>
      </c>
      <c r="B1762" s="5" t="inlineStr">
        <is>
          <t>초등학교</t>
        </is>
      </c>
      <c r="C1762" s="5" t="inlineStr">
        <is>
          <t>공립</t>
        </is>
      </c>
      <c r="D1762" s="5" t="inlineStr">
        <is>
          <t>북구</t>
        </is>
      </c>
      <c r="E1762" s="5" t="inlineStr">
        <is>
          <t>부산광역시 북구 화명대로94번길 83</t>
        </is>
      </c>
      <c r="F1762" s="11" t="inlineStr">
        <is>
          <t>http://waseok.es.kr</t>
        </is>
      </c>
      <c r="G1762" s="5" t="inlineStr">
        <is>
          <t>051-791-5200</t>
        </is>
      </c>
      <c r="H1762" s="12">
        <f>초등학교!Q166</f>
        <v/>
      </c>
      <c r="I1762" s="5" t="inlineStr">
        <is>
          <t>1학년 50 / 2학년 51 / 3학년 81 / 4학년 81 / 5학년 83 / 6학년 79 / 특수학급 7</t>
        </is>
      </c>
    </row>
    <row r="1763">
      <c r="A1763" s="5" t="inlineStr">
        <is>
          <t>용수초등학교</t>
        </is>
      </c>
      <c r="B1763" s="5" t="inlineStr">
        <is>
          <t>초등학교</t>
        </is>
      </c>
      <c r="C1763" s="5" t="inlineStr">
        <is>
          <t>공립</t>
        </is>
      </c>
      <c r="D1763" s="5" t="inlineStr">
        <is>
          <t>북구</t>
        </is>
      </c>
      <c r="E1763" s="5" t="inlineStr">
        <is>
          <t>부산광역시 북구 화명신도시로 53</t>
        </is>
      </c>
      <c r="F1763" s="11" t="inlineStr">
        <is>
          <t>https://school.busanedu.net/yongsu-e/main.do</t>
        </is>
      </c>
      <c r="G1763" s="5" t="inlineStr">
        <is>
          <t>051-330-3700</t>
        </is>
      </c>
      <c r="H1763" s="12">
        <f>초등학교!Q167</f>
        <v/>
      </c>
      <c r="I1763" s="5" t="inlineStr">
        <is>
          <t>1학년 78 / 2학년 79 / 3학년 103 / 4학년 130 / 5학년 130 / 6학년 138 / 특수학급 12</t>
        </is>
      </c>
    </row>
    <row r="1764">
      <c r="A1764" s="5" t="inlineStr">
        <is>
          <t>포천초등학교</t>
        </is>
      </c>
      <c r="B1764" s="5" t="inlineStr">
        <is>
          <t>초등학교</t>
        </is>
      </c>
      <c r="C1764" s="5" t="inlineStr">
        <is>
          <t>공립</t>
        </is>
      </c>
      <c r="D1764" s="5" t="inlineStr">
        <is>
          <t>북구</t>
        </is>
      </c>
      <c r="E1764" s="5" t="inlineStr">
        <is>
          <t>부산광역시 북구 시랑로 115</t>
        </is>
      </c>
      <c r="F1764" s="11" t="inlineStr">
        <is>
          <t>http://pochen.es.kr</t>
        </is>
      </c>
      <c r="G1764" s="5" t="inlineStr">
        <is>
          <t>051-366-3300</t>
        </is>
      </c>
      <c r="H1764" s="12">
        <f>초등학교!Q168</f>
        <v/>
      </c>
      <c r="I1764" s="5" t="inlineStr">
        <is>
          <t>1학년 24 / 2학년 46 / 3학년 42 / 4학년 50 / 5학년 79 / 6학년 62 / 특수학급 8</t>
        </is>
      </c>
    </row>
    <row r="1765">
      <c r="A1765" s="5" t="inlineStr">
        <is>
          <t>학사초등학교</t>
        </is>
      </c>
      <c r="B1765" s="5" t="inlineStr">
        <is>
          <t>초등학교</t>
        </is>
      </c>
      <c r="C1765" s="5" t="inlineStr">
        <is>
          <t>공립</t>
        </is>
      </c>
      <c r="D1765" s="5" t="inlineStr">
        <is>
          <t>북구</t>
        </is>
      </c>
      <c r="E1765" s="5" t="inlineStr">
        <is>
          <t>부산광역시 북구 용당로15번길 20</t>
        </is>
      </c>
      <c r="F1765" s="11" t="inlineStr">
        <is>
          <t>http://school.busanedu.net/haksa-e</t>
        </is>
      </c>
      <c r="G1765" s="5" t="inlineStr">
        <is>
          <t>051-330-4401</t>
        </is>
      </c>
      <c r="H1765" s="12">
        <f>초등학교!Q169</f>
        <v/>
      </c>
      <c r="I1765" s="5" t="inlineStr">
        <is>
          <t>1학년 52 / 2학년 41 / 3학년 77 / 4학년 62 / 5학년 64 / 6학년 80 / 특수학급 4</t>
        </is>
      </c>
    </row>
    <row r="1766">
      <c r="A1766" s="5" t="inlineStr">
        <is>
          <t>화명초등학교</t>
        </is>
      </c>
      <c r="B1766" s="5" t="inlineStr">
        <is>
          <t>초등학교</t>
        </is>
      </c>
      <c r="C1766" s="5" t="inlineStr">
        <is>
          <t>공립</t>
        </is>
      </c>
      <c r="D1766" s="5" t="inlineStr">
        <is>
          <t>북구</t>
        </is>
      </c>
      <c r="E1766" s="5" t="inlineStr">
        <is>
          <t>부산광역시 북구 대천천길 65</t>
        </is>
      </c>
      <c r="F1766" s="11" t="inlineStr">
        <is>
          <t>http://hwamyong.es.kr</t>
        </is>
      </c>
      <c r="G1766" s="5" t="inlineStr">
        <is>
          <t>051-366-2500</t>
        </is>
      </c>
      <c r="H1766" s="12">
        <f>초등학교!Q170</f>
        <v/>
      </c>
      <c r="I1766" s="5" t="inlineStr">
        <is>
          <t>1학년 68 / 2학년 77 / 3학년 96 / 4학년 81 / 5학년 108 / 6학년 72 / 특수학급 11</t>
        </is>
      </c>
    </row>
    <row r="1767">
      <c r="A1767" s="5" t="inlineStr">
        <is>
          <t>화잠초등학교</t>
        </is>
      </c>
      <c r="B1767" s="5" t="inlineStr">
        <is>
          <t>초등학교</t>
        </is>
      </c>
      <c r="C1767" s="5" t="inlineStr">
        <is>
          <t>공립</t>
        </is>
      </c>
      <c r="D1767" s="5" t="inlineStr">
        <is>
          <t>북구</t>
        </is>
      </c>
      <c r="E1767" s="5" t="inlineStr">
        <is>
          <t>부산광역시 북구 화명대로 97-25</t>
        </is>
      </c>
      <c r="F1767" s="11" t="inlineStr">
        <is>
          <t>http://hwajam.es.kr</t>
        </is>
      </c>
      <c r="G1767" s="5" t="inlineStr">
        <is>
          <t>051-330-4200</t>
        </is>
      </c>
      <c r="H1767" s="12">
        <f>초등학교!Q171</f>
        <v/>
      </c>
      <c r="I1767" s="5" t="inlineStr">
        <is>
          <t>1학년 38 / 2학년 40 / 3학년 68 / 4학년 72 / 5학년 76 / 6학년 73 / 특수학급 7</t>
        </is>
      </c>
    </row>
    <row r="1768">
      <c r="A1768" s="5" t="inlineStr">
        <is>
          <t>화정초등학교</t>
        </is>
      </c>
      <c r="B1768" s="5" t="inlineStr">
        <is>
          <t>초등학교</t>
        </is>
      </c>
      <c r="C1768" s="5" t="inlineStr">
        <is>
          <t>공립</t>
        </is>
      </c>
      <c r="D1768" s="5" t="inlineStr">
        <is>
          <t>북구</t>
        </is>
      </c>
      <c r="E1768" s="5" t="inlineStr">
        <is>
          <t>부산광역시 북구 의성로 23</t>
        </is>
      </c>
      <c r="F1768" s="11" t="inlineStr">
        <is>
          <t>http://www.bshj.es.kr</t>
        </is>
      </c>
      <c r="G1768" s="5" t="inlineStr">
        <is>
          <t>051-330-4100</t>
        </is>
      </c>
      <c r="H1768" s="12">
        <f>초등학교!Q172</f>
        <v/>
      </c>
      <c r="I1768" s="5" t="inlineStr">
        <is>
          <t>1학년 85 / 2학년 107 / 3학년 84 / 4학년 132 / 5학년 124 / 6학년 127 / 특수학급 6</t>
        </is>
      </c>
    </row>
    <row r="1769">
      <c r="A1769" s="5" t="inlineStr">
        <is>
          <t>감전초등학교</t>
        </is>
      </c>
      <c r="B1769" s="5" t="inlineStr">
        <is>
          <t>초등학교</t>
        </is>
      </c>
      <c r="C1769" s="5" t="inlineStr">
        <is>
          <t>공립</t>
        </is>
      </c>
      <c r="D1769" s="5" t="inlineStr">
        <is>
          <t>사상구</t>
        </is>
      </c>
      <c r="E1769" s="5" t="inlineStr">
        <is>
          <t>부산광역시 사상구 괘감로 132</t>
        </is>
      </c>
      <c r="F1769" s="11" t="inlineStr">
        <is>
          <t>http://gamjeon.es.kr</t>
        </is>
      </c>
      <c r="G1769" s="5" t="inlineStr">
        <is>
          <t>051-310-8300</t>
        </is>
      </c>
      <c r="H1769" s="12">
        <f>초등학교!Q173</f>
        <v/>
      </c>
      <c r="I1769" s="5" t="inlineStr">
        <is>
          <t>1학년 21 / 2학년 23 / 3학년 24 / 4학년 30 / 5학년 23 / 6학년 30 / 특수학급 5</t>
        </is>
      </c>
    </row>
    <row r="1770">
      <c r="A1770" s="5" t="inlineStr">
        <is>
          <t>구학초등학교</t>
        </is>
      </c>
      <c r="B1770" s="5" t="inlineStr">
        <is>
          <t>초등학교</t>
        </is>
      </c>
      <c r="C1770" s="5" t="inlineStr">
        <is>
          <t>공립</t>
        </is>
      </c>
      <c r="D1770" s="5" t="inlineStr">
        <is>
          <t>사상구</t>
        </is>
      </c>
      <c r="E1770" s="5" t="inlineStr">
        <is>
          <t>부산광역시 사상구 학감대로 49</t>
        </is>
      </c>
      <c r="F1770" s="11" t="inlineStr">
        <is>
          <t>http://www.guhag.es.kr</t>
        </is>
      </c>
      <c r="G1770" s="5" t="inlineStr">
        <is>
          <t>051-313-3892</t>
        </is>
      </c>
      <c r="H1770" s="12">
        <f>초등학교!Q174</f>
        <v/>
      </c>
      <c r="I1770" s="5" t="inlineStr">
        <is>
          <t>1학년 40 / 2학년 44 / 3학년 63 / 4학년 58 / 5학년 72 / 6학년 70 / 특수학급 6</t>
        </is>
      </c>
    </row>
    <row r="1771">
      <c r="A1771" s="5" t="inlineStr">
        <is>
          <t>덕상초등학교</t>
        </is>
      </c>
      <c r="B1771" s="5" t="inlineStr">
        <is>
          <t>초등학교</t>
        </is>
      </c>
      <c r="C1771" s="5" t="inlineStr">
        <is>
          <t>공립</t>
        </is>
      </c>
      <c r="D1771" s="5" t="inlineStr">
        <is>
          <t>사상구</t>
        </is>
      </c>
      <c r="E1771" s="5" t="inlineStr">
        <is>
          <t>부산광역시 사상구 덕상로 32</t>
        </is>
      </c>
      <c r="F1771" s="11" t="inlineStr">
        <is>
          <t>http://school.busanedu.net/deoksang-e</t>
        </is>
      </c>
      <c r="G1771" s="5" t="inlineStr">
        <is>
          <t>051-309-3400</t>
        </is>
      </c>
      <c r="H1771" s="12">
        <f>초등학교!Q175</f>
        <v/>
      </c>
      <c r="I1771" s="5" t="inlineStr">
        <is>
          <t>1학년 41 / 2학년 39 / 3학년 55 / 4학년 57 / 5학년 92 / 6학년 59 / 특수학급 5</t>
        </is>
      </c>
    </row>
    <row r="1772">
      <c r="A1772" s="5" t="inlineStr">
        <is>
          <t>덕포초등학교</t>
        </is>
      </c>
      <c r="B1772" s="5" t="inlineStr">
        <is>
          <t>초등학교</t>
        </is>
      </c>
      <c r="C1772" s="5" t="inlineStr">
        <is>
          <t>공립</t>
        </is>
      </c>
      <c r="D1772" s="5" t="inlineStr">
        <is>
          <t>사상구</t>
        </is>
      </c>
      <c r="E1772" s="5" t="inlineStr">
        <is>
          <t>부산광역시 사상구 삼덕로 83</t>
        </is>
      </c>
      <c r="F1772" s="11" t="inlineStr">
        <is>
          <t>http://www.deokpo.es.kr</t>
        </is>
      </c>
      <c r="G1772" s="5" t="inlineStr">
        <is>
          <t>051-3200-400</t>
        </is>
      </c>
      <c r="H1772" s="12">
        <f>초등학교!Q176</f>
        <v/>
      </c>
      <c r="I1772" s="5" t="inlineStr">
        <is>
          <t>1학년 12 / 2학년 17 / 3학년 29 / 4학년 25 / 5학년 27 / 6학년 17 / 특수학급 4</t>
        </is>
      </c>
    </row>
    <row r="1773">
      <c r="A1773" s="5" t="inlineStr">
        <is>
          <t>동궁초등학교</t>
        </is>
      </c>
      <c r="B1773" s="5" t="inlineStr">
        <is>
          <t>초등학교</t>
        </is>
      </c>
      <c r="C1773" s="5" t="inlineStr">
        <is>
          <t>공립</t>
        </is>
      </c>
      <c r="D1773" s="5" t="inlineStr">
        <is>
          <t>사상구</t>
        </is>
      </c>
      <c r="E1773" s="5" t="inlineStr">
        <is>
          <t>부산광역시 사상구 엄궁로 70-7</t>
        </is>
      </c>
      <c r="F1773" s="11" t="inlineStr">
        <is>
          <t>http://www.donggung.es.kr</t>
        </is>
      </c>
      <c r="G1773" s="5" t="inlineStr">
        <is>
          <t>051-315-8275</t>
        </is>
      </c>
      <c r="H1773" s="12">
        <f>초등학교!Q177</f>
        <v/>
      </c>
      <c r="I1773" s="5" t="inlineStr">
        <is>
          <t>1학년 51 / 2학년 54 / 3학년 69 / 4학년 65 / 5학년 107 / 6학년 85 / 특수학급 9</t>
        </is>
      </c>
    </row>
    <row r="1774">
      <c r="A1774" s="5" t="inlineStr">
        <is>
          <t>동주초등학교</t>
        </is>
      </c>
      <c r="B1774" s="5" t="inlineStr">
        <is>
          <t>초등학교</t>
        </is>
      </c>
      <c r="C1774" s="5" t="inlineStr">
        <is>
          <t>공립</t>
        </is>
      </c>
      <c r="D1774" s="5" t="inlineStr">
        <is>
          <t>사상구</t>
        </is>
      </c>
      <c r="E1774" s="5" t="inlineStr">
        <is>
          <t>부산광역시 사상구 가야대로306번길 72</t>
        </is>
      </c>
      <c r="F1774" s="11" t="inlineStr">
        <is>
          <t>http://dongju.es.kr</t>
        </is>
      </c>
      <c r="G1774" s="5" t="inlineStr">
        <is>
          <t>051-790-3700</t>
        </is>
      </c>
      <c r="H1774" s="12">
        <f>초등학교!Q178</f>
        <v/>
      </c>
      <c r="I1774" s="5" t="inlineStr">
        <is>
          <t>1학년 36 / 2학년 56 / 3학년 54 / 4학년 64 / 5학년 81 / 6학년 79 / 특수학급 6</t>
        </is>
      </c>
    </row>
    <row r="1775">
      <c r="A1775" s="5" t="inlineStr">
        <is>
          <t>모덕초등학교</t>
        </is>
      </c>
      <c r="B1775" s="5" t="inlineStr">
        <is>
          <t>초등학교</t>
        </is>
      </c>
      <c r="C1775" s="5" t="inlineStr">
        <is>
          <t>공립</t>
        </is>
      </c>
      <c r="D1775" s="5" t="inlineStr">
        <is>
          <t>사상구</t>
        </is>
      </c>
      <c r="E1775" s="5" t="inlineStr">
        <is>
          <t>부산광역시 사상구 덕상로 120</t>
        </is>
      </c>
      <c r="F1775" s="11" t="inlineStr">
        <is>
          <t>http://school.busanedu.net/modeok-e</t>
        </is>
      </c>
      <c r="G1775" s="5" t="inlineStr">
        <is>
          <t>051-320-0800</t>
        </is>
      </c>
      <c r="H1775" s="12">
        <f>초등학교!Q179</f>
        <v/>
      </c>
      <c r="I1775" s="5" t="inlineStr">
        <is>
          <t>1학년 50 / 2학년 62 / 3학년 73 / 4학년 81 / 5학년 99 / 6학년 109 / 특수학급 12</t>
        </is>
      </c>
    </row>
    <row r="1776">
      <c r="A1776" s="5" t="inlineStr">
        <is>
          <t>모동초등학교</t>
        </is>
      </c>
      <c r="B1776" s="5" t="inlineStr">
        <is>
          <t>초등학교</t>
        </is>
      </c>
      <c r="C1776" s="5" t="inlineStr">
        <is>
          <t>공립</t>
        </is>
      </c>
      <c r="D1776" s="5" t="inlineStr">
        <is>
          <t>사상구</t>
        </is>
      </c>
      <c r="E1776" s="5" t="inlineStr">
        <is>
          <t>부산광역시 사상구 모라로192번길 37</t>
        </is>
      </c>
      <c r="F1776" s="11" t="inlineStr">
        <is>
          <t>http://modong2.es.kr</t>
        </is>
      </c>
      <c r="G1776" s="5" t="inlineStr">
        <is>
          <t>051-792-3700</t>
        </is>
      </c>
      <c r="H1776" s="12">
        <f>초등학교!Q180</f>
        <v/>
      </c>
      <c r="I1776" s="5" t="inlineStr">
        <is>
          <t>1학년 3 / 2학년 5 / 3학년 5 / 4학년 4 / 5학년 7 / 6학년 10 / 특수학급 3</t>
        </is>
      </c>
    </row>
    <row r="1777">
      <c r="A1777" s="5" t="inlineStr">
        <is>
          <t>모라초등학교</t>
        </is>
      </c>
      <c r="B1777" s="5" t="inlineStr">
        <is>
          <t>초등학교</t>
        </is>
      </c>
      <c r="C1777" s="5" t="inlineStr">
        <is>
          <t>공립</t>
        </is>
      </c>
      <c r="D1777" s="5" t="inlineStr">
        <is>
          <t>사상구</t>
        </is>
      </c>
      <c r="E1777" s="5" t="inlineStr">
        <is>
          <t>부산광역시 사상구 모라로64번길 46</t>
        </is>
      </c>
      <c r="F1777" s="11" t="inlineStr">
        <is>
          <t>http://www.mora.es.kr/</t>
        </is>
      </c>
      <c r="G1777" s="5" t="inlineStr">
        <is>
          <t>051-310-7400</t>
        </is>
      </c>
      <c r="H1777" s="12">
        <f>초등학교!Q181</f>
        <v/>
      </c>
      <c r="I1777" s="5" t="inlineStr">
        <is>
          <t>1학년 13 / 2학년 17 / 3학년 15 / 4학년 11 / 5학년 20 / 6학년 27 / 특수학급 11</t>
        </is>
      </c>
    </row>
    <row r="1778">
      <c r="A1778" s="5" t="inlineStr">
        <is>
          <t>모산초등학교</t>
        </is>
      </c>
      <c r="B1778" s="5" t="inlineStr">
        <is>
          <t>초등학교</t>
        </is>
      </c>
      <c r="C1778" s="5" t="inlineStr">
        <is>
          <t>공립</t>
        </is>
      </c>
      <c r="D1778" s="5" t="inlineStr">
        <is>
          <t>사상구</t>
        </is>
      </c>
      <c r="E1778" s="5" t="inlineStr">
        <is>
          <t>부산광역시 사상구 모라로110번길 93</t>
        </is>
      </c>
      <c r="F1778" s="5" t="inlineStr"/>
      <c r="G1778" s="5" t="inlineStr">
        <is>
          <t>051-329-4000</t>
        </is>
      </c>
      <c r="H1778" s="12">
        <f>초등학교!Q182</f>
        <v/>
      </c>
      <c r="I1778" s="5" t="inlineStr">
        <is>
          <t>1학년 20 / 2학년 41 / 3학년 45 / 4학년 45 / 5학년 52 / 6학년 45 / 특수학급 5</t>
        </is>
      </c>
    </row>
    <row r="1779">
      <c r="A1779" s="5" t="inlineStr">
        <is>
          <t>사상초등학교</t>
        </is>
      </c>
      <c r="B1779" s="5" t="inlineStr">
        <is>
          <t>초등학교</t>
        </is>
      </c>
      <c r="C1779" s="5" t="inlineStr">
        <is>
          <t>공립</t>
        </is>
      </c>
      <c r="D1779" s="5" t="inlineStr">
        <is>
          <t>사상구</t>
        </is>
      </c>
      <c r="E1779" s="5" t="inlineStr">
        <is>
          <t>부산광역시 사상구 운산로 65</t>
        </is>
      </c>
      <c r="F1779" s="11" t="inlineStr">
        <is>
          <t>http://sasang.es.kr/</t>
        </is>
      </c>
      <c r="G1779" s="5" t="inlineStr">
        <is>
          <t>051-330-5300</t>
        </is>
      </c>
      <c r="H1779" s="12">
        <f>초등학교!Q183</f>
        <v/>
      </c>
      <c r="I1779" s="5" t="inlineStr">
        <is>
          <t>1학년 47 / 2학년 51 / 3학년 63 / 4학년 51 / 5학년 55 / 6학년 58 / 특수학급 12</t>
        </is>
      </c>
    </row>
    <row r="1780">
      <c r="A1780" s="5" t="inlineStr">
        <is>
          <t>삼덕초등학교</t>
        </is>
      </c>
      <c r="B1780" s="5" t="inlineStr">
        <is>
          <t>초등학교</t>
        </is>
      </c>
      <c r="C1780" s="5" t="inlineStr">
        <is>
          <t>공립</t>
        </is>
      </c>
      <c r="D1780" s="5" t="inlineStr">
        <is>
          <t>사상구</t>
        </is>
      </c>
      <c r="E1780" s="5" t="inlineStr">
        <is>
          <t>부산광역시 사상구 삼덕로 24</t>
        </is>
      </c>
      <c r="F1780" s="11" t="inlineStr">
        <is>
          <t>http://www.samdok.es.kr</t>
        </is>
      </c>
      <c r="G1780" s="5" t="inlineStr">
        <is>
          <t>051-303-0242</t>
        </is>
      </c>
      <c r="H1780" s="12">
        <f>초등학교!Q184</f>
        <v/>
      </c>
      <c r="I1780" s="5" t="inlineStr">
        <is>
          <t>1학년 10 / 2학년 12 / 3학년 15 / 4학년 22 / 5학년 17 / 6학년 12 / 특수학급 6</t>
        </is>
      </c>
    </row>
    <row r="1781">
      <c r="A1781" s="5" t="inlineStr">
        <is>
          <t>서감초등학교</t>
        </is>
      </c>
      <c r="B1781" s="5" t="inlineStr">
        <is>
          <t>초등학교</t>
        </is>
      </c>
      <c r="C1781" s="5" t="inlineStr">
        <is>
          <t>공립</t>
        </is>
      </c>
      <c r="D1781" s="5" t="inlineStr">
        <is>
          <t>사상구</t>
        </is>
      </c>
      <c r="E1781" s="5" t="inlineStr">
        <is>
          <t>부산광역시 사상구 괘감로 64</t>
        </is>
      </c>
      <c r="F1781" s="11" t="inlineStr">
        <is>
          <t>http://seogam.es.kr/</t>
        </is>
      </c>
      <c r="G1781" s="5" t="inlineStr">
        <is>
          <t>051-320-5800</t>
        </is>
      </c>
      <c r="H1781" s="12">
        <f>초등학교!Q185</f>
        <v/>
      </c>
      <c r="I1781" s="5" t="inlineStr">
        <is>
          <t>1학년 10 / 2학년 21 / 3학년 18 / 4학년 16 / 5학년 16 / 6학년 20 / 특수학급 5</t>
        </is>
      </c>
    </row>
    <row r="1782">
      <c r="A1782" s="5" t="inlineStr">
        <is>
          <t>엄궁초등학교</t>
        </is>
      </c>
      <c r="B1782" s="5" t="inlineStr">
        <is>
          <t>초등학교</t>
        </is>
      </c>
      <c r="C1782" s="5" t="inlineStr">
        <is>
          <t>공립</t>
        </is>
      </c>
      <c r="D1782" s="5" t="inlineStr">
        <is>
          <t>사상구</t>
        </is>
      </c>
      <c r="E1782" s="5" t="inlineStr">
        <is>
          <t>부산광역시 사상구 엄궁로191번길 23</t>
        </is>
      </c>
      <c r="F1782" s="11" t="inlineStr">
        <is>
          <t>http://www.omgung.es.kr/</t>
        </is>
      </c>
      <c r="G1782" s="5" t="inlineStr">
        <is>
          <t>051-323-6840</t>
        </is>
      </c>
      <c r="H1782" s="12">
        <f>초등학교!Q186</f>
        <v/>
      </c>
      <c r="I1782" s="5" t="inlineStr">
        <is>
          <t>1학년 48 / 2학년 57 / 3학년 72 / 4학년 87 / 5학년 105 / 6학년 102 / 특수학급 12</t>
        </is>
      </c>
    </row>
    <row r="1783">
      <c r="A1783" s="5" t="inlineStr">
        <is>
          <t>주감초등학교</t>
        </is>
      </c>
      <c r="B1783" s="5" t="inlineStr">
        <is>
          <t>초등학교</t>
        </is>
      </c>
      <c r="C1783" s="5" t="inlineStr">
        <is>
          <t>공립</t>
        </is>
      </c>
      <c r="D1783" s="5" t="inlineStr">
        <is>
          <t>사상구</t>
        </is>
      </c>
      <c r="E1783" s="5" t="inlineStr">
        <is>
          <t>부산광역시 사상구 양지로 48</t>
        </is>
      </c>
      <c r="F1783" s="11" t="inlineStr">
        <is>
          <t>http://www.jugam.es.kr</t>
        </is>
      </c>
      <c r="G1783" s="5" t="inlineStr">
        <is>
          <t>051-320-3900</t>
        </is>
      </c>
      <c r="H1783" s="12">
        <f>초등학교!Q187</f>
        <v/>
      </c>
      <c r="I1783" s="5" t="inlineStr">
        <is>
          <t>1학년 93 / 2학년 105 / 3학년 81 / 4학년 105 / 5학년 101 / 6학년 104 / 특수학급 12</t>
        </is>
      </c>
    </row>
    <row r="1784">
      <c r="A1784" s="5" t="inlineStr">
        <is>
          <t>주양초등학교</t>
        </is>
      </c>
      <c r="B1784" s="5" t="inlineStr">
        <is>
          <t>초등학교</t>
        </is>
      </c>
      <c r="C1784" s="5" t="inlineStr">
        <is>
          <t>공립</t>
        </is>
      </c>
      <c r="D1784" s="5" t="inlineStr">
        <is>
          <t>사상구</t>
        </is>
      </c>
      <c r="E1784" s="5" t="inlineStr">
        <is>
          <t>부산광역시 사상구 백양대로 372-6</t>
        </is>
      </c>
      <c r="F1784" s="11" t="inlineStr">
        <is>
          <t>http://www.juyang.es.kr/</t>
        </is>
      </c>
      <c r="G1784" s="5" t="inlineStr">
        <is>
          <t>051-329-1500</t>
        </is>
      </c>
      <c r="H1784" s="12">
        <f>초등학교!Q188</f>
        <v/>
      </c>
      <c r="I1784" s="5" t="inlineStr">
        <is>
          <t>1학년 28 / 2학년 38 / 3학년 37 / 4학년 48 / 5학년 51 / 6학년 46 / 특수학급 6</t>
        </is>
      </c>
    </row>
    <row r="1785">
      <c r="A1785" s="5" t="inlineStr">
        <is>
          <t>주학초등학교</t>
        </is>
      </c>
      <c r="B1785" s="5" t="inlineStr">
        <is>
          <t>초등학교</t>
        </is>
      </c>
      <c r="C1785" s="5" t="inlineStr">
        <is>
          <t>공립</t>
        </is>
      </c>
      <c r="D1785" s="5" t="inlineStr">
        <is>
          <t>사상구</t>
        </is>
      </c>
      <c r="E1785" s="5" t="inlineStr">
        <is>
          <t>부산광역시 사상구 가야대로366번길 120</t>
        </is>
      </c>
      <c r="F1785" s="11" t="inlineStr">
        <is>
          <t>http://www.juhak.es.kr</t>
        </is>
      </c>
      <c r="G1785" s="5" t="inlineStr">
        <is>
          <t>051-327-7471</t>
        </is>
      </c>
      <c r="H1785" s="12">
        <f>초등학교!Q189</f>
        <v/>
      </c>
      <c r="I1785" s="5" t="inlineStr">
        <is>
          <t>1학년 2 / 2학년 4 / 3학년 7 / 4학년 6 / 5학년 6 / 6학년 6 / 특수학급 2</t>
        </is>
      </c>
    </row>
    <row r="1786">
      <c r="A1786" s="5" t="inlineStr">
        <is>
          <t>창진초등학교</t>
        </is>
      </c>
      <c r="B1786" s="5" t="inlineStr">
        <is>
          <t>초등학교</t>
        </is>
      </c>
      <c r="C1786" s="5" t="inlineStr">
        <is>
          <t>공립</t>
        </is>
      </c>
      <c r="D1786" s="5" t="inlineStr">
        <is>
          <t>사상구</t>
        </is>
      </c>
      <c r="E1786" s="5" t="inlineStr">
        <is>
          <t>부산광역시 사상구 사상로223번길 100</t>
        </is>
      </c>
      <c r="F1786" s="11" t="inlineStr">
        <is>
          <t>http://www.changjin.es.kr/</t>
        </is>
      </c>
      <c r="G1786" s="5" t="inlineStr">
        <is>
          <t>051-310-3400</t>
        </is>
      </c>
      <c r="H1786" s="12">
        <f>초등학교!Q190</f>
        <v/>
      </c>
      <c r="I1786" s="5" t="inlineStr">
        <is>
          <t>1학년 47 / 2학년 68 / 3학년 57 / 4학년 67 / 5학년 85 / 6학년 59 / 특수학급 6</t>
        </is>
      </c>
    </row>
    <row r="1787">
      <c r="A1787" s="5" t="inlineStr">
        <is>
          <t>학장초등학교</t>
        </is>
      </c>
      <c r="B1787" s="5" t="inlineStr">
        <is>
          <t>초등학교</t>
        </is>
      </c>
      <c r="C1787" s="5" t="inlineStr">
        <is>
          <t>공립</t>
        </is>
      </c>
      <c r="D1787" s="5" t="inlineStr">
        <is>
          <t>사상구</t>
        </is>
      </c>
      <c r="E1787" s="5" t="inlineStr">
        <is>
          <t>부산광역시 사상구 대동로 205</t>
        </is>
      </c>
      <c r="F1787" s="11" t="inlineStr">
        <is>
          <t>http://www.hakjang.es.kr/</t>
        </is>
      </c>
      <c r="G1787" s="5" t="inlineStr">
        <is>
          <t>051-320-5701</t>
        </is>
      </c>
      <c r="H1787" s="12">
        <f>초등학교!Q191</f>
        <v/>
      </c>
      <c r="I1787" s="5" t="inlineStr">
        <is>
          <t>1학년 23 / 2학년 33 / 3학년 25 / 4학년 37 / 5학년 28 / 6학년 33 / 특수학급 3</t>
        </is>
      </c>
    </row>
    <row r="1788">
      <c r="A1788" s="5" t="inlineStr">
        <is>
          <t>학진초등학교</t>
        </is>
      </c>
      <c r="B1788" s="5" t="inlineStr">
        <is>
          <t>초등학교</t>
        </is>
      </c>
      <c r="C1788" s="5" t="inlineStr">
        <is>
          <t>공립</t>
        </is>
      </c>
      <c r="D1788" s="5" t="inlineStr">
        <is>
          <t>사상구</t>
        </is>
      </c>
      <c r="E1788" s="5" t="inlineStr">
        <is>
          <t>부산광역시 사상구 대동로 34-16</t>
        </is>
      </c>
      <c r="F1788" s="11" t="inlineStr">
        <is>
          <t>http://school.busanedu.net/hakjin-e</t>
        </is>
      </c>
      <c r="G1788" s="5" t="inlineStr">
        <is>
          <t>051-982-5000</t>
        </is>
      </c>
      <c r="H1788" s="12">
        <f>초등학교!Q192</f>
        <v/>
      </c>
      <c r="I1788" s="5" t="inlineStr">
        <is>
          <t>1학년 38 / 2학년 38 / 3학년 67 / 4학년 65 / 5학년 77 / 6학년 69 / 특수학급 11</t>
        </is>
      </c>
    </row>
    <row r="1789">
      <c r="A1789" s="5" t="inlineStr">
        <is>
          <t>감천초등학교</t>
        </is>
      </c>
      <c r="B1789" s="5" t="inlineStr">
        <is>
          <t>초등학교</t>
        </is>
      </c>
      <c r="C1789" s="5" t="inlineStr">
        <is>
          <t>공립</t>
        </is>
      </c>
      <c r="D1789" s="5" t="inlineStr">
        <is>
          <t>사하구</t>
        </is>
      </c>
      <c r="E1789" s="5" t="inlineStr">
        <is>
          <t>부산광역시 사하구 원양로 368-2</t>
        </is>
      </c>
      <c r="F1789" s="11" t="inlineStr">
        <is>
          <t>http://www.gam.es.kr</t>
        </is>
      </c>
      <c r="G1789" s="5" t="inlineStr">
        <is>
          <t>051-206-9482</t>
        </is>
      </c>
      <c r="H1789" s="12">
        <f>초등학교!Q193</f>
        <v/>
      </c>
      <c r="I1789" s="5" t="inlineStr">
        <is>
          <t>1학년 6 / 2학년 15 / 3학년 8 / 4학년 20 / 5학년 20 / 6학년 13 / 특수학급 3</t>
        </is>
      </c>
    </row>
    <row r="1790">
      <c r="A1790" s="5" t="inlineStr">
        <is>
          <t>괴정초등학교</t>
        </is>
      </c>
      <c r="B1790" s="5" t="inlineStr">
        <is>
          <t>초등학교</t>
        </is>
      </c>
      <c r="C1790" s="5" t="inlineStr">
        <is>
          <t>공립</t>
        </is>
      </c>
      <c r="D1790" s="5" t="inlineStr">
        <is>
          <t>사하구</t>
        </is>
      </c>
      <c r="E1790" s="5" t="inlineStr">
        <is>
          <t>부산광역시 사하구 낙동대로 152</t>
        </is>
      </c>
      <c r="F1790" s="11" t="inlineStr">
        <is>
          <t>https://school.busanedu.net/koejeong-e/main.do</t>
        </is>
      </c>
      <c r="G1790" s="5" t="inlineStr">
        <is>
          <t>051-220-0500</t>
        </is>
      </c>
      <c r="H1790" s="12">
        <f>초등학교!Q194</f>
        <v/>
      </c>
      <c r="I1790" s="5" t="inlineStr">
        <is>
          <t>1학년 47 / 2학년 67 / 3학년 75 / 4학년 104 / 5학년 68 / 6학년 91 / 특수학급 12</t>
        </is>
      </c>
    </row>
    <row r="1791">
      <c r="A1791" s="5" t="inlineStr">
        <is>
          <t>구평초등학교</t>
        </is>
      </c>
      <c r="B1791" s="5" t="inlineStr">
        <is>
          <t>초등학교</t>
        </is>
      </c>
      <c r="C1791" s="5" t="inlineStr">
        <is>
          <t>공립</t>
        </is>
      </c>
      <c r="D1791" s="5" t="inlineStr">
        <is>
          <t>사하구</t>
        </is>
      </c>
      <c r="E1791" s="5" t="inlineStr">
        <is>
          <t>부산광역시 사하구 사하로 9</t>
        </is>
      </c>
      <c r="F1791" s="11" t="inlineStr">
        <is>
          <t>http://www.gupyong.es.kr</t>
        </is>
      </c>
      <c r="G1791" s="5" t="inlineStr">
        <is>
          <t>051-220-2500</t>
        </is>
      </c>
      <c r="H1791" s="12">
        <f>초등학교!Q195</f>
        <v/>
      </c>
      <c r="I1791" s="5" t="inlineStr">
        <is>
          <t>1학년 84 / 2학년 99 / 3학년 122 / 4학년 129 / 5학년 101 / 6학년 95 / 특수학급 6</t>
        </is>
      </c>
    </row>
    <row r="1792">
      <c r="A1792" s="5" t="inlineStr">
        <is>
          <t>낙동초등학교</t>
        </is>
      </c>
      <c r="B1792" s="5" t="inlineStr">
        <is>
          <t>초등학교</t>
        </is>
      </c>
      <c r="C1792" s="5" t="inlineStr">
        <is>
          <t>공립</t>
        </is>
      </c>
      <c r="D1792" s="5" t="inlineStr">
        <is>
          <t>사하구</t>
        </is>
      </c>
      <c r="E1792" s="5" t="inlineStr">
        <is>
          <t>부산광역시 사하구 제석로 41</t>
        </is>
      </c>
      <c r="F1792" s="11" t="inlineStr">
        <is>
          <t>http://www.nakdong.es.kr</t>
        </is>
      </c>
      <c r="G1792" s="5" t="inlineStr">
        <is>
          <t>051-207-7631</t>
        </is>
      </c>
      <c r="H1792" s="12">
        <f>초등학교!Q196</f>
        <v/>
      </c>
      <c r="I1792" s="5" t="inlineStr">
        <is>
          <t>1학년 68 / 2학년 85 / 3학년 120 / 4학년 138 / 5학년 168 / 6학년 153 / 특수학급 9</t>
        </is>
      </c>
    </row>
    <row r="1793">
      <c r="A1793" s="5" t="inlineStr">
        <is>
          <t>다대초등학교</t>
        </is>
      </c>
      <c r="B1793" s="5" t="inlineStr">
        <is>
          <t>초등학교</t>
        </is>
      </c>
      <c r="C1793" s="5" t="inlineStr">
        <is>
          <t>공립</t>
        </is>
      </c>
      <c r="D1793" s="5" t="inlineStr">
        <is>
          <t>사하구</t>
        </is>
      </c>
      <c r="E1793" s="5" t="inlineStr">
        <is>
          <t>부산광역시 사하구 다대로 499</t>
        </is>
      </c>
      <c r="F1793" s="11" t="inlineStr">
        <is>
          <t>http://dadae.es.kr</t>
        </is>
      </c>
      <c r="G1793" s="5" t="inlineStr">
        <is>
          <t>051-263-0881</t>
        </is>
      </c>
      <c r="H1793" s="12">
        <f>초등학교!Q197</f>
        <v/>
      </c>
      <c r="I1793" s="5" t="inlineStr">
        <is>
          <t>1학년 62 / 2학년 88 / 3학년 102 / 4학년 108 / 5학년 96 / 6학년 102 / 특수학급 13</t>
        </is>
      </c>
    </row>
    <row r="1794">
      <c r="A1794" s="5" t="inlineStr">
        <is>
          <t>다선초등학교</t>
        </is>
      </c>
      <c r="B1794" s="5" t="inlineStr">
        <is>
          <t>초등학교</t>
        </is>
      </c>
      <c r="C1794" s="5" t="inlineStr">
        <is>
          <t>공립</t>
        </is>
      </c>
      <c r="D1794" s="5" t="inlineStr">
        <is>
          <t>사하구</t>
        </is>
      </c>
      <c r="E1794" s="5" t="inlineStr">
        <is>
          <t>부산광역시 사하구 다송로 57</t>
        </is>
      </c>
      <c r="F1794" s="11" t="inlineStr">
        <is>
          <t>http://dasun.es.kr</t>
        </is>
      </c>
      <c r="G1794" s="5" t="inlineStr">
        <is>
          <t>051-262-0887</t>
        </is>
      </c>
      <c r="H1794" s="12">
        <f>초등학교!Q198</f>
        <v/>
      </c>
      <c r="I1794" s="5" t="inlineStr">
        <is>
          <t>1학년 61 / 2학년 60 / 3학년 70 / 4학년 79 / 5학년 100 / 6학년 77 / 특수학급 9</t>
        </is>
      </c>
    </row>
    <row r="1795">
      <c r="A1795" s="5" t="inlineStr">
        <is>
          <t>다송초등학교</t>
        </is>
      </c>
      <c r="B1795" s="5" t="inlineStr">
        <is>
          <t>초등학교</t>
        </is>
      </c>
      <c r="C1795" s="5" t="inlineStr">
        <is>
          <t>공립</t>
        </is>
      </c>
      <c r="D1795" s="5" t="inlineStr">
        <is>
          <t>사하구</t>
        </is>
      </c>
      <c r="E1795" s="5" t="inlineStr">
        <is>
          <t>부산광역시 사하구 다대로381번길 17</t>
        </is>
      </c>
      <c r="F1795" s="11" t="inlineStr">
        <is>
          <t>http://www.dasong.es.kr</t>
        </is>
      </c>
      <c r="G1795" s="5" t="inlineStr">
        <is>
          <t>051-260-5800</t>
        </is>
      </c>
      <c r="H1795" s="12">
        <f>초등학교!Q199</f>
        <v/>
      </c>
      <c r="I1795" s="5" t="inlineStr">
        <is>
          <t>1학년 8 / 2학년 12 / 3학년 9 / 4학년 19 / 5학년 19 / 6학년 26 / 특수학급 5</t>
        </is>
      </c>
    </row>
    <row r="1796">
      <c r="A1796" s="5" t="inlineStr">
        <is>
          <t>당리초등학교</t>
        </is>
      </c>
      <c r="B1796" s="5" t="inlineStr">
        <is>
          <t>초등학교</t>
        </is>
      </c>
      <c r="C1796" s="5" t="inlineStr">
        <is>
          <t>공립</t>
        </is>
      </c>
      <c r="D1796" s="5" t="inlineStr">
        <is>
          <t>사하구</t>
        </is>
      </c>
      <c r="E1796" s="5" t="inlineStr">
        <is>
          <t>부산광역시 사하구 다대로 22번길 12</t>
        </is>
      </c>
      <c r="F1796" s="11" t="inlineStr">
        <is>
          <t>http://www.dangni.es.kr</t>
        </is>
      </c>
      <c r="G1796" s="5" t="inlineStr">
        <is>
          <t>051-200-3700</t>
        </is>
      </c>
      <c r="H1796" s="12">
        <f>초등학교!Q200</f>
        <v/>
      </c>
      <c r="I1796" s="5" t="inlineStr">
        <is>
          <t>1학년 4 / 2학년 22 / 3학년 23 / 4학년 10 / 5학년 30 / 6학년 21 / 특수학급 6</t>
        </is>
      </c>
    </row>
    <row r="1797">
      <c r="A1797" s="5" t="inlineStr">
        <is>
          <t>몰운대초등학교</t>
        </is>
      </c>
      <c r="B1797" s="5" t="inlineStr">
        <is>
          <t>초등학교</t>
        </is>
      </c>
      <c r="C1797" s="5" t="inlineStr">
        <is>
          <t>공립</t>
        </is>
      </c>
      <c r="D1797" s="5" t="inlineStr">
        <is>
          <t>사하구</t>
        </is>
      </c>
      <c r="E1797" s="5" t="inlineStr">
        <is>
          <t>부산광역시 사하구 다대낙조2길 110</t>
        </is>
      </c>
      <c r="F1797" s="11" t="inlineStr">
        <is>
          <t>http://morundae.es.kr/</t>
        </is>
      </c>
      <c r="G1797" s="5" t="inlineStr">
        <is>
          <t>051-290-3300</t>
        </is>
      </c>
      <c r="H1797" s="12">
        <f>초등학교!Q201</f>
        <v/>
      </c>
      <c r="I1797" s="5" t="inlineStr">
        <is>
          <t>1학년 69 / 2학년 95 / 3학년 105 / 4학년 108 / 5학년 157 / 6학년 137 / 특수학급 11</t>
        </is>
      </c>
    </row>
    <row r="1798">
      <c r="A1798" s="5" t="inlineStr">
        <is>
          <t>보림초등학교</t>
        </is>
      </c>
      <c r="B1798" s="5" t="inlineStr">
        <is>
          <t>초등학교</t>
        </is>
      </c>
      <c r="C1798" s="5" t="inlineStr">
        <is>
          <t>공립</t>
        </is>
      </c>
      <c r="D1798" s="5" t="inlineStr">
        <is>
          <t>사하구</t>
        </is>
      </c>
      <c r="E1798" s="5" t="inlineStr">
        <is>
          <t>부산광역시 사하구 장림로161번길 20</t>
        </is>
      </c>
      <c r="F1798" s="11" t="inlineStr">
        <is>
          <t>http://school.busanedu.net/borim-e</t>
        </is>
      </c>
      <c r="G1798" s="5" t="inlineStr">
        <is>
          <t>051-260-1900</t>
        </is>
      </c>
      <c r="H1798" s="12">
        <f>초등학교!Q202</f>
        <v/>
      </c>
      <c r="I1798" s="5" t="inlineStr">
        <is>
          <t>1학년 98 / 2학년 90 / 3학년 101 / 4학년 97 / 5학년 100 / 6학년 104 / 특수학급 18</t>
        </is>
      </c>
    </row>
    <row r="1799">
      <c r="A1799" s="5" t="inlineStr">
        <is>
          <t>사남초등학교</t>
        </is>
      </c>
      <c r="B1799" s="5" t="inlineStr">
        <is>
          <t>초등학교</t>
        </is>
      </c>
      <c r="C1799" s="5" t="inlineStr">
        <is>
          <t>공립</t>
        </is>
      </c>
      <c r="D1799" s="5" t="inlineStr">
        <is>
          <t>사하구</t>
        </is>
      </c>
      <c r="E1799" s="5" t="inlineStr">
        <is>
          <t>부산광역시 사하구 장평로 390</t>
        </is>
      </c>
      <c r="F1799" s="11" t="inlineStr">
        <is>
          <t>http://sanam.es.kr</t>
        </is>
      </c>
      <c r="G1799" s="5" t="inlineStr">
        <is>
          <t>051-220-0400</t>
        </is>
      </c>
      <c r="H1799" s="12">
        <f>초등학교!Q203</f>
        <v/>
      </c>
      <c r="I1799" s="5" t="inlineStr">
        <is>
          <t>1학년 64 / 2학년 61 / 3학년 72 / 4학년 62 / 5학년 69 / 6학년 41 / 특수학급 8</t>
        </is>
      </c>
    </row>
    <row r="1800">
      <c r="A1800" s="5" t="inlineStr">
        <is>
          <t>사동초등학교</t>
        </is>
      </c>
      <c r="B1800" s="5" t="inlineStr">
        <is>
          <t>초등학교</t>
        </is>
      </c>
      <c r="C1800" s="5" t="inlineStr">
        <is>
          <t>공립</t>
        </is>
      </c>
      <c r="D1800" s="5" t="inlineStr">
        <is>
          <t>사하구</t>
        </is>
      </c>
      <c r="E1800" s="5" t="inlineStr">
        <is>
          <t>부산광역시 사하구 승학로 129-2</t>
        </is>
      </c>
      <c r="F1800" s="11" t="inlineStr">
        <is>
          <t>https://school.busanedu.net/psadong-e/main.do</t>
        </is>
      </c>
      <c r="G1800" s="5" t="inlineStr">
        <is>
          <t>051-200-3500</t>
        </is>
      </c>
      <c r="H1800" s="12">
        <f>초등학교!Q204</f>
        <v/>
      </c>
      <c r="I1800" s="5" t="inlineStr">
        <is>
          <t>1학년 11 / 2학년 8 / 3학년 18 / 4학년 19 / 5학년 48 / 6학년 32 / 특수학급 7</t>
        </is>
      </c>
    </row>
    <row r="1801">
      <c r="A1801" s="5" t="inlineStr">
        <is>
          <t>사하초등학교</t>
        </is>
      </c>
      <c r="B1801" s="5" t="inlineStr">
        <is>
          <t>초등학교</t>
        </is>
      </c>
      <c r="C1801" s="5" t="inlineStr">
        <is>
          <t>공립</t>
        </is>
      </c>
      <c r="D1801" s="5" t="inlineStr">
        <is>
          <t>사하구</t>
        </is>
      </c>
      <c r="E1801" s="5" t="inlineStr">
        <is>
          <t>부산광역시 사하구 낙동대로 266</t>
        </is>
      </c>
      <c r="F1801" s="11" t="inlineStr">
        <is>
          <t>http://www.saha.es.kr</t>
        </is>
      </c>
      <c r="G1801" s="5" t="inlineStr">
        <is>
          <t>051-793-7200</t>
        </is>
      </c>
      <c r="H1801" s="12">
        <f>초등학교!Q205</f>
        <v/>
      </c>
      <c r="I1801" s="5" t="inlineStr">
        <is>
          <t>1학년 67 / 2학년 129 / 3학년 107 / 4학년 146 / 5학년 166 / 6학년 162 / 특수학급 6</t>
        </is>
      </c>
    </row>
    <row r="1802">
      <c r="A1802" s="5" t="inlineStr">
        <is>
          <t>서천초등학교</t>
        </is>
      </c>
      <c r="B1802" s="5" t="inlineStr">
        <is>
          <t>초등학교</t>
        </is>
      </c>
      <c r="C1802" s="5" t="inlineStr">
        <is>
          <t>공립</t>
        </is>
      </c>
      <c r="D1802" s="5" t="inlineStr">
        <is>
          <t>사하구</t>
        </is>
      </c>
      <c r="E1802" s="5" t="inlineStr">
        <is>
          <t>부산광역시 사하구 감천로105번길 10</t>
        </is>
      </c>
      <c r="F1802" s="11" t="inlineStr">
        <is>
          <t>http://seocheon.es.kr</t>
        </is>
      </c>
      <c r="G1802" s="5" t="inlineStr">
        <is>
          <t>051-291-4698</t>
        </is>
      </c>
      <c r="H1802" s="12">
        <f>초등학교!Q206</f>
        <v/>
      </c>
      <c r="I1802" s="5" t="inlineStr">
        <is>
          <t>1학년 23 / 2학년 13 / 3학년 18 / 4학년 15 / 5학년 16 / 6학년 29 / 특수학급 2</t>
        </is>
      </c>
    </row>
    <row r="1803">
      <c r="A1803" s="5" t="inlineStr">
        <is>
          <t>승학초등학교</t>
        </is>
      </c>
      <c r="B1803" s="5" t="inlineStr">
        <is>
          <t>초등학교</t>
        </is>
      </c>
      <c r="C1803" s="5" t="inlineStr">
        <is>
          <t>공립</t>
        </is>
      </c>
      <c r="D1803" s="5" t="inlineStr">
        <is>
          <t>사하구</t>
        </is>
      </c>
      <c r="E1803" s="5" t="inlineStr">
        <is>
          <t>부산광역시 사하구 낙동대로135번길 55</t>
        </is>
      </c>
      <c r="F1803" s="11" t="inlineStr">
        <is>
          <t>http://seunghak.es.kr</t>
        </is>
      </c>
      <c r="G1803" s="5" t="inlineStr">
        <is>
          <t>051-208-2052</t>
        </is>
      </c>
      <c r="H1803" s="12">
        <f>초등학교!Q207</f>
        <v/>
      </c>
      <c r="I1803" s="5" t="inlineStr">
        <is>
          <t>1학년 25 / 2학년 14 / 3학년 18 / 4학년 37 / 5학년 40 / 6학년 49 / 특수학급 6</t>
        </is>
      </c>
    </row>
    <row r="1804">
      <c r="A1804" s="5" t="inlineStr">
        <is>
          <t>신남초등학교</t>
        </is>
      </c>
      <c r="B1804" s="5" t="inlineStr">
        <is>
          <t>초등학교</t>
        </is>
      </c>
      <c r="C1804" s="5" t="inlineStr">
        <is>
          <t>공립</t>
        </is>
      </c>
      <c r="D1804" s="5" t="inlineStr">
        <is>
          <t>사하구</t>
        </is>
      </c>
      <c r="E1804" s="5" t="inlineStr">
        <is>
          <t>부산광역시 사하구 비봉로 88</t>
        </is>
      </c>
      <c r="F1804" s="11" t="inlineStr">
        <is>
          <t>http://www.sinnam.es.kr</t>
        </is>
      </c>
      <c r="G1804" s="5" t="inlineStr">
        <is>
          <t>051-990-7300</t>
        </is>
      </c>
      <c r="H1804" s="12">
        <f>초등학교!Q208</f>
        <v/>
      </c>
      <c r="I1804" s="5" t="inlineStr">
        <is>
          <t>1학년 58 / 2학년 44 / 3학년 64 / 4학년 57 / 5학년 68 / 6학년 89 / 특수학급 7</t>
        </is>
      </c>
    </row>
    <row r="1805">
      <c r="A1805" s="5" t="inlineStr">
        <is>
          <t>신촌초등학교</t>
        </is>
      </c>
      <c r="B1805" s="5" t="inlineStr">
        <is>
          <t>초등학교</t>
        </is>
      </c>
      <c r="C1805" s="5" t="inlineStr">
        <is>
          <t>공립</t>
        </is>
      </c>
      <c r="D1805" s="5" t="inlineStr">
        <is>
          <t>사하구</t>
        </is>
      </c>
      <c r="E1805" s="5" t="inlineStr">
        <is>
          <t>부산광역시 사하구 다대로135번길 30-21</t>
        </is>
      </c>
      <c r="F1805" s="11" t="inlineStr">
        <is>
          <t>http://www.shinchon.es.kr</t>
        </is>
      </c>
      <c r="G1805" s="5" t="inlineStr">
        <is>
          <t>051-207-5984</t>
        </is>
      </c>
      <c r="H1805" s="12">
        <f>초등학교!Q209</f>
        <v/>
      </c>
      <c r="I1805" s="5" t="inlineStr">
        <is>
          <t>1학년 6 / 2학년 3 / 3학년 8 / 4학년 12 / 5학년 12 / 6학년 12 / 특수학급 5</t>
        </is>
      </c>
    </row>
    <row r="1806">
      <c r="A1806" s="5" t="inlineStr">
        <is>
          <t>신평초등학교</t>
        </is>
      </c>
      <c r="B1806" s="5" t="inlineStr">
        <is>
          <t>초등학교</t>
        </is>
      </c>
      <c r="C1806" s="5" t="inlineStr">
        <is>
          <t>공립</t>
        </is>
      </c>
      <c r="D1806" s="5" t="inlineStr">
        <is>
          <t>사하구</t>
        </is>
      </c>
      <c r="E1806" s="5" t="inlineStr">
        <is>
          <t>부산광역시 사하구 장평로299번안길 19</t>
        </is>
      </c>
      <c r="F1806" s="11" t="inlineStr">
        <is>
          <t>http://www.sinpyeong.es.kr</t>
        </is>
      </c>
      <c r="G1806" s="5" t="inlineStr">
        <is>
          <t>051-200-5000</t>
        </is>
      </c>
      <c r="H1806" s="12">
        <f>초등학교!Q210</f>
        <v/>
      </c>
      <c r="I1806" s="5" t="inlineStr">
        <is>
          <t>1학년 78 / 2학년 82 / 3학년 76 / 4학년 83 / 5학년 94 / 6학년 74 / 특수학급 6</t>
        </is>
      </c>
    </row>
    <row r="1807">
      <c r="A1807" s="5" t="inlineStr">
        <is>
          <t>옥천초등학교</t>
        </is>
      </c>
      <c r="B1807" s="5" t="inlineStr">
        <is>
          <t>초등학교</t>
        </is>
      </c>
      <c r="C1807" s="5" t="inlineStr">
        <is>
          <t>공립</t>
        </is>
      </c>
      <c r="D1807" s="5" t="inlineStr">
        <is>
          <t>사하구</t>
        </is>
      </c>
      <c r="E1807" s="5" t="inlineStr">
        <is>
          <t>부산광역시 사하구 사하로 134</t>
        </is>
      </c>
      <c r="F1807" s="11" t="inlineStr">
        <is>
          <t>http://okchun.es.kr</t>
        </is>
      </c>
      <c r="G1807" s="5" t="inlineStr">
        <is>
          <t>051-200-0600</t>
        </is>
      </c>
      <c r="H1807" s="12">
        <f>초등학교!Q211</f>
        <v/>
      </c>
      <c r="I1807" s="5" t="inlineStr">
        <is>
          <t>1학년 39 / 2학년 42 / 3학년 58 / 4학년 76 / 5학년 69 / 6학년 82 / 특수학급 6</t>
        </is>
      </c>
    </row>
    <row r="1808">
      <c r="A1808" s="5" t="inlineStr">
        <is>
          <t>을숙도초등학교</t>
        </is>
      </c>
      <c r="B1808" s="5" t="inlineStr">
        <is>
          <t>초등학교</t>
        </is>
      </c>
      <c r="C1808" s="5" t="inlineStr">
        <is>
          <t>공립</t>
        </is>
      </c>
      <c r="D1808" s="5" t="inlineStr">
        <is>
          <t>사하구</t>
        </is>
      </c>
      <c r="E1808" s="5" t="inlineStr">
        <is>
          <t>부산광역시 사하구 낙동대로 581</t>
        </is>
      </c>
      <c r="F1808" s="11" t="inlineStr">
        <is>
          <t>http://www.eulsukdo.es.kr</t>
        </is>
      </c>
      <c r="G1808" s="5" t="inlineStr">
        <is>
          <t>051-200-2800</t>
        </is>
      </c>
      <c r="H1808" s="12">
        <f>초등학교!Q212</f>
        <v/>
      </c>
      <c r="I1808" s="5" t="inlineStr">
        <is>
          <t>1학년 58 / 2학년 60 / 3학년 72 / 4학년 81 / 5학년 98 / 6학년 102 / 특수학급 9</t>
        </is>
      </c>
    </row>
    <row r="1809">
      <c r="A1809" s="5" t="inlineStr">
        <is>
          <t>응봉초등학교</t>
        </is>
      </c>
      <c r="B1809" s="5" t="inlineStr">
        <is>
          <t>초등학교</t>
        </is>
      </c>
      <c r="C1809" s="5" t="inlineStr">
        <is>
          <t>공립</t>
        </is>
      </c>
      <c r="D1809" s="5" t="inlineStr">
        <is>
          <t>사하구</t>
        </is>
      </c>
      <c r="E1809" s="5" t="inlineStr">
        <is>
          <t>부산광역시 사하구 다대낙조2길 26</t>
        </is>
      </c>
      <c r="F1809" s="11" t="inlineStr">
        <is>
          <t>http://eungbong.es.kr</t>
        </is>
      </c>
      <c r="G1809" s="5" t="inlineStr">
        <is>
          <t>051-265-6773</t>
        </is>
      </c>
      <c r="H1809" s="12">
        <f>초등학교!Q213</f>
        <v/>
      </c>
      <c r="I1809" s="5" t="inlineStr">
        <is>
          <t>1학년 10 / 2학년 8 / 3학년 16 / 4학년 16 / 5학년 21 / 6학년 23 / 특수학급 6</t>
        </is>
      </c>
    </row>
    <row r="1810">
      <c r="A1810" s="5" t="inlineStr">
        <is>
          <t>장림초등학교</t>
        </is>
      </c>
      <c r="B1810" s="5" t="inlineStr">
        <is>
          <t>초등학교</t>
        </is>
      </c>
      <c r="C1810" s="5" t="inlineStr">
        <is>
          <t>공립</t>
        </is>
      </c>
      <c r="D1810" s="5" t="inlineStr">
        <is>
          <t>사하구</t>
        </is>
      </c>
      <c r="E1810" s="5" t="inlineStr">
        <is>
          <t>부산광역시 사하구 장림번영로103번길 10</t>
        </is>
      </c>
      <c r="F1810" s="11" t="inlineStr">
        <is>
          <t>http://jangrim.es.kr</t>
        </is>
      </c>
      <c r="G1810" s="5" t="inlineStr">
        <is>
          <t>051-290-2700</t>
        </is>
      </c>
      <c r="H1810" s="12">
        <f>초등학교!Q214</f>
        <v/>
      </c>
      <c r="I1810" s="5" t="inlineStr">
        <is>
          <t>1학년 58 / 2학년 52 / 3학년 68 / 4학년 73 / 5학년 100 / 6학년 86 / 특수학급 11</t>
        </is>
      </c>
    </row>
    <row r="1811">
      <c r="A1811" s="5" t="inlineStr">
        <is>
          <t>중현초등학교</t>
        </is>
      </c>
      <c r="B1811" s="5" t="inlineStr">
        <is>
          <t>초등학교</t>
        </is>
      </c>
      <c r="C1811" s="5" t="inlineStr">
        <is>
          <t>공립</t>
        </is>
      </c>
      <c r="D1811" s="5" t="inlineStr">
        <is>
          <t>사하구</t>
        </is>
      </c>
      <c r="E1811" s="5" t="inlineStr">
        <is>
          <t>부산광역시 사하구 다대낙조2길 8</t>
        </is>
      </c>
      <c r="F1811" s="11" t="inlineStr">
        <is>
          <t>http://junghyun.es.kr</t>
        </is>
      </c>
      <c r="G1811" s="5" t="inlineStr">
        <is>
          <t>051-260-0503</t>
        </is>
      </c>
      <c r="H1811" s="12">
        <f>초등학교!Q215</f>
        <v/>
      </c>
      <c r="I1811" s="5" t="inlineStr">
        <is>
          <t>1학년 24 / 2학년 37 / 3학년 38 / 4학년 50 / 5학년 59 / 6학년 52 / 특수학급 3</t>
        </is>
      </c>
    </row>
    <row r="1812">
      <c r="A1812" s="5" t="inlineStr">
        <is>
          <t>하남초등학교</t>
        </is>
      </c>
      <c r="B1812" s="5" t="inlineStr">
        <is>
          <t>초등학교</t>
        </is>
      </c>
      <c r="C1812" s="5" t="inlineStr">
        <is>
          <t>공립</t>
        </is>
      </c>
      <c r="D1812" s="5" t="inlineStr">
        <is>
          <t>사하구</t>
        </is>
      </c>
      <c r="E1812" s="5" t="inlineStr">
        <is>
          <t>부산광역시 사하구 하신번영로 186</t>
        </is>
      </c>
      <c r="F1812" s="11" t="inlineStr">
        <is>
          <t>http://www.hanam.es.kr</t>
        </is>
      </c>
      <c r="G1812" s="5" t="inlineStr">
        <is>
          <t>051-200-3600</t>
        </is>
      </c>
      <c r="H1812" s="12">
        <f>초등학교!Q216</f>
        <v/>
      </c>
      <c r="I1812" s="5" t="inlineStr">
        <is>
          <t>1학년 57 / 2학년 63 / 3학년 88 / 4학년 76 / 5학년 112 / 6학년 99 / 특수학급 13</t>
        </is>
      </c>
    </row>
    <row r="1813">
      <c r="A1813" s="5" t="inlineStr">
        <is>
          <t>하단초등학교</t>
        </is>
      </c>
      <c r="B1813" s="5" t="inlineStr">
        <is>
          <t>초등학교</t>
        </is>
      </c>
      <c r="C1813" s="5" t="inlineStr">
        <is>
          <t>공립</t>
        </is>
      </c>
      <c r="D1813" s="5" t="inlineStr">
        <is>
          <t>사하구</t>
        </is>
      </c>
      <c r="E1813" s="5" t="inlineStr">
        <is>
          <t>부산광역시 사하구 하신중앙로 321</t>
        </is>
      </c>
      <c r="F1813" s="11" t="inlineStr">
        <is>
          <t>http://www.hadan.es.kr</t>
        </is>
      </c>
      <c r="G1813" s="5" t="inlineStr">
        <is>
          <t>051-201-3461</t>
        </is>
      </c>
      <c r="H1813" s="12">
        <f>초등학교!Q217</f>
        <v/>
      </c>
      <c r="I1813" s="5" t="inlineStr">
        <is>
          <t>1학년 16 / 2학년 28 / 3학년 32 / 4학년 43 / 5학년 50 / 6학년 44 / 특수학급 7</t>
        </is>
      </c>
    </row>
    <row r="1814">
      <c r="A1814" s="5" t="inlineStr">
        <is>
          <t>효림초등학교</t>
        </is>
      </c>
      <c r="B1814" s="5" t="inlineStr">
        <is>
          <t>초등학교</t>
        </is>
      </c>
      <c r="C1814" s="5" t="inlineStr">
        <is>
          <t>공립</t>
        </is>
      </c>
      <c r="D1814" s="5" t="inlineStr">
        <is>
          <t>사하구</t>
        </is>
      </c>
      <c r="E1814" s="5" t="inlineStr">
        <is>
          <t>부산광역시 사하구 장평로 106</t>
        </is>
      </c>
      <c r="F1814" s="11" t="inlineStr">
        <is>
          <t>http://hyorim.es.kr</t>
        </is>
      </c>
      <c r="G1814" s="5" t="inlineStr">
        <is>
          <t>051-261-5220</t>
        </is>
      </c>
      <c r="H1814" s="12">
        <f>초등학교!Q218</f>
        <v/>
      </c>
      <c r="I1814" s="5" t="inlineStr">
        <is>
          <t>1학년 51 / 2학년 55 / 3학년 70 / 4학년 85 / 5학년 83 / 6학년 100 / 특수학급 11</t>
        </is>
      </c>
    </row>
    <row r="1815">
      <c r="A1815" s="5" t="inlineStr">
        <is>
          <t>구덕초등학교</t>
        </is>
      </c>
      <c r="B1815" s="5" t="inlineStr">
        <is>
          <t>초등학교</t>
        </is>
      </c>
      <c r="C1815" s="5" t="inlineStr">
        <is>
          <t>공립</t>
        </is>
      </c>
      <c r="D1815" s="5" t="inlineStr">
        <is>
          <t>서구</t>
        </is>
      </c>
      <c r="E1815" s="5" t="inlineStr">
        <is>
          <t>부산광역시 서구 보수대로 312</t>
        </is>
      </c>
      <c r="F1815" s="11" t="inlineStr">
        <is>
          <t>http://gudeok.es.kr/</t>
        </is>
      </c>
      <c r="G1815" s="5" t="inlineStr">
        <is>
          <t>051-242-6600</t>
        </is>
      </c>
      <c r="H1815" s="12">
        <f>초등학교!Q219</f>
        <v/>
      </c>
      <c r="I1815" s="5" t="inlineStr">
        <is>
          <t>1학년 36 / 2학년 47 / 3학년 59 / 4학년 57 / 5학년 89 / 6학년 79 / 특수학급 4</t>
        </is>
      </c>
    </row>
    <row r="1816">
      <c r="A1816" s="5" t="inlineStr">
        <is>
          <t>남부민초등학교</t>
        </is>
      </c>
      <c r="B1816" s="5" t="inlineStr">
        <is>
          <t>초등학교</t>
        </is>
      </c>
      <c r="C1816" s="5" t="inlineStr">
        <is>
          <t>공립</t>
        </is>
      </c>
      <c r="D1816" s="5" t="inlineStr">
        <is>
          <t>서구</t>
        </is>
      </c>
      <c r="E1816" s="5" t="inlineStr">
        <is>
          <t>부산광역시 서구 천마로 153</t>
        </is>
      </c>
      <c r="F1816" s="11" t="inlineStr">
        <is>
          <t>http://www.nambumin.es.kr</t>
        </is>
      </c>
      <c r="G1816" s="5" t="inlineStr">
        <is>
          <t>051-247-3901</t>
        </is>
      </c>
      <c r="H1816" s="12">
        <f>초등학교!Q220</f>
        <v/>
      </c>
      <c r="I1816" s="5" t="inlineStr">
        <is>
          <t>1학년 13 / 2학년 11 / 3학년 8 / 4학년 11 / 5학년 14 / 6학년 16 / 특수학급 3</t>
        </is>
      </c>
    </row>
    <row r="1817">
      <c r="A1817" s="5" t="inlineStr">
        <is>
          <t>대신초등학교</t>
        </is>
      </c>
      <c r="B1817" s="5" t="inlineStr">
        <is>
          <t>초등학교</t>
        </is>
      </c>
      <c r="C1817" s="5" t="inlineStr">
        <is>
          <t>공립</t>
        </is>
      </c>
      <c r="D1817" s="5" t="inlineStr">
        <is>
          <t>서구</t>
        </is>
      </c>
      <c r="E1817" s="5" t="inlineStr">
        <is>
          <t>부산광역시 서구 대신로 63</t>
        </is>
      </c>
      <c r="F1817" s="11" t="inlineStr">
        <is>
          <t>http://daesin.es.kr</t>
        </is>
      </c>
      <c r="G1817" s="5" t="inlineStr">
        <is>
          <t>051-240-0800</t>
        </is>
      </c>
      <c r="H1817" s="12">
        <f>초등학교!Q221</f>
        <v/>
      </c>
      <c r="I1817" s="5" t="inlineStr">
        <is>
          <t>1학년 98 / 2학년 115 / 3학년 94 / 4학년 150 / 5학년 119 / 6학년 130 / 특수학급 6</t>
        </is>
      </c>
    </row>
    <row r="1818">
      <c r="A1818" s="5" t="inlineStr">
        <is>
          <t>동신초등학교</t>
        </is>
      </c>
      <c r="B1818" s="5" t="inlineStr">
        <is>
          <t>초등학교</t>
        </is>
      </c>
      <c r="C1818" s="5" t="inlineStr">
        <is>
          <t>공립</t>
        </is>
      </c>
      <c r="D1818" s="5" t="inlineStr">
        <is>
          <t>서구</t>
        </is>
      </c>
      <c r="E1818" s="5" t="inlineStr">
        <is>
          <t>부산광역시 서구 대영로85번길 81-19</t>
        </is>
      </c>
      <c r="F1818" s="11" t="inlineStr">
        <is>
          <t>http://www.dongsin.es.kr</t>
        </is>
      </c>
      <c r="G1818" s="5" t="inlineStr">
        <is>
          <t>051-240-0700</t>
        </is>
      </c>
      <c r="H1818" s="12">
        <f>초등학교!Q222</f>
        <v/>
      </c>
      <c r="I1818" s="5" t="inlineStr">
        <is>
          <t>1학년 14 / 2학년 28 / 3학년 34 / 4학년 51 / 5학년 42 / 6학년 65 / 특수학급 5</t>
        </is>
      </c>
    </row>
    <row r="1819">
      <c r="A1819" s="5" t="inlineStr">
        <is>
          <t>부민초등학교</t>
        </is>
      </c>
      <c r="B1819" s="5" t="inlineStr">
        <is>
          <t>초등학교</t>
        </is>
      </c>
      <c r="C1819" s="5" t="inlineStr">
        <is>
          <t>공립</t>
        </is>
      </c>
      <c r="D1819" s="5" t="inlineStr">
        <is>
          <t>서구</t>
        </is>
      </c>
      <c r="E1819" s="5" t="inlineStr">
        <is>
          <t>부산광역시 서구 고운들로 12</t>
        </is>
      </c>
      <c r="F1819" s="11" t="inlineStr">
        <is>
          <t>http://www.bumin.es.kr/</t>
        </is>
      </c>
      <c r="G1819" s="5" t="inlineStr">
        <is>
          <t>051-603-2100</t>
        </is>
      </c>
      <c r="H1819" s="12">
        <f>초등학교!Q223</f>
        <v/>
      </c>
      <c r="I1819" s="5" t="inlineStr">
        <is>
          <t>1학년 84 / 2학년 78 / 3학년 85 / 4학년 82 / 5학년 115 / 6학년 104 / 특수학급 5</t>
        </is>
      </c>
    </row>
    <row r="1820">
      <c r="A1820" s="5" t="inlineStr">
        <is>
          <t>부산알로이시오초등학교</t>
        </is>
      </c>
      <c r="B1820" s="5" t="inlineStr">
        <is>
          <t>초등학교</t>
        </is>
      </c>
      <c r="C1820" s="5" t="inlineStr">
        <is>
          <t>사립</t>
        </is>
      </c>
      <c r="D1820" s="5" t="inlineStr">
        <is>
          <t>서구</t>
        </is>
      </c>
      <c r="E1820" s="5" t="inlineStr">
        <is>
          <t>부산광역시 서구 천해로13번길 16-9</t>
        </is>
      </c>
      <c r="F1820" s="11" t="inlineStr">
        <is>
          <t>http://www.aloysius-bs.es.kr</t>
        </is>
      </c>
      <c r="G1820" s="5" t="inlineStr">
        <is>
          <t>051-231-6580</t>
        </is>
      </c>
      <c r="H1820" s="12">
        <f>초등학교!Q224</f>
        <v/>
      </c>
      <c r="I1820" s="5" t="inlineStr">
        <is>
          <t>1학년 2 / 3학년 8 / 4학년 9 / 5학년 8 / 6학년 5 / 특수학급 3</t>
        </is>
      </c>
    </row>
    <row r="1821">
      <c r="A1821" s="5" t="inlineStr">
        <is>
          <t>송도초등학교</t>
        </is>
      </c>
      <c r="B1821" s="5" t="inlineStr">
        <is>
          <t>초등학교</t>
        </is>
      </c>
      <c r="C1821" s="5" t="inlineStr">
        <is>
          <t>공립</t>
        </is>
      </c>
      <c r="D1821" s="5" t="inlineStr">
        <is>
          <t>서구</t>
        </is>
      </c>
      <c r="E1821" s="5" t="inlineStr">
        <is>
          <t>부산광역시 서구 충무대로 25</t>
        </is>
      </c>
      <c r="F1821" s="11" t="inlineStr">
        <is>
          <t>http://songdo.es.kr/</t>
        </is>
      </c>
      <c r="G1821" s="5" t="inlineStr">
        <is>
          <t>051-250-5700</t>
        </is>
      </c>
      <c r="H1821" s="12">
        <f>초등학교!Q225</f>
        <v/>
      </c>
      <c r="I1821" s="5" t="inlineStr">
        <is>
          <t>1학년 77 / 2학년 72 / 3학년 77 / 4학년 92 / 5학년 83 / 6학년 90 / 특수학급 11</t>
        </is>
      </c>
    </row>
    <row r="1822">
      <c r="A1822" s="5" t="inlineStr">
        <is>
          <t>아미초등학교</t>
        </is>
      </c>
      <c r="B1822" s="5" t="inlineStr">
        <is>
          <t>초등학교</t>
        </is>
      </c>
      <c r="C1822" s="5" t="inlineStr">
        <is>
          <t>공립</t>
        </is>
      </c>
      <c r="D1822" s="5" t="inlineStr">
        <is>
          <t>서구</t>
        </is>
      </c>
      <c r="E1822" s="5" t="inlineStr">
        <is>
          <t>부산광역시 서구 해돋이로 241</t>
        </is>
      </c>
      <c r="F1822" s="11" t="inlineStr">
        <is>
          <t>http://ami.es.kr/</t>
        </is>
      </c>
      <c r="G1822" s="5" t="inlineStr">
        <is>
          <t>051-240-6001</t>
        </is>
      </c>
      <c r="H1822" s="12">
        <f>초등학교!Q226</f>
        <v/>
      </c>
      <c r="I1822" s="5" t="inlineStr">
        <is>
          <t>2학년 4 / 3학년 5 / 4학년 2 / 5학년 4 / 6학년 6 / 특수학급 3</t>
        </is>
      </c>
    </row>
    <row r="1823">
      <c r="A1823" s="5" t="inlineStr">
        <is>
          <t>천마초등학교</t>
        </is>
      </c>
      <c r="B1823" s="5" t="inlineStr">
        <is>
          <t>초등학교</t>
        </is>
      </c>
      <c r="C1823" s="5" t="inlineStr">
        <is>
          <t>공립</t>
        </is>
      </c>
      <c r="D1823" s="5" t="inlineStr">
        <is>
          <t>서구</t>
        </is>
      </c>
      <c r="E1823" s="5" t="inlineStr">
        <is>
          <t>부산광역시 서구 천해로7번길 38</t>
        </is>
      </c>
      <c r="F1823" s="11" t="inlineStr">
        <is>
          <t>http://www.chunma.es.kr</t>
        </is>
      </c>
      <c r="G1823" s="5" t="inlineStr">
        <is>
          <t>051-250-6701</t>
        </is>
      </c>
      <c r="H1823" s="12">
        <f>초등학교!Q227</f>
        <v/>
      </c>
      <c r="I1823" s="5" t="inlineStr">
        <is>
          <t>1학년 3 / 2학년 6 / 3학년 11 / 4학년 20 / 5학년 16 / 6학년 14 / 특수학급 6</t>
        </is>
      </c>
    </row>
    <row r="1824">
      <c r="A1824" s="5" t="inlineStr">
        <is>
          <t>토성초등학교</t>
        </is>
      </c>
      <c r="B1824" s="5" t="inlineStr">
        <is>
          <t>초등학교</t>
        </is>
      </c>
      <c r="C1824" s="5" t="inlineStr">
        <is>
          <t>공립</t>
        </is>
      </c>
      <c r="D1824" s="5" t="inlineStr">
        <is>
          <t>서구</t>
        </is>
      </c>
      <c r="E1824" s="5" t="inlineStr">
        <is>
          <t>부산광역시 서구 구덕로134번길 45</t>
        </is>
      </c>
      <c r="F1824" s="11" t="inlineStr">
        <is>
          <t>http://toseong.es.kr</t>
        </is>
      </c>
      <c r="G1824" s="5" t="inlineStr">
        <is>
          <t>051-250-0800</t>
        </is>
      </c>
      <c r="H1824" s="12">
        <f>초등학교!Q228</f>
        <v/>
      </c>
      <c r="I1824" s="5" t="inlineStr">
        <is>
          <t>1학년 35 / 2학년 33 / 3학년 52 / 4학년 66 / 5학년 90 / 6학년 79 / 특수학급 7</t>
        </is>
      </c>
    </row>
    <row r="1825">
      <c r="A1825" s="5" t="inlineStr">
        <is>
          <t>화랑초등학교</t>
        </is>
      </c>
      <c r="B1825" s="5" t="inlineStr">
        <is>
          <t>초등학교</t>
        </is>
      </c>
      <c r="C1825" s="5" t="inlineStr">
        <is>
          <t>공립</t>
        </is>
      </c>
      <c r="D1825" s="5" t="inlineStr">
        <is>
          <t>서구</t>
        </is>
      </c>
      <c r="E1825" s="5" t="inlineStr">
        <is>
          <t>부산광역시 서구 대영로86번길 56</t>
        </is>
      </c>
      <c r="F1825" s="11" t="inlineStr">
        <is>
          <t>http://www.hwarang.es.kr</t>
        </is>
      </c>
      <c r="G1825" s="5" t="inlineStr">
        <is>
          <t>051-793-7300</t>
        </is>
      </c>
      <c r="H1825" s="12">
        <f>초등학교!Q229</f>
        <v/>
      </c>
      <c r="I1825" s="5" t="inlineStr">
        <is>
          <t>1학년 8 / 2학년 19 / 3학년 25 / 4학년 34 / 5학년 34 / 6학년 26 / 특수학급 5</t>
        </is>
      </c>
    </row>
    <row r="1826">
      <c r="A1826" s="5" t="inlineStr">
        <is>
          <t>광남초등학교</t>
        </is>
      </c>
      <c r="B1826" s="5" t="inlineStr">
        <is>
          <t>초등학교</t>
        </is>
      </c>
      <c r="C1826" s="5" t="inlineStr">
        <is>
          <t>공립</t>
        </is>
      </c>
      <c r="D1826" s="5" t="inlineStr">
        <is>
          <t>수영구</t>
        </is>
      </c>
      <c r="E1826" s="5" t="inlineStr">
        <is>
          <t>부산광역시 수영구 광안해변로 115</t>
        </is>
      </c>
      <c r="F1826" s="11" t="inlineStr">
        <is>
          <t>http://gwangnam.es.kr/</t>
        </is>
      </c>
      <c r="G1826" s="5" t="inlineStr">
        <is>
          <t>051-610-6600</t>
        </is>
      </c>
      <c r="H1826" s="12">
        <f>초등학교!Q230</f>
        <v/>
      </c>
      <c r="I1826" s="5" t="inlineStr">
        <is>
          <t>1학년 78 / 2학년 59 / 3학년 99 / 4학년 78 / 5학년 119 / 6학년 106 / 특수학급 5</t>
        </is>
      </c>
    </row>
    <row r="1827">
      <c r="A1827" s="5" t="inlineStr">
        <is>
          <t>광안초등학교</t>
        </is>
      </c>
      <c r="B1827" s="5" t="inlineStr">
        <is>
          <t>초등학교</t>
        </is>
      </c>
      <c r="C1827" s="5" t="inlineStr">
        <is>
          <t>공립</t>
        </is>
      </c>
      <c r="D1827" s="5" t="inlineStr">
        <is>
          <t>수영구</t>
        </is>
      </c>
      <c r="E1827" s="5" t="inlineStr">
        <is>
          <t>부산광역시 수영구 광안로35번길 42</t>
        </is>
      </c>
      <c r="F1827" s="11" t="inlineStr">
        <is>
          <t>http://www.kwangan.es.kr</t>
        </is>
      </c>
      <c r="G1827" s="5" t="inlineStr">
        <is>
          <t>051-790-2200</t>
        </is>
      </c>
      <c r="H1827" s="12">
        <f>초등학교!Q231</f>
        <v/>
      </c>
      <c r="I1827" s="5" t="inlineStr">
        <is>
          <t>1학년 85 / 2학년 71 / 3학년 95 / 4학년 109 / 5학년 122 / 6학년 115 / 특수학급 13</t>
        </is>
      </c>
    </row>
    <row r="1828">
      <c r="A1828" s="5" t="inlineStr">
        <is>
          <t>남천초등학교</t>
        </is>
      </c>
      <c r="B1828" s="5" t="inlineStr">
        <is>
          <t>초등학교</t>
        </is>
      </c>
      <c r="C1828" s="5" t="inlineStr">
        <is>
          <t>공립</t>
        </is>
      </c>
      <c r="D1828" s="5" t="inlineStr">
        <is>
          <t>수영구</t>
        </is>
      </c>
      <c r="E1828" s="5" t="inlineStr">
        <is>
          <t>부산광역시 수영구 남천서로 14</t>
        </is>
      </c>
      <c r="F1828" s="11" t="inlineStr">
        <is>
          <t>http://www.namcheon.es.kr</t>
        </is>
      </c>
      <c r="G1828" s="5" t="inlineStr">
        <is>
          <t>051-610-3702</t>
        </is>
      </c>
      <c r="H1828" s="12">
        <f>초등학교!Q232</f>
        <v/>
      </c>
      <c r="I1828" s="5" t="inlineStr">
        <is>
          <t>1학년 156 / 2학년 136 / 3학년 154 / 4학년 161 / 5학년 175 / 6학년 161 / 특수학급 11</t>
        </is>
      </c>
    </row>
    <row r="1829">
      <c r="A1829" s="5" t="inlineStr">
        <is>
          <t>망미초등학교</t>
        </is>
      </c>
      <c r="B1829" s="5" t="inlineStr">
        <is>
          <t>초등학교</t>
        </is>
      </c>
      <c r="C1829" s="5" t="inlineStr">
        <is>
          <t>공립</t>
        </is>
      </c>
      <c r="D1829" s="5" t="inlineStr">
        <is>
          <t>수영구</t>
        </is>
      </c>
      <c r="E1829" s="5" t="inlineStr">
        <is>
          <t>부산광역시 수영구 수미로35번길 27</t>
        </is>
      </c>
      <c r="F1829" s="11" t="inlineStr">
        <is>
          <t>http://school.busanedu.net/mangmi-e</t>
        </is>
      </c>
      <c r="G1829" s="5" t="inlineStr">
        <is>
          <t>051-7965-501</t>
        </is>
      </c>
      <c r="H1829" s="12">
        <f>초등학교!Q233</f>
        <v/>
      </c>
      <c r="I1829" s="5" t="inlineStr">
        <is>
          <t>1학년 49 / 2학년 55 / 3학년 45 / 4학년 56 / 5학년 76 / 6학년 73 / 특수학급 7</t>
        </is>
      </c>
    </row>
    <row r="1830">
      <c r="A1830" s="5" t="inlineStr">
        <is>
          <t>민락초등학교</t>
        </is>
      </c>
      <c r="B1830" s="5" t="inlineStr">
        <is>
          <t>초등학교</t>
        </is>
      </c>
      <c r="C1830" s="5" t="inlineStr">
        <is>
          <t>공립</t>
        </is>
      </c>
      <c r="D1830" s="5" t="inlineStr">
        <is>
          <t>수영구</t>
        </is>
      </c>
      <c r="E1830" s="5" t="inlineStr">
        <is>
          <t>부산광역시 수영구 광남로257번길 12</t>
        </is>
      </c>
      <c r="F1830" s="11" t="inlineStr">
        <is>
          <t>http://minlak.es.kr</t>
        </is>
      </c>
      <c r="G1830" s="5" t="inlineStr">
        <is>
          <t>051-752-8694</t>
        </is>
      </c>
      <c r="H1830" s="12">
        <f>초등학교!Q234</f>
        <v/>
      </c>
      <c r="I1830" s="5" t="inlineStr">
        <is>
          <t>1학년 65 / 2학년 84 / 3학년 96 / 4학년 102 / 5학년 102 / 6학년 113 / 특수학급 7</t>
        </is>
      </c>
    </row>
    <row r="1831">
      <c r="A1831" s="5" t="inlineStr">
        <is>
          <t>민안초등학교</t>
        </is>
      </c>
      <c r="B1831" s="5" t="inlineStr">
        <is>
          <t>초등학교</t>
        </is>
      </c>
      <c r="C1831" s="5" t="inlineStr">
        <is>
          <t>공립</t>
        </is>
      </c>
      <c r="D1831" s="5" t="inlineStr">
        <is>
          <t>수영구</t>
        </is>
      </c>
      <c r="E1831" s="5" t="inlineStr">
        <is>
          <t>부산광역시 수영구 감포로38번길 33</t>
        </is>
      </c>
      <c r="F1831" s="11" t="inlineStr">
        <is>
          <t>http://minan.es.kr</t>
        </is>
      </c>
      <c r="G1831" s="5" t="inlineStr">
        <is>
          <t>051-751-3931</t>
        </is>
      </c>
      <c r="H1831" s="12">
        <f>초등학교!Q235</f>
        <v/>
      </c>
      <c r="I1831" s="5" t="inlineStr">
        <is>
          <t>1학년 48 / 2학년 68 / 3학년 57 / 4학년 67 / 5학년 73 / 6학년 56 / 특수학급 7</t>
        </is>
      </c>
    </row>
    <row r="1832">
      <c r="A1832" s="5" t="inlineStr">
        <is>
          <t>배산초등학교</t>
        </is>
      </c>
      <c r="B1832" s="5" t="inlineStr">
        <is>
          <t>초등학교</t>
        </is>
      </c>
      <c r="C1832" s="5" t="inlineStr">
        <is>
          <t>공립</t>
        </is>
      </c>
      <c r="D1832" s="5" t="inlineStr">
        <is>
          <t>수영구</t>
        </is>
      </c>
      <c r="E1832" s="5" t="inlineStr">
        <is>
          <t>부산광역시 수영구 망미배산로48번길 85-15</t>
        </is>
      </c>
      <c r="F1832" s="11" t="inlineStr">
        <is>
          <t>http://www.baesan.es.kr</t>
        </is>
      </c>
      <c r="G1832" s="5" t="inlineStr">
        <is>
          <t>051-754-5930</t>
        </is>
      </c>
      <c r="H1832" s="12">
        <f>초등학교!Q236</f>
        <v/>
      </c>
      <c r="I1832" s="5" t="inlineStr">
        <is>
          <t>1학년 49 / 2학년 76 / 3학년 65 / 4학년 85 / 5학년 96 / 6학년 92 / 특수학급 9</t>
        </is>
      </c>
    </row>
    <row r="1833">
      <c r="A1833" s="5" t="inlineStr">
        <is>
          <t>수미초등학교</t>
        </is>
      </c>
      <c r="B1833" s="5" t="inlineStr">
        <is>
          <t>초등학교</t>
        </is>
      </c>
      <c r="C1833" s="5" t="inlineStr">
        <is>
          <t>공립</t>
        </is>
      </c>
      <c r="D1833" s="5" t="inlineStr">
        <is>
          <t>수영구</t>
        </is>
      </c>
      <c r="E1833" s="5" t="inlineStr">
        <is>
          <t>부산광역시 수영구 연수로310번길 91</t>
        </is>
      </c>
      <c r="F1833" s="11" t="inlineStr">
        <is>
          <t>http://www.sumi.es.kr/</t>
        </is>
      </c>
      <c r="G1833" s="5" t="inlineStr">
        <is>
          <t>051-791-4700</t>
        </is>
      </c>
      <c r="H1833" s="12">
        <f>초등학교!Q237</f>
        <v/>
      </c>
      <c r="I1833" s="5" t="inlineStr">
        <is>
          <t>1학년 42 / 2학년 30 / 3학년 45 / 4학년 81 / 5학년 76 / 6학년 73 / 특수학급 10</t>
        </is>
      </c>
    </row>
    <row r="1834">
      <c r="A1834" s="5" t="inlineStr">
        <is>
          <t>수영초등학교</t>
        </is>
      </c>
      <c r="B1834" s="5" t="inlineStr">
        <is>
          <t>초등학교</t>
        </is>
      </c>
      <c r="C1834" s="5" t="inlineStr">
        <is>
          <t>공립</t>
        </is>
      </c>
      <c r="D1834" s="5" t="inlineStr">
        <is>
          <t>수영구</t>
        </is>
      </c>
      <c r="E1834" s="5" t="inlineStr">
        <is>
          <t>부산광역시 수영구 광서로16번길 33</t>
        </is>
      </c>
      <c r="F1834" s="11" t="inlineStr">
        <is>
          <t>http://suyoung.es.kr/</t>
        </is>
      </c>
      <c r="G1834" s="5" t="inlineStr">
        <is>
          <t>051-792-2500</t>
        </is>
      </c>
      <c r="H1834" s="12">
        <f>초등학교!Q238</f>
        <v/>
      </c>
      <c r="I1834" s="5" t="inlineStr">
        <is>
          <t>1학년 64 / 2학년 67 / 3학년 83 / 4학년 123 / 5학년 123 / 6학년 129 / 특수학급 12</t>
        </is>
      </c>
    </row>
    <row r="1835">
      <c r="A1835" s="5" t="inlineStr">
        <is>
          <t>호암초등학교</t>
        </is>
      </c>
      <c r="B1835" s="5" t="inlineStr">
        <is>
          <t>초등학교</t>
        </is>
      </c>
      <c r="C1835" s="5" t="inlineStr">
        <is>
          <t>공립</t>
        </is>
      </c>
      <c r="D1835" s="5" t="inlineStr">
        <is>
          <t>수영구</t>
        </is>
      </c>
      <c r="E1835" s="5" t="inlineStr">
        <is>
          <t>부산광역시 수영구 호암로 57</t>
        </is>
      </c>
      <c r="F1835" s="11" t="inlineStr">
        <is>
          <t>http://www.hoam.es.kr</t>
        </is>
      </c>
      <c r="G1835" s="5" t="inlineStr">
        <is>
          <t>051-712-3600</t>
        </is>
      </c>
      <c r="H1835" s="12">
        <f>초등학교!Q239</f>
        <v/>
      </c>
      <c r="I1835" s="5" t="inlineStr">
        <is>
          <t>1학년 68 / 2학년 64 / 3학년 76 / 4학년 83 / 5학년 89 / 6학년 85 / 특수학급 7</t>
        </is>
      </c>
    </row>
    <row r="1836">
      <c r="A1836" s="5" t="inlineStr">
        <is>
          <t>거제초등학교</t>
        </is>
      </c>
      <c r="B1836" s="5" t="inlineStr">
        <is>
          <t>초등학교</t>
        </is>
      </c>
      <c r="C1836" s="5" t="inlineStr">
        <is>
          <t>공립</t>
        </is>
      </c>
      <c r="D1836" s="5" t="inlineStr">
        <is>
          <t>연제구</t>
        </is>
      </c>
      <c r="E1836" s="5" t="inlineStr">
        <is>
          <t>부산광역시 연제구 해맞이로 39</t>
        </is>
      </c>
      <c r="F1836" s="11" t="inlineStr">
        <is>
          <t>http://www.gue-je.es.kr</t>
        </is>
      </c>
      <c r="G1836" s="5" t="inlineStr">
        <is>
          <t>051-506-0371</t>
        </is>
      </c>
      <c r="H1836" s="12">
        <f>초등학교!Q240</f>
        <v/>
      </c>
      <c r="I1836" s="5" t="inlineStr">
        <is>
          <t>1학년 137 / 2학년 149 / 3학년 150 / 4학년 142 / 5학년 143 / 6학년 120 / 특수학급 7</t>
        </is>
      </c>
    </row>
    <row r="1837">
      <c r="A1837" s="5" t="inlineStr">
        <is>
          <t>거학초등학교</t>
        </is>
      </c>
      <c r="B1837" s="5" t="inlineStr">
        <is>
          <t>초등학교</t>
        </is>
      </c>
      <c r="C1837" s="5" t="inlineStr">
        <is>
          <t>공립</t>
        </is>
      </c>
      <c r="D1837" s="5" t="inlineStr">
        <is>
          <t>연제구</t>
        </is>
      </c>
      <c r="E1837" s="5" t="inlineStr">
        <is>
          <t>부산광역시 연제구 교대로24번길 36</t>
        </is>
      </c>
      <c r="F1837" s="11" t="inlineStr">
        <is>
          <t>http://www.geohak.es.kr</t>
        </is>
      </c>
      <c r="G1837" s="5" t="inlineStr">
        <is>
          <t>051-502-4249</t>
        </is>
      </c>
      <c r="H1837" s="12">
        <f>초등학교!Q241</f>
        <v/>
      </c>
      <c r="I1837" s="5" t="inlineStr">
        <is>
          <t>1학년 54 / 2학년 56 / 3학년 68 / 4학년 98 / 5학년 100 / 6학년 103 / 특수학급 6</t>
        </is>
      </c>
    </row>
    <row r="1838">
      <c r="A1838" s="5" t="inlineStr">
        <is>
          <t>과정초등학교</t>
        </is>
      </c>
      <c r="B1838" s="5" t="inlineStr">
        <is>
          <t>초등학교</t>
        </is>
      </c>
      <c r="C1838" s="5" t="inlineStr">
        <is>
          <t>공립</t>
        </is>
      </c>
      <c r="D1838" s="5" t="inlineStr">
        <is>
          <t>연제구</t>
        </is>
      </c>
      <c r="E1838" s="5" t="inlineStr">
        <is>
          <t>부산광역시 연제구 과정로164번길 37</t>
        </is>
      </c>
      <c r="F1838" s="11" t="inlineStr">
        <is>
          <t>http://www.kwajung.es.kr</t>
        </is>
      </c>
      <c r="G1838" s="5" t="inlineStr">
        <is>
          <t>051-750-0500</t>
        </is>
      </c>
      <c r="H1838" s="12">
        <f>초등학교!Q242</f>
        <v/>
      </c>
      <c r="I1838" s="5" t="inlineStr">
        <is>
          <t>1학년 51 / 2학년 40 / 3학년 57 / 4학년 81 / 5학년 73 / 6학년 84 / 특수학급 6</t>
        </is>
      </c>
    </row>
    <row r="1839">
      <c r="A1839" s="5" t="inlineStr">
        <is>
          <t>남문초등학교</t>
        </is>
      </c>
      <c r="B1839" s="5" t="inlineStr">
        <is>
          <t>초등학교</t>
        </is>
      </c>
      <c r="C1839" s="5" t="inlineStr">
        <is>
          <t>공립</t>
        </is>
      </c>
      <c r="D1839" s="5" t="inlineStr">
        <is>
          <t>연제구</t>
        </is>
      </c>
      <c r="E1839" s="5" t="inlineStr">
        <is>
          <t>부산광역시 연제구 법원북로 23</t>
        </is>
      </c>
      <c r="F1839" s="11" t="inlineStr">
        <is>
          <t>http://nammun.es.kr</t>
        </is>
      </c>
      <c r="G1839" s="5" t="inlineStr">
        <is>
          <t>051-507-0521</t>
        </is>
      </c>
      <c r="H1839" s="12">
        <f>초등학교!Q243</f>
        <v/>
      </c>
      <c r="I1839" s="5" t="inlineStr">
        <is>
          <t>1학년 109 / 2학년 149 / 3학년 124 / 4학년 193 / 5학년 228 / 6학년 196 / 특수학급 6</t>
        </is>
      </c>
    </row>
    <row r="1840">
      <c r="A1840" s="5" t="inlineStr">
        <is>
          <t>동명초등학교</t>
        </is>
      </c>
      <c r="B1840" s="5" t="inlineStr">
        <is>
          <t>초등학교</t>
        </is>
      </c>
      <c r="C1840" s="5" t="inlineStr">
        <is>
          <t>공립</t>
        </is>
      </c>
      <c r="D1840" s="5" t="inlineStr">
        <is>
          <t>연제구</t>
        </is>
      </c>
      <c r="E1840" s="5" t="inlineStr">
        <is>
          <t>부산광역시 연제구 쌍미천로44번길 17</t>
        </is>
      </c>
      <c r="F1840" s="11" t="inlineStr">
        <is>
          <t>http://www.dongmyung.es.kr</t>
        </is>
      </c>
      <c r="G1840" s="5" t="inlineStr">
        <is>
          <t>051-863-2965</t>
        </is>
      </c>
      <c r="H1840" s="12">
        <f>초등학교!Q244</f>
        <v/>
      </c>
      <c r="I1840" s="5" t="inlineStr">
        <is>
          <t>1학년 19 / 2학년 14 / 3학년 18 / 4학년 27 / 5학년 25 / 6학년 34 / 특수학급 9</t>
        </is>
      </c>
    </row>
    <row r="1841">
      <c r="A1841" s="5" t="inlineStr">
        <is>
          <t>부산교육대학교부설초등학교</t>
        </is>
      </c>
      <c r="B1841" s="5" t="inlineStr">
        <is>
          <t>초등학교</t>
        </is>
      </c>
      <c r="C1841" s="5" t="inlineStr">
        <is>
          <t>국립</t>
        </is>
      </c>
      <c r="D1841" s="5" t="inlineStr">
        <is>
          <t>연제구</t>
        </is>
      </c>
      <c r="E1841" s="5" t="inlineStr">
        <is>
          <t>부산광역시 연제구 교대로 24</t>
        </is>
      </c>
      <c r="F1841" s="11" t="inlineStr">
        <is>
          <t>http://es.bnue.ac.kr</t>
        </is>
      </c>
      <c r="G1841" s="5" t="inlineStr">
        <is>
          <t>051-550-2800</t>
        </is>
      </c>
      <c r="H1841" s="12">
        <f>초등학교!Q245</f>
        <v/>
      </c>
      <c r="I1841" s="5" t="inlineStr">
        <is>
          <t>1학년 79 / 2학년 79 / 3학년 79 / 4학년 95 / 5학년 96 / 6학년 95 / 특수학급 5</t>
        </is>
      </c>
    </row>
    <row r="1842">
      <c r="A1842" s="5" t="inlineStr">
        <is>
          <t>연동초등학교</t>
        </is>
      </c>
      <c r="B1842" s="5" t="inlineStr">
        <is>
          <t>초등학교</t>
        </is>
      </c>
      <c r="C1842" s="5" t="inlineStr">
        <is>
          <t>공립</t>
        </is>
      </c>
      <c r="D1842" s="5" t="inlineStr">
        <is>
          <t>연제구</t>
        </is>
      </c>
      <c r="E1842" s="5" t="inlineStr">
        <is>
          <t>부산광역시 연제구 고분로56번길 40</t>
        </is>
      </c>
      <c r="F1842" s="11" t="inlineStr">
        <is>
          <t>http://yondong.es.kr</t>
        </is>
      </c>
      <c r="G1842" s="5" t="inlineStr">
        <is>
          <t>051-853-7172</t>
        </is>
      </c>
      <c r="H1842" s="12">
        <f>초등학교!Q246</f>
        <v/>
      </c>
      <c r="I1842" s="5" t="inlineStr">
        <is>
          <t>1학년 65 / 2학년 71 / 3학년 80 / 4학년 83 / 5학년 110 / 6학년 80 / 특수학급 6</t>
        </is>
      </c>
    </row>
    <row r="1843">
      <c r="A1843" s="5" t="inlineStr">
        <is>
          <t>연미초등학교</t>
        </is>
      </c>
      <c r="B1843" s="5" t="inlineStr">
        <is>
          <t>초등학교</t>
        </is>
      </c>
      <c r="C1843" s="5" t="inlineStr">
        <is>
          <t>공립</t>
        </is>
      </c>
      <c r="D1843" s="5" t="inlineStr">
        <is>
          <t>연제구</t>
        </is>
      </c>
      <c r="E1843" s="5" t="inlineStr">
        <is>
          <t>부산광역시 연제구 금련로38번길 84</t>
        </is>
      </c>
      <c r="F1843" s="11" t="inlineStr">
        <is>
          <t>http://www.yeunmi.es.kr</t>
        </is>
      </c>
      <c r="G1843" s="5" t="inlineStr">
        <is>
          <t>051-860-8300</t>
        </is>
      </c>
      <c r="H1843" s="12">
        <f>초등학교!Q247</f>
        <v/>
      </c>
      <c r="I1843" s="5" t="inlineStr">
        <is>
          <t>1학년 61 / 2학년 69 / 3학년 43 / 4학년 54 / 5학년 48 / 6학년 40 / 특수학급 6</t>
        </is>
      </c>
    </row>
    <row r="1844">
      <c r="A1844" s="5" t="inlineStr">
        <is>
          <t>연산초등학교</t>
        </is>
      </c>
      <c r="B1844" s="5" t="inlineStr">
        <is>
          <t>초등학교</t>
        </is>
      </c>
      <c r="C1844" s="5" t="inlineStr">
        <is>
          <t>공립</t>
        </is>
      </c>
      <c r="D1844" s="5" t="inlineStr">
        <is>
          <t>연제구</t>
        </is>
      </c>
      <c r="E1844" s="5" t="inlineStr">
        <is>
          <t>부산광역시 연제구 월드컵대로 41</t>
        </is>
      </c>
      <c r="F1844" s="11" t="inlineStr">
        <is>
          <t>http://www.yonsan.es.kr</t>
        </is>
      </c>
      <c r="G1844" s="5" t="inlineStr">
        <is>
          <t>051-850-1901</t>
        </is>
      </c>
      <c r="H1844" s="12">
        <f>초등학교!Q248</f>
        <v/>
      </c>
      <c r="I1844" s="5" t="inlineStr">
        <is>
          <t>1학년 98 / 2학년 110 / 3학년 115 / 4학년 145 / 5학년 131 / 6학년 114 / 특수학급 14</t>
        </is>
      </c>
    </row>
    <row r="1845">
      <c r="A1845" s="5" t="inlineStr">
        <is>
          <t>연서초등학교</t>
        </is>
      </c>
      <c r="B1845" s="5" t="inlineStr">
        <is>
          <t>초등학교</t>
        </is>
      </c>
      <c r="C1845" s="5" t="inlineStr">
        <is>
          <t>공립</t>
        </is>
      </c>
      <c r="D1845" s="5" t="inlineStr">
        <is>
          <t>연제구</t>
        </is>
      </c>
      <c r="E1845" s="5" t="inlineStr">
        <is>
          <t>부산광역시 연제구 거제천로270번길 30</t>
        </is>
      </c>
      <c r="F1845" s="11" t="inlineStr">
        <is>
          <t>http://school.busanedu.net/yeonseo-e/main.do</t>
        </is>
      </c>
      <c r="G1845" s="5" t="inlineStr">
        <is>
          <t>051-7905-400</t>
        </is>
      </c>
      <c r="H1845" s="12">
        <f>초등학교!Q249</f>
        <v/>
      </c>
      <c r="I1845" s="5" t="inlineStr">
        <is>
          <t>1학년 76 / 2학년 70 / 3학년 82 / 4학년 102 / 5학년 101 / 6학년 127 / 특수학급 6</t>
        </is>
      </c>
    </row>
    <row r="1846">
      <c r="A1846" s="5" t="inlineStr">
        <is>
          <t>연신초등학교</t>
        </is>
      </c>
      <c r="B1846" s="5" t="inlineStr">
        <is>
          <t>초등학교</t>
        </is>
      </c>
      <c r="C1846" s="5" t="inlineStr">
        <is>
          <t>공립</t>
        </is>
      </c>
      <c r="D1846" s="5" t="inlineStr">
        <is>
          <t>연제구</t>
        </is>
      </c>
      <c r="E1846" s="5" t="inlineStr">
        <is>
          <t>부산광역시 연제구 신금로23번길 30</t>
        </is>
      </c>
      <c r="F1846" s="11" t="inlineStr">
        <is>
          <t>http://www.yonsin.es.kr</t>
        </is>
      </c>
      <c r="G1846" s="5" t="inlineStr">
        <is>
          <t>051-790-6700</t>
        </is>
      </c>
      <c r="H1846" s="12">
        <f>초등학교!Q250</f>
        <v/>
      </c>
      <c r="I1846" s="5" t="inlineStr">
        <is>
          <t>1학년 74 / 2학년 83 / 3학년 84 / 4학년 112 / 5학년 90 / 6학년 107 / 특수학급 3</t>
        </is>
      </c>
    </row>
    <row r="1847">
      <c r="A1847" s="5" t="inlineStr">
        <is>
          <t>연일초등학교</t>
        </is>
      </c>
      <c r="B1847" s="5" t="inlineStr">
        <is>
          <t>초등학교</t>
        </is>
      </c>
      <c r="C1847" s="5" t="inlineStr">
        <is>
          <t>공립</t>
        </is>
      </c>
      <c r="D1847" s="5" t="inlineStr">
        <is>
          <t>연제구</t>
        </is>
      </c>
      <c r="E1847" s="5" t="inlineStr">
        <is>
          <t>부산광역시 연제구 고분로 126-4</t>
        </is>
      </c>
      <c r="F1847" s="11" t="inlineStr">
        <is>
          <t>http://www.yonil.es.kr</t>
        </is>
      </c>
      <c r="G1847" s="5" t="inlineStr">
        <is>
          <t>051-790-0600</t>
        </is>
      </c>
      <c r="H1847" s="12">
        <f>초등학교!Q251</f>
        <v/>
      </c>
      <c r="I1847" s="5" t="inlineStr">
        <is>
          <t>1학년 11 / 2학년 3 / 3학년 11 / 4학년 17 / 5학년 18 / 6학년 19 / 특수학급 5</t>
        </is>
      </c>
    </row>
    <row r="1848">
      <c r="A1848" s="5" t="inlineStr">
        <is>
          <t>연제초등학교</t>
        </is>
      </c>
      <c r="B1848" s="5" t="inlineStr">
        <is>
          <t>초등학교</t>
        </is>
      </c>
      <c r="C1848" s="5" t="inlineStr">
        <is>
          <t>공립</t>
        </is>
      </c>
      <c r="D1848" s="5" t="inlineStr">
        <is>
          <t>연제구</t>
        </is>
      </c>
      <c r="E1848" s="5" t="inlineStr">
        <is>
          <t>부산광역시 연제구 중앙대로1065번길 14</t>
        </is>
      </c>
      <c r="F1848" s="11" t="inlineStr">
        <is>
          <t>http://www.yeonje.es.kr</t>
        </is>
      </c>
      <c r="G1848" s="5" t="inlineStr">
        <is>
          <t>051-790-7600</t>
        </is>
      </c>
      <c r="H1848" s="12">
        <f>초등학교!Q252</f>
        <v/>
      </c>
      <c r="I1848" s="5" t="inlineStr">
        <is>
          <t>1학년 56 / 2학년 53 / 3학년 68 / 4학년 62 / 5학년 85 / 6학년 73 / 특수학급 5</t>
        </is>
      </c>
    </row>
    <row r="1849">
      <c r="A1849" s="5" t="inlineStr">
        <is>
          <t>연천초등학교</t>
        </is>
      </c>
      <c r="B1849" s="5" t="inlineStr">
        <is>
          <t>초등학교</t>
        </is>
      </c>
      <c r="C1849" s="5" t="inlineStr">
        <is>
          <t>공립</t>
        </is>
      </c>
      <c r="D1849" s="5" t="inlineStr">
        <is>
          <t>연제구</t>
        </is>
      </c>
      <c r="E1849" s="5" t="inlineStr">
        <is>
          <t>부산광역시 연제구 과정로225번길 46</t>
        </is>
      </c>
      <c r="F1849" s="11" t="inlineStr">
        <is>
          <t>https://school.busanedu.net/yonchon-e/main.do</t>
        </is>
      </c>
      <c r="G1849" s="5" t="inlineStr">
        <is>
          <t>051-850-1700</t>
        </is>
      </c>
      <c r="H1849" s="12">
        <f>초등학교!Q253</f>
        <v/>
      </c>
      <c r="I1849" s="5" t="inlineStr">
        <is>
          <t>1학년 46 / 2학년 78 / 3학년 76 / 4학년 103 / 5학년 105 / 6학년 108 / 특수학급 6</t>
        </is>
      </c>
    </row>
    <row r="1850">
      <c r="A1850" s="5" t="inlineStr">
        <is>
          <t>창신초등학교</t>
        </is>
      </c>
      <c r="B1850" s="5" t="inlineStr">
        <is>
          <t>초등학교</t>
        </is>
      </c>
      <c r="C1850" s="5" t="inlineStr">
        <is>
          <t>공립</t>
        </is>
      </c>
      <c r="D1850" s="5" t="inlineStr">
        <is>
          <t>연제구</t>
        </is>
      </c>
      <c r="E1850" s="5" t="inlineStr">
        <is>
          <t>부산광역시 연제구 종합운동장로12번길 15</t>
        </is>
      </c>
      <c r="F1850" s="11" t="inlineStr">
        <is>
          <t>http://www.changshin.es.kr</t>
        </is>
      </c>
      <c r="G1850" s="5" t="inlineStr">
        <is>
          <t>051-500-0600</t>
        </is>
      </c>
      <c r="H1850" s="12">
        <f>초등학교!Q254</f>
        <v/>
      </c>
      <c r="I1850" s="5" t="inlineStr">
        <is>
          <t>1학년 246 / 2학년 241 / 3학년 288 / 4학년 274 / 5학년 278 / 6학년 271 / 특수학급 13</t>
        </is>
      </c>
    </row>
    <row r="1851">
      <c r="A1851" s="5" t="inlineStr">
        <is>
          <t>토현초등학교</t>
        </is>
      </c>
      <c r="B1851" s="5" t="inlineStr">
        <is>
          <t>초등학교</t>
        </is>
      </c>
      <c r="C1851" s="5" t="inlineStr">
        <is>
          <t>공립</t>
        </is>
      </c>
      <c r="D1851" s="5" t="inlineStr">
        <is>
          <t>연제구</t>
        </is>
      </c>
      <c r="E1851" s="5" t="inlineStr">
        <is>
          <t>부산광역시 연제구 토현로 48</t>
        </is>
      </c>
      <c r="F1851" s="11" t="inlineStr">
        <is>
          <t>http://www.tohyeon.es.kr</t>
        </is>
      </c>
      <c r="G1851" s="5" t="inlineStr">
        <is>
          <t>051-759-1216</t>
        </is>
      </c>
      <c r="H1851" s="12">
        <f>초등학교!Q255</f>
        <v/>
      </c>
      <c r="I1851" s="5" t="inlineStr">
        <is>
          <t>1학년 17 / 2학년 22 / 3학년 36 / 4학년 38 / 5학년 43 / 6학년 46 / 특수학급 7</t>
        </is>
      </c>
    </row>
    <row r="1852">
      <c r="A1852" s="5" t="inlineStr">
        <is>
          <t>남항초등학교</t>
        </is>
      </c>
      <c r="B1852" s="5" t="inlineStr">
        <is>
          <t>초등학교</t>
        </is>
      </c>
      <c r="C1852" s="5" t="inlineStr">
        <is>
          <t>공립</t>
        </is>
      </c>
      <c r="D1852" s="5" t="inlineStr">
        <is>
          <t>영도구</t>
        </is>
      </c>
      <c r="E1852" s="5" t="inlineStr">
        <is>
          <t>부산광역시 영도구 남항새싹길 55</t>
        </is>
      </c>
      <c r="F1852" s="11" t="inlineStr">
        <is>
          <t>http://namhang.es.kr/</t>
        </is>
      </c>
      <c r="G1852" s="5" t="inlineStr">
        <is>
          <t>051-417-4142</t>
        </is>
      </c>
      <c r="H1852" s="12">
        <f>초등학교!Q256</f>
        <v/>
      </c>
      <c r="I1852" s="5" t="inlineStr">
        <is>
          <t>1학년 27 / 2학년 17 / 3학년 26 / 4학년 19 / 5학년 33 / 6학년 39 / 특수학급 5</t>
        </is>
      </c>
    </row>
    <row r="1853">
      <c r="A1853" s="5" t="inlineStr">
        <is>
          <t>대교초등학교</t>
        </is>
      </c>
      <c r="B1853" s="5" t="inlineStr">
        <is>
          <t>초등학교</t>
        </is>
      </c>
      <c r="C1853" s="5" t="inlineStr">
        <is>
          <t>공립</t>
        </is>
      </c>
      <c r="D1853" s="5" t="inlineStr">
        <is>
          <t>영도구</t>
        </is>
      </c>
      <c r="E1853" s="5" t="inlineStr">
        <is>
          <t>부산광역시 영도구 봉래나루로246번길 19</t>
        </is>
      </c>
      <c r="F1853" s="11" t="inlineStr">
        <is>
          <t>http://daegyo.es.kr</t>
        </is>
      </c>
      <c r="G1853" s="5" t="inlineStr">
        <is>
          <t>051-410-2500</t>
        </is>
      </c>
      <c r="H1853" s="12">
        <f>초등학교!Q257</f>
        <v/>
      </c>
      <c r="I1853" s="5" t="inlineStr">
        <is>
          <t>1학년 51 / 2학년 62 / 3학년 55 / 4학년 74 / 5학년 63 / 6학년 42 / 특수학급 6</t>
        </is>
      </c>
    </row>
    <row r="1854">
      <c r="A1854" s="5" t="inlineStr">
        <is>
          <t>대평초등학교</t>
        </is>
      </c>
      <c r="B1854" s="5" t="inlineStr">
        <is>
          <t>초등학교</t>
        </is>
      </c>
      <c r="C1854" s="5" t="inlineStr">
        <is>
          <t>공립</t>
        </is>
      </c>
      <c r="D1854" s="5" t="inlineStr">
        <is>
          <t>영도구</t>
        </is>
      </c>
      <c r="E1854" s="5" t="inlineStr">
        <is>
          <t>부산광역시 영도구 절영로 82</t>
        </is>
      </c>
      <c r="F1854" s="11" t="inlineStr">
        <is>
          <t>https://school.busanedu.net/daepyung-e/main.do</t>
        </is>
      </c>
      <c r="G1854" s="5" t="inlineStr">
        <is>
          <t>051-410-0503</t>
        </is>
      </c>
      <c r="H1854" s="12">
        <f>초등학교!Q258</f>
        <v/>
      </c>
      <c r="I1854" s="5" t="inlineStr">
        <is>
          <t>1학년 13 / 2학년 21 / 3학년 19 / 4학년 43 / 5학년 40 / 6학년 37 / 특수학급 7</t>
        </is>
      </c>
    </row>
    <row r="1855">
      <c r="A1855" s="5" t="inlineStr">
        <is>
          <t>동삼초등학교</t>
        </is>
      </c>
      <c r="B1855" s="5" t="inlineStr">
        <is>
          <t>초등학교</t>
        </is>
      </c>
      <c r="C1855" s="5" t="inlineStr">
        <is>
          <t>공립</t>
        </is>
      </c>
      <c r="D1855" s="5" t="inlineStr">
        <is>
          <t>영도구</t>
        </is>
      </c>
      <c r="E1855" s="5" t="inlineStr">
        <is>
          <t>부산광역시 영도구 태종로 610</t>
        </is>
      </c>
      <c r="F1855" s="11" t="inlineStr">
        <is>
          <t>http://school.busanedu.net/dongsam-e/main.do</t>
        </is>
      </c>
      <c r="G1855" s="5" t="inlineStr">
        <is>
          <t>051-403-9555</t>
        </is>
      </c>
      <c r="H1855" s="12">
        <f>초등학교!Q259</f>
        <v/>
      </c>
      <c r="I1855" s="5" t="inlineStr">
        <is>
          <t>1학년 70 / 2학년 65 / 3학년 70 / 4학년 71 / 5학년 75 / 6학년 74 / 특수학급 5</t>
        </is>
      </c>
    </row>
    <row r="1856">
      <c r="A1856" s="5" t="inlineStr">
        <is>
          <t>봉학초등학교</t>
        </is>
      </c>
      <c r="B1856" s="5" t="inlineStr">
        <is>
          <t>초등학교</t>
        </is>
      </c>
      <c r="C1856" s="5" t="inlineStr">
        <is>
          <t>공립</t>
        </is>
      </c>
      <c r="D1856" s="5" t="inlineStr">
        <is>
          <t>영도구</t>
        </is>
      </c>
      <c r="E1856" s="5" t="inlineStr">
        <is>
          <t>부산광역시 영도구 태종로 242</t>
        </is>
      </c>
      <c r="F1856" s="11" t="inlineStr">
        <is>
          <t>http://bonghak.es.kr/</t>
        </is>
      </c>
      <c r="G1856" s="5" t="inlineStr">
        <is>
          <t>051-410-0683</t>
        </is>
      </c>
      <c r="H1856" s="12">
        <f>초등학교!Q260</f>
        <v/>
      </c>
      <c r="I1856" s="5" t="inlineStr">
        <is>
          <t>1학년 13 / 2학년 13 / 3학년 30 / 4학년 25 / 5학년 21 / 6학년 20 / 특수학급 2</t>
        </is>
      </c>
    </row>
    <row r="1857">
      <c r="A1857" s="5" t="inlineStr">
        <is>
          <t>상리초등학교</t>
        </is>
      </c>
      <c r="B1857" s="5" t="inlineStr">
        <is>
          <t>초등학교</t>
        </is>
      </c>
      <c r="C1857" s="5" t="inlineStr">
        <is>
          <t>공립</t>
        </is>
      </c>
      <c r="D1857" s="5" t="inlineStr">
        <is>
          <t>영도구</t>
        </is>
      </c>
      <c r="E1857" s="5" t="inlineStr">
        <is>
          <t>부산광역시 영도구 상리로 38</t>
        </is>
      </c>
      <c r="F1857" s="11" t="inlineStr">
        <is>
          <t>http://ses.es.kr</t>
        </is>
      </c>
      <c r="G1857" s="5" t="inlineStr">
        <is>
          <t>051-719-5800</t>
        </is>
      </c>
      <c r="H1857" s="12">
        <f>초등학교!Q261</f>
        <v/>
      </c>
      <c r="I1857" s="5" t="inlineStr">
        <is>
          <t>1학년 11 / 2학년 13 / 3학년 12 / 4학년 12 / 5학년 23 / 6학년 24 / 특수학급 3</t>
        </is>
      </c>
    </row>
    <row r="1858">
      <c r="A1858" s="5" t="inlineStr">
        <is>
          <t>영도초등학교</t>
        </is>
      </c>
      <c r="B1858" s="5" t="inlineStr">
        <is>
          <t>초등학교</t>
        </is>
      </c>
      <c r="C1858" s="5" t="inlineStr">
        <is>
          <t>공립</t>
        </is>
      </c>
      <c r="D1858" s="5" t="inlineStr">
        <is>
          <t>영도구</t>
        </is>
      </c>
      <c r="E1858" s="5" t="inlineStr">
        <is>
          <t>부산광역시 영도구 꿈나무길 41</t>
        </is>
      </c>
      <c r="F1858" s="11" t="inlineStr">
        <is>
          <t>http://school.busanedu.net/yeongdo-e/</t>
        </is>
      </c>
      <c r="G1858" s="5" t="inlineStr">
        <is>
          <t>051-6040-107</t>
        </is>
      </c>
      <c r="H1858" s="12">
        <f>초등학교!Q262</f>
        <v/>
      </c>
      <c r="I1858" s="5" t="inlineStr">
        <is>
          <t>1학년 18 / 2학년 21 / 3학년 39 / 4학년 33 / 5학년 33 / 6학년 40 / 특수학급 8</t>
        </is>
      </c>
    </row>
    <row r="1859">
      <c r="A1859" s="5" t="inlineStr">
        <is>
          <t>절영초등학교</t>
        </is>
      </c>
      <c r="B1859" s="5" t="inlineStr">
        <is>
          <t>초등학교</t>
        </is>
      </c>
      <c r="C1859" s="5" t="inlineStr">
        <is>
          <t>공립</t>
        </is>
      </c>
      <c r="D1859" s="5" t="inlineStr">
        <is>
          <t>영도구</t>
        </is>
      </c>
      <c r="E1859" s="5" t="inlineStr">
        <is>
          <t>부산광역시 영도구 함지로 37</t>
        </is>
      </c>
      <c r="F1859" s="11" t="inlineStr">
        <is>
          <t>http://jeolyeong.es.kr</t>
        </is>
      </c>
      <c r="G1859" s="5" t="inlineStr">
        <is>
          <t>051-403-5648</t>
        </is>
      </c>
      <c r="H1859" s="12">
        <f>초등학교!Q263</f>
        <v/>
      </c>
      <c r="I1859" s="5" t="inlineStr">
        <is>
          <t>1학년 5 / 2학년 8 / 3학년 2 / 4학년 10 / 5학년 11 / 6학년 9 / 특수학급 5</t>
        </is>
      </c>
    </row>
    <row r="1860">
      <c r="A1860" s="5" t="inlineStr">
        <is>
          <t>중리초등학교</t>
        </is>
      </c>
      <c r="B1860" s="5" t="inlineStr">
        <is>
          <t>초등학교</t>
        </is>
      </c>
      <c r="C1860" s="5" t="inlineStr">
        <is>
          <t>공립</t>
        </is>
      </c>
      <c r="D1860" s="5" t="inlineStr">
        <is>
          <t>영도구</t>
        </is>
      </c>
      <c r="E1860" s="5" t="inlineStr">
        <is>
          <t>부산광역시 영도구 와치로 286</t>
        </is>
      </c>
      <c r="F1860" s="11" t="inlineStr">
        <is>
          <t>http://joonglee.es.kr</t>
        </is>
      </c>
      <c r="G1860" s="5" t="inlineStr">
        <is>
          <t>051-400-2500</t>
        </is>
      </c>
      <c r="H1860" s="12">
        <f>초등학교!Q264</f>
        <v/>
      </c>
      <c r="I1860" s="5" t="inlineStr">
        <is>
          <t>1학년 47 / 2학년 62 / 3학년 59 / 4학년 80 / 5학년 92 / 6학년 101 / 특수학급 12</t>
        </is>
      </c>
    </row>
    <row r="1861">
      <c r="A1861" s="5" t="inlineStr">
        <is>
          <t>청동초등학교</t>
        </is>
      </c>
      <c r="B1861" s="5" t="inlineStr">
        <is>
          <t>초등학교</t>
        </is>
      </c>
      <c r="C1861" s="5" t="inlineStr">
        <is>
          <t>공립</t>
        </is>
      </c>
      <c r="D1861" s="5" t="inlineStr">
        <is>
          <t>영도구</t>
        </is>
      </c>
      <c r="E1861" s="5" t="inlineStr">
        <is>
          <t>부산광역시 영도구 태종로 422번길 51</t>
        </is>
      </c>
      <c r="F1861" s="11" t="inlineStr">
        <is>
          <t>http://school.busanedu.net/chungdong-e</t>
        </is>
      </c>
      <c r="G1861" s="5" t="inlineStr">
        <is>
          <t>051-400-2800</t>
        </is>
      </c>
      <c r="H1861" s="12">
        <f>초등학교!Q265</f>
        <v/>
      </c>
      <c r="I1861" s="5" t="inlineStr">
        <is>
          <t>1학년 52 / 2학년 46 / 3학년 64 / 4학년 64 / 5학년 72 / 6학년 68 / 특수학급 8</t>
        </is>
      </c>
    </row>
    <row r="1862">
      <c r="A1862" s="5" t="inlineStr">
        <is>
          <t>청학초등학교</t>
        </is>
      </c>
      <c r="B1862" s="5" t="inlineStr">
        <is>
          <t>초등학교</t>
        </is>
      </c>
      <c r="C1862" s="5" t="inlineStr">
        <is>
          <t>공립</t>
        </is>
      </c>
      <c r="D1862" s="5" t="inlineStr">
        <is>
          <t>영도구</t>
        </is>
      </c>
      <c r="E1862" s="5" t="inlineStr">
        <is>
          <t>부산광역시 영도구 청학로 49</t>
        </is>
      </c>
      <c r="F1862" s="11" t="inlineStr">
        <is>
          <t>http://www.cheonghak.es.kr</t>
        </is>
      </c>
      <c r="G1862" s="5" t="inlineStr">
        <is>
          <t>051-662-0100</t>
        </is>
      </c>
      <c r="H1862" s="12">
        <f>초등학교!Q266</f>
        <v/>
      </c>
      <c r="I1862" s="5" t="inlineStr">
        <is>
          <t>1학년 7 / 2학년 11 / 3학년 18 / 4학년 27 / 5학년 26 / 6학년 22 / 특수학급 2</t>
        </is>
      </c>
    </row>
    <row r="1863">
      <c r="A1863" s="5" t="inlineStr">
        <is>
          <t>태종대초등학교</t>
        </is>
      </c>
      <c r="B1863" s="5" t="inlineStr">
        <is>
          <t>초등학교</t>
        </is>
      </c>
      <c r="C1863" s="5" t="inlineStr">
        <is>
          <t>공립</t>
        </is>
      </c>
      <c r="D1863" s="5" t="inlineStr">
        <is>
          <t>영도구</t>
        </is>
      </c>
      <c r="E1863" s="5" t="inlineStr">
        <is>
          <t>부산광역시 영도구 태종로 802</t>
        </is>
      </c>
      <c r="F1863" s="11" t="inlineStr">
        <is>
          <t>http://www.taejongdae.es.kr</t>
        </is>
      </c>
      <c r="G1863" s="5" t="inlineStr">
        <is>
          <t>051-400-2100</t>
        </is>
      </c>
      <c r="H1863" s="12">
        <f>초등학교!Q267</f>
        <v/>
      </c>
      <c r="I1863" s="5" t="inlineStr">
        <is>
          <t>1학년 22 / 2학년 18 / 3학년 11 / 4학년 16 / 5학년 6 / 6학년 22 / 특수학급 4</t>
        </is>
      </c>
    </row>
    <row r="1864">
      <c r="A1864" s="5" t="inlineStr">
        <is>
          <t>광일초등학교</t>
        </is>
      </c>
      <c r="B1864" s="5" t="inlineStr">
        <is>
          <t>초등학교</t>
        </is>
      </c>
      <c r="C1864" s="5" t="inlineStr">
        <is>
          <t>공립</t>
        </is>
      </c>
      <c r="D1864" s="5" t="inlineStr">
        <is>
          <t>중구</t>
        </is>
      </c>
      <c r="E1864" s="5" t="inlineStr">
        <is>
          <t>부산광역시 중구 중구로 74</t>
        </is>
      </c>
      <c r="F1864" s="11" t="inlineStr">
        <is>
          <t>http://www.gwangil.es.kr</t>
        </is>
      </c>
      <c r="G1864" s="5" t="inlineStr">
        <is>
          <t>051-603-5000</t>
        </is>
      </c>
      <c r="H1864" s="12">
        <f>초등학교!Q268</f>
        <v/>
      </c>
      <c r="I1864" s="5" t="inlineStr">
        <is>
          <t>1학년 19 / 2학년 16 / 3학년 23 / 4학년 40 / 5학년 33 / 6학년 34 / 특수학급 5</t>
        </is>
      </c>
    </row>
    <row r="1865">
      <c r="A1865" s="5" t="inlineStr">
        <is>
          <t>남성초등학교</t>
        </is>
      </c>
      <c r="B1865" s="5" t="inlineStr">
        <is>
          <t>초등학교</t>
        </is>
      </c>
      <c r="C1865" s="5" t="inlineStr">
        <is>
          <t>사립</t>
        </is>
      </c>
      <c r="D1865" s="5" t="inlineStr">
        <is>
          <t>중구</t>
        </is>
      </c>
      <c r="E1865" s="5" t="inlineStr">
        <is>
          <t>부산광역시 중구 샘길 14</t>
        </is>
      </c>
      <c r="F1865" s="11" t="inlineStr">
        <is>
          <t>http://www.nisb.kr</t>
        </is>
      </c>
      <c r="G1865" s="5" t="inlineStr">
        <is>
          <t>051-469-7963</t>
        </is>
      </c>
      <c r="H1865" s="12">
        <f>초등학교!Q269</f>
        <v/>
      </c>
      <c r="I1865" s="5" t="inlineStr">
        <is>
          <t>1학년 90 / 2학년 90 / 3학년 72 / 4학년 58 / 5학년 60 / 6학년 59</t>
        </is>
      </c>
    </row>
    <row r="1866">
      <c r="A1866" s="5" t="inlineStr">
        <is>
          <t>보수초등학교</t>
        </is>
      </c>
      <c r="B1866" s="5" t="inlineStr">
        <is>
          <t>초등학교</t>
        </is>
      </c>
      <c r="C1866" s="5" t="inlineStr">
        <is>
          <t>공립</t>
        </is>
      </c>
      <c r="D1866" s="5" t="inlineStr">
        <is>
          <t>중구</t>
        </is>
      </c>
      <c r="E1866" s="5" t="inlineStr">
        <is>
          <t>부산광역시 중구 흑교로 74</t>
        </is>
      </c>
      <c r="F1866" s="11" t="inlineStr">
        <is>
          <t>http://bosu.es.kr/</t>
        </is>
      </c>
      <c r="G1866" s="5" t="inlineStr">
        <is>
          <t>051-255-7975</t>
        </is>
      </c>
      <c r="H1866" s="12">
        <f>초등학교!Q270</f>
        <v/>
      </c>
      <c r="I1866" s="5" t="inlineStr">
        <is>
          <t>1학년 15 / 2학년 7 / 3학년 25 / 4학년 23 / 5학년 22 / 6학년 38 / 특수학급 5</t>
        </is>
      </c>
    </row>
    <row r="1867">
      <c r="A1867" s="5" t="inlineStr">
        <is>
          <t>봉래초등학교</t>
        </is>
      </c>
      <c r="B1867" s="5" t="inlineStr">
        <is>
          <t>초등학교</t>
        </is>
      </c>
      <c r="C1867" s="5" t="inlineStr">
        <is>
          <t>공립</t>
        </is>
      </c>
      <c r="D1867" s="5" t="inlineStr">
        <is>
          <t>중구</t>
        </is>
      </c>
      <c r="E1867" s="5" t="inlineStr">
        <is>
          <t>부산광역시 중구 대영로 226번길 15호</t>
        </is>
      </c>
      <c r="F1867" s="11" t="inlineStr">
        <is>
          <t>http://pusanbongrae.es.kr/</t>
        </is>
      </c>
      <c r="G1867" s="5" t="inlineStr">
        <is>
          <t>051-719-1500</t>
        </is>
      </c>
      <c r="H1867" s="12">
        <f>초등학교!Q271</f>
        <v/>
      </c>
      <c r="I1867" s="5" t="inlineStr">
        <is>
          <t>1학년 16 / 2학년 19 / 3학년 26 / 4학년 25 / 5학년 33 / 6학년 28 / 특수학급 7</t>
        </is>
      </c>
    </row>
    <row r="1868">
      <c r="A1868" s="5" t="inlineStr">
        <is>
          <t>강동초등학교</t>
        </is>
      </c>
      <c r="B1868" s="5" t="inlineStr">
        <is>
          <t>초등학교</t>
        </is>
      </c>
      <c r="C1868" s="5" t="inlineStr">
        <is>
          <t>공립</t>
        </is>
      </c>
      <c r="D1868" s="5" t="inlineStr">
        <is>
          <t>해운대구</t>
        </is>
      </c>
      <c r="E1868" s="5" t="inlineStr">
        <is>
          <t>부산광역시 해운대구 해운대로349번길 10</t>
        </is>
      </c>
      <c r="F1868" s="11" t="inlineStr">
        <is>
          <t>http://www.pusangangdong.es.kr/</t>
        </is>
      </c>
      <c r="G1868" s="5" t="inlineStr">
        <is>
          <t>051-740-2400</t>
        </is>
      </c>
      <c r="H1868" s="12">
        <f>초등학교!Q272</f>
        <v/>
      </c>
      <c r="I1868" s="5" t="inlineStr">
        <is>
          <t>1학년 109 / 2학년 115 / 3학년 118 / 4학년 114 / 5학년 150 / 6학년 131 / 특수학급 6</t>
        </is>
      </c>
    </row>
    <row r="1869">
      <c r="A1869" s="5" t="inlineStr">
        <is>
          <t>동백초등학교</t>
        </is>
      </c>
      <c r="B1869" s="5" t="inlineStr">
        <is>
          <t>초등학교</t>
        </is>
      </c>
      <c r="C1869" s="5" t="inlineStr">
        <is>
          <t>공립</t>
        </is>
      </c>
      <c r="D1869" s="5" t="inlineStr">
        <is>
          <t>해운대구</t>
        </is>
      </c>
      <c r="E1869" s="5" t="inlineStr">
        <is>
          <t>부산광역시 해운대구 좌동순환로357번길 6</t>
        </is>
      </c>
      <c r="F1869" s="11" t="inlineStr">
        <is>
          <t>http://dongbaek.es.kr</t>
        </is>
      </c>
      <c r="G1869" s="5" t="inlineStr">
        <is>
          <t>051-998-7800</t>
        </is>
      </c>
      <c r="H1869" s="12">
        <f>초등학교!Q273</f>
        <v/>
      </c>
      <c r="I1869" s="5" t="inlineStr">
        <is>
          <t>1학년 87 / 2학년 92 / 3학년 92 / 4학년 124 / 5학년 109 / 6학년 131 / 특수학급 5</t>
        </is>
      </c>
    </row>
    <row r="1870">
      <c r="A1870" s="5" t="inlineStr">
        <is>
          <t>무정초등학교</t>
        </is>
      </c>
      <c r="B1870" s="5" t="inlineStr">
        <is>
          <t>초등학교</t>
        </is>
      </c>
      <c r="C1870" s="5" t="inlineStr">
        <is>
          <t>공립</t>
        </is>
      </c>
      <c r="D1870" s="5" t="inlineStr">
        <is>
          <t>해운대구</t>
        </is>
      </c>
      <c r="E1870" s="5" t="inlineStr">
        <is>
          <t>부산광역시 해운대구 반여로 68-11</t>
        </is>
      </c>
      <c r="F1870" s="11" t="inlineStr">
        <is>
          <t>http://www.bsmj.es.kr</t>
        </is>
      </c>
      <c r="G1870" s="5" t="inlineStr">
        <is>
          <t>051-520-1310</t>
        </is>
      </c>
      <c r="H1870" s="12">
        <f>초등학교!Q274</f>
        <v/>
      </c>
      <c r="I1870" s="5" t="inlineStr">
        <is>
          <t>1학년 73 / 2학년 102 / 3학년 81 / 4학년 90 / 5학년 69 / 6학년 86 / 특수학급 7</t>
        </is>
      </c>
    </row>
    <row r="1871">
      <c r="A1871" s="5" t="inlineStr">
        <is>
          <t>반산초등학교</t>
        </is>
      </c>
      <c r="B1871" s="5" t="inlineStr">
        <is>
          <t>초등학교</t>
        </is>
      </c>
      <c r="C1871" s="5" t="inlineStr">
        <is>
          <t>공립</t>
        </is>
      </c>
      <c r="D1871" s="5" t="inlineStr">
        <is>
          <t>해운대구</t>
        </is>
      </c>
      <c r="E1871" s="5" t="inlineStr">
        <is>
          <t>부산광역시 해운대구 재반로 171</t>
        </is>
      </c>
      <c r="F1871" s="11" t="inlineStr">
        <is>
          <t>http://www.bansan.es.kr/</t>
        </is>
      </c>
      <c r="G1871" s="5" t="inlineStr">
        <is>
          <t>051-780-2000</t>
        </is>
      </c>
      <c r="H1871" s="12">
        <f>초등학교!Q275</f>
        <v/>
      </c>
      <c r="I1871" s="5" t="inlineStr">
        <is>
          <t>1학년 21 / 2학년 23 / 3학년 36 / 4학년 49 / 5학년 52 / 6학년 52 / 특수학급 11</t>
        </is>
      </c>
    </row>
    <row r="1872">
      <c r="A1872" s="5" t="inlineStr">
        <is>
          <t>반석초등학교</t>
        </is>
      </c>
      <c r="B1872" s="5" t="inlineStr">
        <is>
          <t>초등학교</t>
        </is>
      </c>
      <c r="C1872" s="5" t="inlineStr">
        <is>
          <t>공립</t>
        </is>
      </c>
      <c r="D1872" s="5" t="inlineStr">
        <is>
          <t>해운대구</t>
        </is>
      </c>
      <c r="E1872" s="5" t="inlineStr">
        <is>
          <t>부산광역시 해운대구 선수촌로207번길 14</t>
        </is>
      </c>
      <c r="F1872" s="11" t="inlineStr">
        <is>
          <t>http://bansuk.es.kr</t>
        </is>
      </c>
      <c r="G1872" s="5" t="inlineStr">
        <is>
          <t>051-523-8171</t>
        </is>
      </c>
      <c r="H1872" s="12">
        <f>초등학교!Q276</f>
        <v/>
      </c>
      <c r="I1872" s="5" t="inlineStr">
        <is>
          <t>1학년 4 / 2학년 7 / 3학년 10 / 4학년 9 / 5학년 8 / 6학년 9 / 특수학급 4</t>
        </is>
      </c>
    </row>
    <row r="1873">
      <c r="A1873" s="5" t="inlineStr">
        <is>
          <t>반송초등학교</t>
        </is>
      </c>
      <c r="B1873" s="5" t="inlineStr">
        <is>
          <t>초등학교</t>
        </is>
      </c>
      <c r="C1873" s="5" t="inlineStr">
        <is>
          <t>공립</t>
        </is>
      </c>
      <c r="D1873" s="5" t="inlineStr">
        <is>
          <t>해운대구</t>
        </is>
      </c>
      <c r="E1873" s="5" t="inlineStr">
        <is>
          <t>부산광역시 해운대구 아랫반송로30번길 37-16</t>
        </is>
      </c>
      <c r="F1873" s="11" t="inlineStr">
        <is>
          <t>http://www.bansong.es.kr</t>
        </is>
      </c>
      <c r="G1873" s="5" t="inlineStr">
        <is>
          <t>051-540-5800</t>
        </is>
      </c>
      <c r="H1873" s="12">
        <f>초등학교!Q277</f>
        <v/>
      </c>
      <c r="I1873" s="5" t="inlineStr">
        <is>
          <t>1학년 11 / 2학년 8 / 3학년 10 / 4학년 10 / 5학년 25 / 6학년 26 / 특수학급 4</t>
        </is>
      </c>
    </row>
    <row r="1874">
      <c r="A1874" s="5" t="inlineStr">
        <is>
          <t>반안초등학교</t>
        </is>
      </c>
      <c r="B1874" s="5" t="inlineStr">
        <is>
          <t>초등학교</t>
        </is>
      </c>
      <c r="C1874" s="5" t="inlineStr">
        <is>
          <t>공립</t>
        </is>
      </c>
      <c r="D1874" s="5" t="inlineStr">
        <is>
          <t>해운대구</t>
        </is>
      </c>
      <c r="E1874" s="5" t="inlineStr">
        <is>
          <t>부산광역시 해운대구 명장로67번길 40-42</t>
        </is>
      </c>
      <c r="F1874" s="11" t="inlineStr">
        <is>
          <t>http://www.banan.es.kr</t>
        </is>
      </c>
      <c r="G1874" s="5" t="inlineStr">
        <is>
          <t>051-520-0801</t>
        </is>
      </c>
      <c r="H1874" s="12">
        <f>초등학교!Q278</f>
        <v/>
      </c>
      <c r="I1874" s="5" t="inlineStr">
        <is>
          <t>1학년 51 / 2학년 62 / 3학년 84 / 4학년 67 / 5학년 95 / 6학년 92 / 특수학급 6</t>
        </is>
      </c>
    </row>
    <row r="1875">
      <c r="A1875" s="5" t="inlineStr">
        <is>
          <t>반여초등학교</t>
        </is>
      </c>
      <c r="B1875" s="5" t="inlineStr">
        <is>
          <t>초등학교</t>
        </is>
      </c>
      <c r="C1875" s="5" t="inlineStr">
        <is>
          <t>공립</t>
        </is>
      </c>
      <c r="D1875" s="5" t="inlineStr">
        <is>
          <t>해운대구</t>
        </is>
      </c>
      <c r="E1875" s="5" t="inlineStr">
        <is>
          <t>부산광역시 해운대구 재반로 301</t>
        </is>
      </c>
      <c r="F1875" s="11" t="inlineStr">
        <is>
          <t>http://www.banyeo.es.kr</t>
        </is>
      </c>
      <c r="G1875" s="5" t="inlineStr">
        <is>
          <t>051-520-0400</t>
        </is>
      </c>
      <c r="H1875" s="12">
        <f>초등학교!Q279</f>
        <v/>
      </c>
      <c r="I1875" s="5" t="inlineStr">
        <is>
          <t>1학년 18 / 2학년 10 / 3학년 24 / 4학년 22 / 5학년 27 / 6학년 34 / 특수학급 13</t>
        </is>
      </c>
    </row>
    <row r="1876">
      <c r="A1876" s="5" t="inlineStr">
        <is>
          <t>부흥초등학교</t>
        </is>
      </c>
      <c r="B1876" s="5" t="inlineStr">
        <is>
          <t>초등학교</t>
        </is>
      </c>
      <c r="C1876" s="5" t="inlineStr">
        <is>
          <t>공립</t>
        </is>
      </c>
      <c r="D1876" s="5" t="inlineStr">
        <is>
          <t>해운대구</t>
        </is>
      </c>
      <c r="E1876" s="5" t="inlineStr">
        <is>
          <t>부산광역시 해운대구 좌동순환로 216</t>
        </is>
      </c>
      <c r="F1876" s="11" t="inlineStr">
        <is>
          <t>http://www.buhung.es.kr</t>
        </is>
      </c>
      <c r="G1876" s="5" t="inlineStr">
        <is>
          <t>051-703-0093</t>
        </is>
      </c>
      <c r="H1876" s="12">
        <f>초등학교!Q280</f>
        <v/>
      </c>
      <c r="I1876" s="5" t="inlineStr">
        <is>
          <t>1학년 83 / 2학년 86 / 3학년 101 / 4학년 129 / 5학년 143 / 6학년 154 / 특수학급 6</t>
        </is>
      </c>
    </row>
    <row r="1877">
      <c r="A1877" s="5" t="inlineStr">
        <is>
          <t>삼어초등학교</t>
        </is>
      </c>
      <c r="B1877" s="5" t="inlineStr">
        <is>
          <t>초등학교</t>
        </is>
      </c>
      <c r="C1877" s="5" t="inlineStr">
        <is>
          <t>공립</t>
        </is>
      </c>
      <c r="D1877" s="5" t="inlineStr">
        <is>
          <t>해운대구</t>
        </is>
      </c>
      <c r="E1877" s="5" t="inlineStr">
        <is>
          <t>부산광역시 해운대구 삼어로91번길 73</t>
        </is>
      </c>
      <c r="F1877" s="11" t="inlineStr">
        <is>
          <t>http://sameo.es.kr</t>
        </is>
      </c>
      <c r="G1877" s="5" t="inlineStr">
        <is>
          <t>051-520-6500</t>
        </is>
      </c>
      <c r="H1877" s="12">
        <f>초등학교!Q281</f>
        <v/>
      </c>
      <c r="I1877" s="5" t="inlineStr">
        <is>
          <t>1학년 30 / 2학년 26 / 3학년 36 / 4학년 41 / 5학년 51 / 6학년 54 / 특수학급 3</t>
        </is>
      </c>
    </row>
    <row r="1878">
      <c r="A1878" s="5" t="inlineStr">
        <is>
          <t>상당초등학교</t>
        </is>
      </c>
      <c r="B1878" s="5" t="inlineStr">
        <is>
          <t>초등학교</t>
        </is>
      </c>
      <c r="C1878" s="5" t="inlineStr">
        <is>
          <t>공립</t>
        </is>
      </c>
      <c r="D1878" s="5" t="inlineStr">
        <is>
          <t>해운대구</t>
        </is>
      </c>
      <c r="E1878" s="5" t="inlineStr">
        <is>
          <t>부산광역시 해운대구 세실로 173</t>
        </is>
      </c>
      <c r="F1878" s="11" t="inlineStr">
        <is>
          <t>http://sangdang.es.kr/</t>
        </is>
      </c>
      <c r="G1878" s="5" t="inlineStr">
        <is>
          <t>051-709-1000</t>
        </is>
      </c>
      <c r="H1878" s="12">
        <f>초등학교!Q282</f>
        <v/>
      </c>
      <c r="I1878" s="5" t="inlineStr">
        <is>
          <t>1학년 102 / 2학년 101 / 3학년 103 / 4학년 117 / 5학년 157 / 6학년 133 / 특수학급 8</t>
        </is>
      </c>
    </row>
    <row r="1879">
      <c r="A1879" s="5" t="inlineStr">
        <is>
          <t>센텀초등학교</t>
        </is>
      </c>
      <c r="B1879" s="5" t="inlineStr">
        <is>
          <t>초등학교</t>
        </is>
      </c>
      <c r="C1879" s="5" t="inlineStr">
        <is>
          <t>공립</t>
        </is>
      </c>
      <c r="D1879" s="5" t="inlineStr">
        <is>
          <t>해운대구</t>
        </is>
      </c>
      <c r="E1879" s="5" t="inlineStr">
        <is>
          <t>부산광역시 해운대구 센텀중앙로 166</t>
        </is>
      </c>
      <c r="F1879" s="11" t="inlineStr">
        <is>
          <t>http://www.centum.es.kr</t>
        </is>
      </c>
      <c r="G1879" s="5" t="inlineStr">
        <is>
          <t>051-7802-600</t>
        </is>
      </c>
      <c r="H1879" s="12">
        <f>초등학교!Q283</f>
        <v/>
      </c>
      <c r="I1879" s="5" t="inlineStr">
        <is>
          <t>1학년 154 / 2학년 204 / 3학년 216 / 4학년 245 / 5학년 277 / 6학년 306 / 특수학급 3</t>
        </is>
      </c>
    </row>
    <row r="1880">
      <c r="A1880" s="5" t="inlineStr">
        <is>
          <t>송수초등학교</t>
        </is>
      </c>
      <c r="B1880" s="5" t="inlineStr">
        <is>
          <t>초등학교</t>
        </is>
      </c>
      <c r="C1880" s="5" t="inlineStr">
        <is>
          <t>공립</t>
        </is>
      </c>
      <c r="D1880" s="5" t="inlineStr">
        <is>
          <t>해운대구</t>
        </is>
      </c>
      <c r="E1880" s="5" t="inlineStr">
        <is>
          <t>부산광역시 해운대구 해운대로76번길 35</t>
        </is>
      </c>
      <c r="F1880" s="11" t="inlineStr">
        <is>
          <t>http://www.songsu.es.kr</t>
        </is>
      </c>
      <c r="G1880" s="5" t="inlineStr">
        <is>
          <t>051-780-2702</t>
        </is>
      </c>
      <c r="H1880" s="12">
        <f>초등학교!Q284</f>
        <v/>
      </c>
      <c r="I1880" s="5" t="inlineStr">
        <is>
          <t>1학년 97 / 2학년 114 / 3학년 110 / 4학년 125 / 5학년 141 / 6학년 169 / 특수학급 10</t>
        </is>
      </c>
    </row>
    <row r="1881">
      <c r="A1881" s="5" t="inlineStr">
        <is>
          <t>송운초등학교</t>
        </is>
      </c>
      <c r="B1881" s="5" t="inlineStr">
        <is>
          <t>초등학교</t>
        </is>
      </c>
      <c r="C1881" s="5" t="inlineStr">
        <is>
          <t>공립</t>
        </is>
      </c>
      <c r="D1881" s="5" t="inlineStr">
        <is>
          <t>해운대구</t>
        </is>
      </c>
      <c r="E1881" s="5" t="inlineStr">
        <is>
          <t>부산광역시 해운대구 신반송로 20</t>
        </is>
      </c>
      <c r="F1881" s="11" t="inlineStr">
        <is>
          <t>http://songun.es.kr</t>
        </is>
      </c>
      <c r="G1881" s="5" t="inlineStr">
        <is>
          <t>051-540-2600</t>
        </is>
      </c>
      <c r="H1881" s="12">
        <f>초등학교!Q285</f>
        <v/>
      </c>
      <c r="I1881" s="5" t="inlineStr">
        <is>
          <t>1학년 34 / 2학년 35 / 3학년 47 / 4학년 55 / 5학년 50 / 6학년 49 / 특수학급 8</t>
        </is>
      </c>
    </row>
    <row r="1882">
      <c r="A1882" s="5" t="inlineStr">
        <is>
          <t>송정초등학교</t>
        </is>
      </c>
      <c r="B1882" s="5" t="inlineStr">
        <is>
          <t>초등학교</t>
        </is>
      </c>
      <c r="C1882" s="5" t="inlineStr">
        <is>
          <t>공립</t>
        </is>
      </c>
      <c r="D1882" s="5" t="inlineStr">
        <is>
          <t>해운대구</t>
        </is>
      </c>
      <c r="E1882" s="5" t="inlineStr">
        <is>
          <t>부산광역시 해운대구 해운대로 1164-9</t>
        </is>
      </c>
      <c r="F1882" s="11" t="inlineStr">
        <is>
          <t>http://www.hudsj.es.kr/</t>
        </is>
      </c>
      <c r="G1882" s="5" t="inlineStr">
        <is>
          <t>051-709-6700</t>
        </is>
      </c>
      <c r="H1882" s="12">
        <f>초등학교!Q286</f>
        <v/>
      </c>
      <c r="I1882" s="5" t="inlineStr">
        <is>
          <t>1학년 15 / 2학년 29 / 3학년 18 / 4학년 33 / 5학년 39 / 6학년 44 / 특수학급 7</t>
        </is>
      </c>
    </row>
    <row r="1883">
      <c r="A1883" s="5" t="inlineStr">
        <is>
          <t>신곡초등학교</t>
        </is>
      </c>
      <c r="B1883" s="5" t="inlineStr">
        <is>
          <t>초등학교</t>
        </is>
      </c>
      <c r="C1883" s="5" t="inlineStr">
        <is>
          <t>공립</t>
        </is>
      </c>
      <c r="D1883" s="5" t="inlineStr">
        <is>
          <t>해운대구</t>
        </is>
      </c>
      <c r="E1883" s="5" t="inlineStr">
        <is>
          <t>부산광역시 해운대구 좌동순환로 290</t>
        </is>
      </c>
      <c r="F1883" s="11" t="inlineStr">
        <is>
          <t>http://www.singok.es.kr</t>
        </is>
      </c>
      <c r="G1883" s="5" t="inlineStr">
        <is>
          <t>051-702-6266</t>
        </is>
      </c>
      <c r="H1883" s="12">
        <f>초등학교!Q287</f>
        <v/>
      </c>
      <c r="I1883" s="5" t="inlineStr">
        <is>
          <t>1학년 59 / 2학년 50 / 3학년 57 / 4학년 92 / 5학년 89 / 6학년 102 / 특수학급 6</t>
        </is>
      </c>
    </row>
    <row r="1884">
      <c r="A1884" s="5" t="inlineStr">
        <is>
          <t>신도초등학교</t>
        </is>
      </c>
      <c r="B1884" s="5" t="inlineStr">
        <is>
          <t>초등학교</t>
        </is>
      </c>
      <c r="C1884" s="5" t="inlineStr">
        <is>
          <t>공립</t>
        </is>
      </c>
      <c r="D1884" s="5" t="inlineStr">
        <is>
          <t>해운대구</t>
        </is>
      </c>
      <c r="E1884" s="5" t="inlineStr">
        <is>
          <t>부산광역시 해운대구 좌동순환로 34</t>
        </is>
      </c>
      <c r="F1884" s="11" t="inlineStr">
        <is>
          <t>http://sin-do.es.kr/</t>
        </is>
      </c>
      <c r="G1884" s="5" t="inlineStr">
        <is>
          <t>051-750-0900</t>
        </is>
      </c>
      <c r="H1884" s="12">
        <f>초등학교!Q288</f>
        <v/>
      </c>
      <c r="I1884" s="5" t="inlineStr">
        <is>
          <t>1학년 58 / 2학년 80 / 3학년 83 / 4학년 96 / 5학년 106 / 6학년 81 / 특수학급 7</t>
        </is>
      </c>
    </row>
    <row r="1885">
      <c r="A1885" s="5" t="inlineStr">
        <is>
          <t>신재초등학교</t>
        </is>
      </c>
      <c r="B1885" s="5" t="inlineStr">
        <is>
          <t>초등학교</t>
        </is>
      </c>
      <c r="C1885" s="5" t="inlineStr">
        <is>
          <t>공립</t>
        </is>
      </c>
      <c r="D1885" s="5" t="inlineStr">
        <is>
          <t>해운대구</t>
        </is>
      </c>
      <c r="E1885" s="5" t="inlineStr">
        <is>
          <t>부산광역시 해운대구 해운대로81번길 81</t>
        </is>
      </c>
      <c r="F1885" s="11" t="inlineStr">
        <is>
          <t>http://www.sinjae.es.kr</t>
        </is>
      </c>
      <c r="G1885" s="5" t="inlineStr">
        <is>
          <t>051-780-3800</t>
        </is>
      </c>
      <c r="H1885" s="12">
        <f>초등학교!Q289</f>
        <v/>
      </c>
      <c r="I1885" s="5" t="inlineStr">
        <is>
          <t>1학년 40 / 2학년 37 / 3학년 47 / 4학년 46 / 5학년 64 / 6학년 42 / 특수학급 4</t>
        </is>
      </c>
    </row>
    <row r="1886">
      <c r="A1886" s="5" t="inlineStr">
        <is>
          <t>양운초등학교</t>
        </is>
      </c>
      <c r="B1886" s="5" t="inlineStr">
        <is>
          <t>초등학교</t>
        </is>
      </c>
      <c r="C1886" s="5" t="inlineStr">
        <is>
          <t>공립</t>
        </is>
      </c>
      <c r="D1886" s="5" t="inlineStr">
        <is>
          <t>해운대구</t>
        </is>
      </c>
      <c r="E1886" s="5" t="inlineStr">
        <is>
          <t>부산광역시 해운대구 대천로67번길 36</t>
        </is>
      </c>
      <c r="F1886" s="11" t="inlineStr">
        <is>
          <t>http://www.yangun.es.kr/</t>
        </is>
      </c>
      <c r="G1886" s="5" t="inlineStr">
        <is>
          <t>051-709-6800</t>
        </is>
      </c>
      <c r="H1886" s="12">
        <f>초등학교!Q290</f>
        <v/>
      </c>
      <c r="I1886" s="5" t="inlineStr">
        <is>
          <t>1학년 25 / 2학년 37 / 3학년 35 / 4학년 61 / 5학년 61 / 6학년 60 / 특수학급 5</t>
        </is>
      </c>
    </row>
    <row r="1887">
      <c r="A1887" s="5" t="inlineStr">
        <is>
          <t>운봉초등학교</t>
        </is>
      </c>
      <c r="B1887" s="5" t="inlineStr">
        <is>
          <t>초등학교</t>
        </is>
      </c>
      <c r="C1887" s="5" t="inlineStr">
        <is>
          <t>공립</t>
        </is>
      </c>
      <c r="D1887" s="5" t="inlineStr">
        <is>
          <t>해운대구</t>
        </is>
      </c>
      <c r="E1887" s="5" t="inlineStr">
        <is>
          <t>부산광역시 해운대구 신반송로 11-20</t>
        </is>
      </c>
      <c r="F1887" s="11" t="inlineStr">
        <is>
          <t>http://www.unbong.es.kr</t>
        </is>
      </c>
      <c r="G1887" s="5" t="inlineStr">
        <is>
          <t>051-542-8272</t>
        </is>
      </c>
      <c r="H1887" s="12">
        <f>초등학교!Q291</f>
        <v/>
      </c>
      <c r="I1887" s="5" t="inlineStr">
        <is>
          <t>1학년 7 / 2학년 12 / 3학년 6 / 4학년 15 / 5학년 19 / 6학년 24 / 특수학급 6</t>
        </is>
      </c>
    </row>
    <row r="1888">
      <c r="A1888" s="5" t="inlineStr">
        <is>
          <t>운송초등학교</t>
        </is>
      </c>
      <c r="B1888" s="5" t="inlineStr">
        <is>
          <t>초등학교</t>
        </is>
      </c>
      <c r="C1888" s="5" t="inlineStr">
        <is>
          <t>공립</t>
        </is>
      </c>
      <c r="D1888" s="5" t="inlineStr">
        <is>
          <t>해운대구</t>
        </is>
      </c>
      <c r="E1888" s="5" t="inlineStr">
        <is>
          <t>부산광역시 해운대구 반송로 839</t>
        </is>
      </c>
      <c r="F1888" s="11" t="inlineStr">
        <is>
          <t>http://woonsong.es.kr</t>
        </is>
      </c>
      <c r="G1888" s="5" t="inlineStr">
        <is>
          <t>051-540-5300</t>
        </is>
      </c>
      <c r="H1888" s="12">
        <f>초등학교!Q292</f>
        <v/>
      </c>
      <c r="I1888" s="5" t="inlineStr">
        <is>
          <t>1학년 10 / 2학년 9 / 3학년 6 / 4학년 20 / 5학년 13 / 6학년 10 / 특수학급 3</t>
        </is>
      </c>
    </row>
    <row r="1889">
      <c r="A1889" s="5" t="inlineStr">
        <is>
          <t>인지초등학교</t>
        </is>
      </c>
      <c r="B1889" s="5" t="inlineStr">
        <is>
          <t>초등학교</t>
        </is>
      </c>
      <c r="C1889" s="5" t="inlineStr">
        <is>
          <t>공립</t>
        </is>
      </c>
      <c r="D1889" s="5" t="inlineStr">
        <is>
          <t>해운대구</t>
        </is>
      </c>
      <c r="E1889" s="5" t="inlineStr">
        <is>
          <t>부산광역시 해운대구 반여로 128</t>
        </is>
      </c>
      <c r="F1889" s="11" t="inlineStr">
        <is>
          <t>http://www.ij.es.kr</t>
        </is>
      </c>
      <c r="G1889" s="5" t="inlineStr">
        <is>
          <t>051-520-0100</t>
        </is>
      </c>
      <c r="H1889" s="12">
        <f>초등학교!Q293</f>
        <v/>
      </c>
      <c r="I1889" s="5" t="inlineStr">
        <is>
          <t>1학년 66 / 2학년 66 / 3학년 61 / 4학년 87 / 5학년 88 / 6학년 86 / 특수학급 6</t>
        </is>
      </c>
    </row>
    <row r="1890">
      <c r="A1890" s="5" t="inlineStr">
        <is>
          <t>장산초등학교</t>
        </is>
      </c>
      <c r="B1890" s="5" t="inlineStr">
        <is>
          <t>초등학교</t>
        </is>
      </c>
      <c r="C1890" s="5" t="inlineStr">
        <is>
          <t>공립</t>
        </is>
      </c>
      <c r="D1890" s="5" t="inlineStr">
        <is>
          <t>해운대구</t>
        </is>
      </c>
      <c r="E1890" s="5" t="inlineStr">
        <is>
          <t>부산광역시 해운대구 선수촌로 68</t>
        </is>
      </c>
      <c r="F1890" s="11" t="inlineStr">
        <is>
          <t>http://www.jangsan.es.kr</t>
        </is>
      </c>
      <c r="G1890" s="5" t="inlineStr">
        <is>
          <t>051-520-1500</t>
        </is>
      </c>
      <c r="H1890" s="12">
        <f>초등학교!Q294</f>
        <v/>
      </c>
      <c r="I1890" s="5" t="inlineStr">
        <is>
          <t>1학년 61 / 2학년 90 / 3학년 93 / 4학년 93 / 5학년 132 / 6학년 138 / 특수학급 7</t>
        </is>
      </c>
    </row>
    <row r="1891">
      <c r="A1891" s="5" t="inlineStr">
        <is>
          <t>재송초등학교</t>
        </is>
      </c>
      <c r="B1891" s="5" t="inlineStr">
        <is>
          <t>초등학교</t>
        </is>
      </c>
      <c r="C1891" s="5" t="inlineStr">
        <is>
          <t>공립</t>
        </is>
      </c>
      <c r="D1891" s="5" t="inlineStr">
        <is>
          <t>해운대구</t>
        </is>
      </c>
      <c r="E1891" s="5" t="inlineStr">
        <is>
          <t>부산광역시 해운대구 재반로64번길 33</t>
        </is>
      </c>
      <c r="F1891" s="11" t="inlineStr">
        <is>
          <t>http://www.jaesong.es.kr</t>
        </is>
      </c>
      <c r="G1891" s="5" t="inlineStr">
        <is>
          <t>051-780-3500</t>
        </is>
      </c>
      <c r="H1891" s="12">
        <f>초등학교!Q295</f>
        <v/>
      </c>
      <c r="I1891" s="5" t="inlineStr">
        <is>
          <t>1학년 36 / 2학년 33 / 3학년 43 / 4학년 52 / 5학년 58 / 6학년 73 / 특수학급 11</t>
        </is>
      </c>
    </row>
    <row r="1892">
      <c r="A1892" s="5" t="inlineStr">
        <is>
          <t>좌동초등학교</t>
        </is>
      </c>
      <c r="B1892" s="5" t="inlineStr">
        <is>
          <t>초등학교</t>
        </is>
      </c>
      <c r="C1892" s="5" t="inlineStr">
        <is>
          <t>공립</t>
        </is>
      </c>
      <c r="D1892" s="5" t="inlineStr">
        <is>
          <t>해운대구</t>
        </is>
      </c>
      <c r="E1892" s="5" t="inlineStr">
        <is>
          <t>부산광역시 해운대구 세실로 127</t>
        </is>
      </c>
      <c r="F1892" s="11" t="inlineStr">
        <is>
          <t>https://school.busanedu.net/jwadong-e/main.do</t>
        </is>
      </c>
      <c r="G1892" s="5" t="inlineStr">
        <is>
          <t>051-701-4734</t>
        </is>
      </c>
      <c r="H1892" s="12">
        <f>초등학교!Q296</f>
        <v/>
      </c>
      <c r="I1892" s="5" t="inlineStr">
        <is>
          <t>1학년 48 / 2학년 38 / 3학년 53 / 4학년 66 / 5학년 63 / 6학년 80 / 특수학급 5</t>
        </is>
      </c>
    </row>
    <row r="1893">
      <c r="A1893" s="5" t="inlineStr">
        <is>
          <t>좌산초등학교</t>
        </is>
      </c>
      <c r="B1893" s="5" t="inlineStr">
        <is>
          <t>초등학교</t>
        </is>
      </c>
      <c r="C1893" s="5" t="inlineStr">
        <is>
          <t>공립</t>
        </is>
      </c>
      <c r="D1893" s="5" t="inlineStr">
        <is>
          <t>해운대구</t>
        </is>
      </c>
      <c r="E1893" s="5" t="inlineStr">
        <is>
          <t>부산광역시 해운대구 좌동순환로311번길 7</t>
        </is>
      </c>
      <c r="F1893" s="11" t="inlineStr">
        <is>
          <t>http://www.jwasan.es.kr/</t>
        </is>
      </c>
      <c r="G1893" s="5" t="inlineStr">
        <is>
          <t>051-709-1700</t>
        </is>
      </c>
      <c r="H1893" s="12">
        <f>초등학교!Q297</f>
        <v/>
      </c>
      <c r="I1893" s="5" t="inlineStr">
        <is>
          <t>1학년 53 / 2학년 71 / 3학년 65 / 4학년 79 / 5학년 86 / 6학년 66 / 특수학급 11</t>
        </is>
      </c>
    </row>
    <row r="1894">
      <c r="A1894" s="5" t="inlineStr">
        <is>
          <t>해강초등학교</t>
        </is>
      </c>
      <c r="B1894" s="5" t="inlineStr">
        <is>
          <t>초등학교</t>
        </is>
      </c>
      <c r="C1894" s="5" t="inlineStr">
        <is>
          <t>공립</t>
        </is>
      </c>
      <c r="D1894" s="5" t="inlineStr">
        <is>
          <t>해운대구</t>
        </is>
      </c>
      <c r="E1894" s="5" t="inlineStr">
        <is>
          <t>부산광역시 해운대구 해운대해변로 73</t>
        </is>
      </c>
      <c r="F1894" s="11" t="inlineStr">
        <is>
          <t>http://www.haegang.es.kr</t>
        </is>
      </c>
      <c r="G1894" s="5" t="inlineStr">
        <is>
          <t>051-745-4500</t>
        </is>
      </c>
      <c r="H1894" s="12">
        <f>초등학교!Q298</f>
        <v/>
      </c>
      <c r="I1894" s="5" t="inlineStr">
        <is>
          <t>1학년 96 / 2학년 103 / 3학년 123 / 4학년 134 / 5학년 158 / 6학년 132 / 특수학급 6</t>
        </is>
      </c>
    </row>
    <row r="1895">
      <c r="A1895" s="5" t="inlineStr">
        <is>
          <t>해동초등학교</t>
        </is>
      </c>
      <c r="B1895" s="5" t="inlineStr">
        <is>
          <t>초등학교</t>
        </is>
      </c>
      <c r="C1895" s="5" t="inlineStr">
        <is>
          <t>공립</t>
        </is>
      </c>
      <c r="D1895" s="5" t="inlineStr">
        <is>
          <t>해운대구</t>
        </is>
      </c>
      <c r="E1895" s="5" t="inlineStr">
        <is>
          <t>부산광역시 해운대구 우동1로 104</t>
        </is>
      </c>
      <c r="F1895" s="11" t="inlineStr">
        <is>
          <t>http://www.haedong.es.kr/</t>
        </is>
      </c>
      <c r="G1895" s="5" t="inlineStr">
        <is>
          <t>051-740-7200</t>
        </is>
      </c>
      <c r="H1895" s="12">
        <f>초등학교!Q299</f>
        <v/>
      </c>
      <c r="I1895" s="5" t="inlineStr">
        <is>
          <t>1학년 22 / 2학년 33 / 3학년 27 / 4학년 56 / 5학년 64 / 6학년 72 / 특수학급 7</t>
        </is>
      </c>
    </row>
    <row r="1896">
      <c r="A1896" s="5" t="inlineStr">
        <is>
          <t>해림초등학교</t>
        </is>
      </c>
      <c r="B1896" s="5" t="inlineStr">
        <is>
          <t>초등학교</t>
        </is>
      </c>
      <c r="C1896" s="5" t="inlineStr">
        <is>
          <t>공립</t>
        </is>
      </c>
      <c r="D1896" s="5" t="inlineStr">
        <is>
          <t>해운대구</t>
        </is>
      </c>
      <c r="E1896" s="5" t="inlineStr">
        <is>
          <t>부산광역시 해운대구 해운대로469번길 42</t>
        </is>
      </c>
      <c r="F1896" s="11" t="inlineStr">
        <is>
          <t>http://www.haerim.es.kr</t>
        </is>
      </c>
      <c r="G1896" s="5" t="inlineStr">
        <is>
          <t>051-740-1500</t>
        </is>
      </c>
      <c r="H1896" s="12">
        <f>초등학교!Q300</f>
        <v/>
      </c>
      <c r="I1896" s="5" t="inlineStr">
        <is>
          <t>1학년 117 / 2학년 127 / 3학년 135 / 4학년 178 / 5학년 161 / 6학년 155 / 특수학급 6</t>
        </is>
      </c>
    </row>
    <row r="1897">
      <c r="A1897" s="5" t="inlineStr">
        <is>
          <t>해송초등학교</t>
        </is>
      </c>
      <c r="B1897" s="5" t="inlineStr">
        <is>
          <t>초등학교</t>
        </is>
      </c>
      <c r="C1897" s="5" t="inlineStr">
        <is>
          <t>공립</t>
        </is>
      </c>
      <c r="D1897" s="5" t="inlineStr">
        <is>
          <t>해운대구</t>
        </is>
      </c>
      <c r="E1897" s="5" t="inlineStr">
        <is>
          <t>부산광역시 해운대구 좌동순환로402번길 32</t>
        </is>
      </c>
      <c r="F1897" s="11" t="inlineStr">
        <is>
          <t>http://haesong.es.kr/</t>
        </is>
      </c>
      <c r="G1897" s="5" t="inlineStr">
        <is>
          <t>051-709-6900</t>
        </is>
      </c>
      <c r="H1897" s="12">
        <f>초등학교!Q301</f>
        <v/>
      </c>
      <c r="I1897" s="5" t="inlineStr">
        <is>
          <t>1학년 73 / 2학년 68 / 3학년 93 / 4학년 91 / 5학년 119 / 6학년 117 / 특수학급 5</t>
        </is>
      </c>
    </row>
    <row r="1898">
      <c r="A1898" s="5" t="inlineStr">
        <is>
          <t>해운대초등학교</t>
        </is>
      </c>
      <c r="B1898" s="5" t="inlineStr">
        <is>
          <t>초등학교</t>
        </is>
      </c>
      <c r="C1898" s="5" t="inlineStr">
        <is>
          <t>공립</t>
        </is>
      </c>
      <c r="D1898" s="5" t="inlineStr">
        <is>
          <t>해운대구</t>
        </is>
      </c>
      <c r="E1898" s="5" t="inlineStr">
        <is>
          <t>부산광역시 해운대구 중동2로24번길 30</t>
        </is>
      </c>
      <c r="F1898" s="11" t="inlineStr">
        <is>
          <t>http://www.haeundae.es.kr</t>
        </is>
      </c>
      <c r="G1898" s="5" t="inlineStr">
        <is>
          <t>051-746-0045</t>
        </is>
      </c>
      <c r="H1898" s="12">
        <f>초등학교!Q302</f>
        <v/>
      </c>
      <c r="I1898" s="5" t="inlineStr">
        <is>
          <t>1학년 174 / 2학년 209 / 3학년 175 / 4학년 190 / 5학년 206 / 6학년 209 / 특수학급 7</t>
        </is>
      </c>
    </row>
    <row r="1899">
      <c r="A1899" s="5" t="inlineStr">
        <is>
          <t>해원초등학교</t>
        </is>
      </c>
      <c r="B1899" s="5" t="inlineStr">
        <is>
          <t>초등학교</t>
        </is>
      </c>
      <c r="C1899" s="5" t="inlineStr">
        <is>
          <t>공립</t>
        </is>
      </c>
      <c r="D1899" s="5" t="inlineStr">
        <is>
          <t>해운대구</t>
        </is>
      </c>
      <c r="E1899" s="5" t="inlineStr">
        <is>
          <t>부산광역시 해운대구 마린시티2로 10</t>
        </is>
      </c>
      <c r="F1899" s="11" t="inlineStr">
        <is>
          <t>http://haewon.es.kr</t>
        </is>
      </c>
      <c r="G1899" s="5" t="inlineStr">
        <is>
          <t>051-740-9900</t>
        </is>
      </c>
      <c r="H1899" s="12">
        <f>초등학교!Q303</f>
        <v/>
      </c>
      <c r="I1899" s="5" t="inlineStr">
        <is>
          <t>1학년 148 / 2학년 160 / 3학년 157 / 4학년 190 / 5학년 207 / 6학년 177 / 특수학급 9</t>
        </is>
      </c>
    </row>
    <row r="1900">
      <c r="A1900" s="5" t="inlineStr">
        <is>
          <t>눌차초등학교</t>
        </is>
      </c>
      <c r="B1900" s="5" t="inlineStr">
        <is>
          <t>초등학교</t>
        </is>
      </c>
      <c r="C1900" s="5" t="inlineStr">
        <is>
          <t>공립</t>
        </is>
      </c>
      <c r="D1900" s="5" t="inlineStr"/>
      <c r="E1900" s="5" t="inlineStr"/>
      <c r="F1900" s="11" t="inlineStr">
        <is>
          <t>http://www.nulcha.es.kr</t>
        </is>
      </c>
      <c r="G1900" s="5" t="inlineStr">
        <is>
          <t>051-972-7326</t>
        </is>
      </c>
      <c r="H1900" s="12">
        <f>초등학교!Q304</f>
        <v/>
      </c>
      <c r="I1900" s="5" t="inlineStr"/>
    </row>
    <row r="1901">
      <c r="A1901" s="5" t="inlineStr">
        <is>
          <t>대저중앙초등학교</t>
        </is>
      </c>
      <c r="B1901" s="5" t="inlineStr">
        <is>
          <t>초등학교</t>
        </is>
      </c>
      <c r="C1901" s="5" t="inlineStr">
        <is>
          <t>공립</t>
        </is>
      </c>
      <c r="D1901" s="5" t="inlineStr">
        <is>
          <t>강서구</t>
        </is>
      </c>
      <c r="E1901" s="5" t="inlineStr">
        <is>
          <t>부산광역시 강서구 공항로811번길 46</t>
        </is>
      </c>
      <c r="F1901" s="11" t="inlineStr">
        <is>
          <t>http://www.djjang.es.kr</t>
        </is>
      </c>
      <c r="G1901" s="5" t="inlineStr">
        <is>
          <t>973-1403</t>
        </is>
      </c>
      <c r="H1901" s="12">
        <f>초등학교!Q305</f>
        <v/>
      </c>
      <c r="I1901" s="5" t="inlineStr"/>
    </row>
    <row r="1902">
      <c r="A1902" s="5" t="inlineStr">
        <is>
          <t>덕도초등학교</t>
        </is>
      </c>
      <c r="B1902" s="5" t="inlineStr">
        <is>
          <t>초등학교</t>
        </is>
      </c>
      <c r="C1902" s="5" t="inlineStr">
        <is>
          <t>공립</t>
        </is>
      </c>
      <c r="D1902" s="5" t="inlineStr">
        <is>
          <t>강서구</t>
        </is>
      </c>
      <c r="E1902" s="5" t="inlineStr">
        <is>
          <t>부산광역시 강서구 상덕로 113</t>
        </is>
      </c>
      <c r="F1902" s="11" t="inlineStr">
        <is>
          <t>http://dukdo.es.kr</t>
        </is>
      </c>
      <c r="G1902" s="5" t="inlineStr">
        <is>
          <t>051-972-1915</t>
        </is>
      </c>
      <c r="H1902" s="12">
        <f>초등학교!Q306</f>
        <v/>
      </c>
      <c r="I1902" s="5" t="inlineStr"/>
    </row>
    <row r="1903">
      <c r="A1903" s="5" t="inlineStr">
        <is>
          <t>삼광초등학교</t>
        </is>
      </c>
      <c r="B1903" s="5" t="inlineStr">
        <is>
          <t>초등학교</t>
        </is>
      </c>
      <c r="C1903" s="5" t="inlineStr">
        <is>
          <t>공립</t>
        </is>
      </c>
      <c r="D1903" s="5" t="inlineStr">
        <is>
          <t>강서구</t>
        </is>
      </c>
      <c r="E1903" s="5" t="inlineStr">
        <is>
          <t>부산광역시 강서구 제도로 434</t>
        </is>
      </c>
      <c r="F1903" s="11" t="inlineStr">
        <is>
          <t>http://samkwang.es.kr</t>
        </is>
      </c>
      <c r="G1903" s="5" t="inlineStr">
        <is>
          <t>051-973-1918</t>
        </is>
      </c>
      <c r="H1903" s="12">
        <f>초등학교!Q307</f>
        <v/>
      </c>
      <c r="I1903" s="5" t="inlineStr"/>
    </row>
    <row r="1904">
      <c r="A1904" s="5" t="inlineStr">
        <is>
          <t>세산초등학교</t>
        </is>
      </c>
      <c r="B1904" s="5" t="inlineStr">
        <is>
          <t>초등학교</t>
        </is>
      </c>
      <c r="C1904" s="5" t="inlineStr">
        <is>
          <t>공립</t>
        </is>
      </c>
      <c r="D1904" s="5" t="inlineStr">
        <is>
          <t>강서구</t>
        </is>
      </c>
      <c r="E1904" s="5" t="inlineStr">
        <is>
          <t>부산광역시 강서구 세산길 89</t>
        </is>
      </c>
      <c r="F1904" s="11" t="inlineStr">
        <is>
          <t>http://www.sesan.es.kr</t>
        </is>
      </c>
      <c r="G1904" s="5" t="inlineStr">
        <is>
          <t>051-971-5404</t>
        </is>
      </c>
      <c r="H1904" s="12">
        <f>초등학교!Q308</f>
        <v/>
      </c>
      <c r="I1904" s="5" t="inlineStr"/>
    </row>
    <row r="1905">
      <c r="A1905" s="5" t="inlineStr">
        <is>
          <t>송정초등학교</t>
        </is>
      </c>
      <c r="B1905" s="5" t="inlineStr">
        <is>
          <t>초등학교</t>
        </is>
      </c>
      <c r="C1905" s="5" t="inlineStr">
        <is>
          <t>공립</t>
        </is>
      </c>
      <c r="D1905" s="5" t="inlineStr">
        <is>
          <t>강서구</t>
        </is>
      </c>
      <c r="E1905" s="5" t="inlineStr">
        <is>
          <t>부산광역시 강서구 가락대로 230-72</t>
        </is>
      </c>
      <c r="F1905" s="11" t="inlineStr">
        <is>
          <t>http://www.pssongjung.es.kr/</t>
        </is>
      </c>
      <c r="G1905" s="5" t="inlineStr">
        <is>
          <t>051-831-5368</t>
        </is>
      </c>
      <c r="H1905" s="12">
        <f>초등학교!Q309</f>
        <v/>
      </c>
      <c r="I1905" s="5" t="inlineStr"/>
    </row>
    <row r="1906">
      <c r="A1906" s="5" t="inlineStr">
        <is>
          <t>서곡초등학교</t>
        </is>
      </c>
      <c r="B1906" s="5" t="inlineStr">
        <is>
          <t>초등학교</t>
        </is>
      </c>
      <c r="C1906" s="5" t="inlineStr">
        <is>
          <t>공립</t>
        </is>
      </c>
      <c r="D1906" s="5" t="inlineStr">
        <is>
          <t>금정구</t>
        </is>
      </c>
      <c r="E1906" s="5" t="inlineStr">
        <is>
          <t>부산광역시 금정구 윤산로 279</t>
        </is>
      </c>
      <c r="F1906" s="11" t="inlineStr">
        <is>
          <t>http://ps-seogok.es.kr</t>
        </is>
      </c>
      <c r="G1906" s="5" t="inlineStr">
        <is>
          <t>051-524-8102</t>
        </is>
      </c>
      <c r="H1906" s="12">
        <f>초등학교!Q310</f>
        <v/>
      </c>
      <c r="I1906" s="5" t="inlineStr"/>
    </row>
    <row r="1907">
      <c r="A1907" s="5" t="inlineStr">
        <is>
          <t>회동초등학교</t>
        </is>
      </c>
      <c r="B1907" s="5" t="inlineStr">
        <is>
          <t>초등학교</t>
        </is>
      </c>
      <c r="C1907" s="5" t="inlineStr">
        <is>
          <t>공립</t>
        </is>
      </c>
      <c r="D1907" s="5" t="inlineStr">
        <is>
          <t>금정구</t>
        </is>
      </c>
      <c r="E1907" s="5" t="inlineStr">
        <is>
          <t>부산광역시 금정구 금사로 217</t>
        </is>
      </c>
      <c r="F1907" s="11" t="inlineStr">
        <is>
          <t>http://hoedong.es.kr/</t>
        </is>
      </c>
      <c r="G1907" s="5" t="inlineStr">
        <is>
          <t>719-5330</t>
        </is>
      </c>
      <c r="H1907" s="12">
        <f>초등학교!Q311</f>
        <v/>
      </c>
      <c r="I1907" s="5" t="inlineStr"/>
    </row>
    <row r="1908">
      <c r="A1908" s="5" t="inlineStr">
        <is>
          <t>일광초등학교</t>
        </is>
      </c>
      <c r="B1908" s="5" t="inlineStr">
        <is>
          <t>초등학교</t>
        </is>
      </c>
      <c r="C1908" s="5" t="inlineStr">
        <is>
          <t>공립</t>
        </is>
      </c>
      <c r="D1908" s="5" t="inlineStr">
        <is>
          <t>기장군</t>
        </is>
      </c>
      <c r="E1908" s="5" t="inlineStr">
        <is>
          <t>부산광역시 기장군 일광면 해빛로 46</t>
        </is>
      </c>
      <c r="F1908" s="11" t="inlineStr">
        <is>
          <t>http://www.ilgwang.es.kr</t>
        </is>
      </c>
      <c r="G1908" s="5" t="inlineStr">
        <is>
          <t>051-930-7770</t>
        </is>
      </c>
      <c r="H1908" s="12">
        <f>초등학교!Q312</f>
        <v/>
      </c>
      <c r="I1908" s="5" t="inlineStr"/>
    </row>
    <row r="1909">
      <c r="A1909" s="5" t="inlineStr">
        <is>
          <t>좌성초등학교</t>
        </is>
      </c>
      <c r="B1909" s="5" t="inlineStr">
        <is>
          <t>초등학교</t>
        </is>
      </c>
      <c r="C1909" s="5" t="inlineStr">
        <is>
          <t>공립</t>
        </is>
      </c>
      <c r="D1909" s="5" t="inlineStr">
        <is>
          <t>동구</t>
        </is>
      </c>
      <c r="E1909" s="5" t="inlineStr">
        <is>
          <t>부산광역시 동구 증산동로 59</t>
        </is>
      </c>
      <c r="F1909" s="11" t="inlineStr">
        <is>
          <t>http://school.busanedu.net/jwasung-e/intro.do</t>
        </is>
      </c>
      <c r="G1909" s="5" t="inlineStr">
        <is>
          <t>051-646-7246</t>
        </is>
      </c>
      <c r="H1909" s="12">
        <f>초등학교!Q313</f>
        <v/>
      </c>
      <c r="I1909" s="5" t="inlineStr"/>
    </row>
    <row r="1910">
      <c r="A1910" s="5" t="inlineStr">
        <is>
          <t>좌천초등학교</t>
        </is>
      </c>
      <c r="B1910" s="5" t="inlineStr">
        <is>
          <t>초등학교</t>
        </is>
      </c>
      <c r="C1910" s="5" t="inlineStr">
        <is>
          <t>공립</t>
        </is>
      </c>
      <c r="D1910" s="5" t="inlineStr">
        <is>
          <t>동구</t>
        </is>
      </c>
      <c r="E1910" s="5" t="inlineStr">
        <is>
          <t>부산광역시 동구 증산서로 18</t>
        </is>
      </c>
      <c r="F1910" s="11" t="inlineStr">
        <is>
          <t>http://www.joachun.es.kr</t>
        </is>
      </c>
      <c r="G1910" s="5" t="inlineStr">
        <is>
          <t>051-647-2772</t>
        </is>
      </c>
      <c r="H1910" s="12">
        <f>초등학교!Q314</f>
        <v/>
      </c>
      <c r="I1910" s="5" t="inlineStr"/>
    </row>
    <row r="1911">
      <c r="A1911" s="5" t="inlineStr">
        <is>
          <t>가산초등학교</t>
        </is>
      </c>
      <c r="B1911" s="5" t="inlineStr">
        <is>
          <t>초등학교</t>
        </is>
      </c>
      <c r="C1911" s="5" t="inlineStr">
        <is>
          <t>공립</t>
        </is>
      </c>
      <c r="D1911" s="5" t="inlineStr">
        <is>
          <t>부산진구</t>
        </is>
      </c>
      <c r="E1911" s="5" t="inlineStr">
        <is>
          <t>부산광역시 부산진구 엄광로182번길 49</t>
        </is>
      </c>
      <c r="F1911" s="11" t="inlineStr">
        <is>
          <t>http://pusangasan.es.kr</t>
        </is>
      </c>
      <c r="G1911" s="5" t="inlineStr">
        <is>
          <t>051-892-9765</t>
        </is>
      </c>
      <c r="H1911" s="12">
        <f>초등학교!Q315</f>
        <v/>
      </c>
      <c r="I1911" s="5" t="inlineStr">
        <is>
          <t>2학년 4 / 3학년 8 / 4학년 6 / 5학년 5 / 6학년 10 / 특수학급 3</t>
        </is>
      </c>
    </row>
    <row r="1912">
      <c r="A1912" s="5" t="inlineStr">
        <is>
          <t>주원초등학교</t>
        </is>
      </c>
      <c r="B1912" s="5" t="inlineStr">
        <is>
          <t>초등학교</t>
        </is>
      </c>
      <c r="C1912" s="5" t="inlineStr">
        <is>
          <t>공립</t>
        </is>
      </c>
      <c r="D1912" s="5" t="inlineStr">
        <is>
          <t>부산진구</t>
        </is>
      </c>
      <c r="E1912" s="5" t="inlineStr">
        <is>
          <t>부산광역시 부산진구 복지로 71</t>
        </is>
      </c>
      <c r="F1912" s="11" t="inlineStr">
        <is>
          <t>http://juwon.es.kr</t>
        </is>
      </c>
      <c r="G1912" s="5" t="inlineStr">
        <is>
          <t>051-894-4154</t>
        </is>
      </c>
      <c r="H1912" s="12">
        <f>초등학교!Q316</f>
        <v/>
      </c>
      <c r="I1912" s="5" t="inlineStr">
        <is>
          <t>1학년 11 / 2학년 15 / 3학년 16 / 4학년 15 / 5학년 14 / 6학년 23 / 특수학급 5</t>
        </is>
      </c>
    </row>
    <row r="1913">
      <c r="A1913" s="5" t="inlineStr">
        <is>
          <t>괘법초등학교</t>
        </is>
      </c>
      <c r="B1913" s="5" t="inlineStr">
        <is>
          <t>초등학교</t>
        </is>
      </c>
      <c r="C1913" s="5" t="inlineStr">
        <is>
          <t>공립</t>
        </is>
      </c>
      <c r="D1913" s="5" t="inlineStr">
        <is>
          <t>사상구</t>
        </is>
      </c>
      <c r="E1913" s="5" t="inlineStr">
        <is>
          <t>부산광역시 사상구 사상로161번길 8</t>
        </is>
      </c>
      <c r="F1913" s="11" t="inlineStr">
        <is>
          <t>http://gwaebeop.es.kr</t>
        </is>
      </c>
      <c r="G1913" s="5" t="inlineStr">
        <is>
          <t>051-315-4345</t>
        </is>
      </c>
      <c r="H1913" s="12">
        <f>초등학교!Q317</f>
        <v/>
      </c>
      <c r="I1913" s="5" t="inlineStr">
        <is>
          <t>1학년 9 / 2학년 9 / 3학년 10 / 4학년 5 / 5학년 9 / 6학년 7 / 특수학급 3</t>
        </is>
      </c>
    </row>
    <row r="1914">
      <c r="A1914" s="5" t="inlineStr">
        <is>
          <t>감정초등학교</t>
        </is>
      </c>
      <c r="B1914" s="5" t="inlineStr">
        <is>
          <t>초등학교</t>
        </is>
      </c>
      <c r="C1914" s="5" t="inlineStr">
        <is>
          <t>공립</t>
        </is>
      </c>
      <c r="D1914" s="5" t="inlineStr">
        <is>
          <t>사하구</t>
        </is>
      </c>
      <c r="E1914" s="5" t="inlineStr">
        <is>
          <t>부산광역시 사하구 옥천로 130</t>
        </is>
      </c>
      <c r="F1914" s="11" t="inlineStr">
        <is>
          <t>http://gamjung.es.kr/</t>
        </is>
      </c>
      <c r="G1914" s="5" t="inlineStr">
        <is>
          <t>051-220-0100</t>
        </is>
      </c>
      <c r="H1914" s="12">
        <f>초등학교!Q318</f>
        <v/>
      </c>
      <c r="I1914" s="5" t="inlineStr"/>
    </row>
    <row r="1915">
      <c r="A1915" s="5" t="inlineStr">
        <is>
          <t>봉삼초등학교</t>
        </is>
      </c>
      <c r="B1915" s="5" t="inlineStr">
        <is>
          <t>초등학교</t>
        </is>
      </c>
      <c r="C1915" s="5" t="inlineStr">
        <is>
          <t>공립</t>
        </is>
      </c>
      <c r="D1915" s="5" t="inlineStr">
        <is>
          <t>영도구</t>
        </is>
      </c>
      <c r="E1915" s="5" t="inlineStr">
        <is>
          <t>부산광역시 영도구 함지로79번길 39</t>
        </is>
      </c>
      <c r="F1915" s="11" t="inlineStr">
        <is>
          <t>http://bongsam.es.kr</t>
        </is>
      </c>
      <c r="G1915" s="5" t="inlineStr">
        <is>
          <t>051-405-0916</t>
        </is>
      </c>
      <c r="H1915" s="12">
        <f>초등학교!Q319</f>
        <v/>
      </c>
      <c r="I1915" s="5" t="inlineStr">
        <is>
          <t>1학년 5 / 2학년 1 / 3학년 5 / 4학년 4 / 5학년 8 / 6학년 4 / 특수학급 5</t>
        </is>
      </c>
    </row>
    <row r="1916">
      <c r="A1916" s="5" t="inlineStr">
        <is>
          <t>신선초등학교</t>
        </is>
      </c>
      <c r="B1916" s="5" t="inlineStr">
        <is>
          <t>초등학교</t>
        </is>
      </c>
      <c r="C1916" s="5" t="inlineStr">
        <is>
          <t>공립</t>
        </is>
      </c>
      <c r="D1916" s="5" t="inlineStr">
        <is>
          <t>영도구</t>
        </is>
      </c>
      <c r="E1916" s="5" t="inlineStr">
        <is>
          <t>부산광역시 영도구 산정길 17</t>
        </is>
      </c>
      <c r="F1916" s="11" t="inlineStr">
        <is>
          <t>http://www.sinseon.es.kr/</t>
        </is>
      </c>
      <c r="G1916" s="5" t="inlineStr">
        <is>
          <t>051-719-1301</t>
        </is>
      </c>
      <c r="H1916" s="12">
        <f>초등학교!Q320</f>
        <v/>
      </c>
      <c r="I1916" s="5" t="inlineStr">
        <is>
          <t>2학년 3 / 3학년 4 / 4학년 2 / 6학년 12</t>
        </is>
      </c>
    </row>
    <row r="1917">
      <c r="A1917" s="5" t="inlineStr">
        <is>
          <t>위봉초등학교</t>
        </is>
      </c>
      <c r="B1917" s="5" t="inlineStr">
        <is>
          <t>초등학교</t>
        </is>
      </c>
      <c r="C1917" s="5" t="inlineStr">
        <is>
          <t>공립</t>
        </is>
      </c>
      <c r="D1917" s="5" t="inlineStr">
        <is>
          <t>해운대구</t>
        </is>
      </c>
      <c r="E1917" s="5" t="inlineStr">
        <is>
          <t>부산광역시 해운대구 재반로 301</t>
        </is>
      </c>
      <c r="F1917" s="11" t="inlineStr">
        <is>
          <t>http://we.es.kr</t>
        </is>
      </c>
      <c r="G1917" s="5" t="inlineStr">
        <is>
          <t>051-520-0400</t>
        </is>
      </c>
      <c r="H1917" s="12">
        <f>초등학교!Q321</f>
        <v/>
      </c>
      <c r="I1917" s="5" t="inlineStr"/>
    </row>
  </sheetData>
  <autoFilter ref="A1:I1917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5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6" r:id="rId29"/>
    <hyperlink xmlns:r="http://schemas.openxmlformats.org/officeDocument/2006/relationships" ref="F37" r:id="rId30"/>
    <hyperlink xmlns:r="http://schemas.openxmlformats.org/officeDocument/2006/relationships" ref="F38" r:id="rId31"/>
    <hyperlink xmlns:r="http://schemas.openxmlformats.org/officeDocument/2006/relationships" ref="F40" r:id="rId32"/>
    <hyperlink xmlns:r="http://schemas.openxmlformats.org/officeDocument/2006/relationships" ref="F41" r:id="rId33"/>
    <hyperlink xmlns:r="http://schemas.openxmlformats.org/officeDocument/2006/relationships" ref="F42" r:id="rId34"/>
    <hyperlink xmlns:r="http://schemas.openxmlformats.org/officeDocument/2006/relationships" ref="F43" r:id="rId35"/>
    <hyperlink xmlns:r="http://schemas.openxmlformats.org/officeDocument/2006/relationships" ref="F44" r:id="rId36"/>
    <hyperlink xmlns:r="http://schemas.openxmlformats.org/officeDocument/2006/relationships" ref="F47" r:id="rId37"/>
    <hyperlink xmlns:r="http://schemas.openxmlformats.org/officeDocument/2006/relationships" ref="F48" r:id="rId38"/>
    <hyperlink xmlns:r="http://schemas.openxmlformats.org/officeDocument/2006/relationships" ref="F49" r:id="rId39"/>
    <hyperlink xmlns:r="http://schemas.openxmlformats.org/officeDocument/2006/relationships" ref="F50" r:id="rId40"/>
    <hyperlink xmlns:r="http://schemas.openxmlformats.org/officeDocument/2006/relationships" ref="F52" r:id="rId41"/>
    <hyperlink xmlns:r="http://schemas.openxmlformats.org/officeDocument/2006/relationships" ref="F53" r:id="rId42"/>
    <hyperlink xmlns:r="http://schemas.openxmlformats.org/officeDocument/2006/relationships" ref="F54" r:id="rId43"/>
    <hyperlink xmlns:r="http://schemas.openxmlformats.org/officeDocument/2006/relationships" ref="F56" r:id="rId44"/>
    <hyperlink xmlns:r="http://schemas.openxmlformats.org/officeDocument/2006/relationships" ref="F57" r:id="rId45"/>
    <hyperlink xmlns:r="http://schemas.openxmlformats.org/officeDocument/2006/relationships" ref="F59" r:id="rId46"/>
    <hyperlink xmlns:r="http://schemas.openxmlformats.org/officeDocument/2006/relationships" ref="F61" r:id="rId47"/>
    <hyperlink xmlns:r="http://schemas.openxmlformats.org/officeDocument/2006/relationships" ref="F62" r:id="rId48"/>
    <hyperlink xmlns:r="http://schemas.openxmlformats.org/officeDocument/2006/relationships" ref="F63" r:id="rId49"/>
    <hyperlink xmlns:r="http://schemas.openxmlformats.org/officeDocument/2006/relationships" ref="F64" r:id="rId50"/>
    <hyperlink xmlns:r="http://schemas.openxmlformats.org/officeDocument/2006/relationships" ref="F66" r:id="rId51"/>
    <hyperlink xmlns:r="http://schemas.openxmlformats.org/officeDocument/2006/relationships" ref="F68" r:id="rId52"/>
    <hyperlink xmlns:r="http://schemas.openxmlformats.org/officeDocument/2006/relationships" ref="F69" r:id="rId53"/>
    <hyperlink xmlns:r="http://schemas.openxmlformats.org/officeDocument/2006/relationships" ref="F70" r:id="rId54"/>
    <hyperlink xmlns:r="http://schemas.openxmlformats.org/officeDocument/2006/relationships" ref="F71" r:id="rId55"/>
    <hyperlink xmlns:r="http://schemas.openxmlformats.org/officeDocument/2006/relationships" ref="F72" r:id="rId56"/>
    <hyperlink xmlns:r="http://schemas.openxmlformats.org/officeDocument/2006/relationships" ref="F73" r:id="rId57"/>
    <hyperlink xmlns:r="http://schemas.openxmlformats.org/officeDocument/2006/relationships" ref="F74" r:id="rId58"/>
    <hyperlink xmlns:r="http://schemas.openxmlformats.org/officeDocument/2006/relationships" ref="F77" r:id="rId59"/>
    <hyperlink xmlns:r="http://schemas.openxmlformats.org/officeDocument/2006/relationships" ref="F78" r:id="rId60"/>
    <hyperlink xmlns:r="http://schemas.openxmlformats.org/officeDocument/2006/relationships" ref="F79" r:id="rId61"/>
    <hyperlink xmlns:r="http://schemas.openxmlformats.org/officeDocument/2006/relationships" ref="F80" r:id="rId62"/>
    <hyperlink xmlns:r="http://schemas.openxmlformats.org/officeDocument/2006/relationships" ref="F83" r:id="rId63"/>
    <hyperlink xmlns:r="http://schemas.openxmlformats.org/officeDocument/2006/relationships" ref="F92" r:id="rId64"/>
    <hyperlink xmlns:r="http://schemas.openxmlformats.org/officeDocument/2006/relationships" ref="F94" r:id="rId65"/>
    <hyperlink xmlns:r="http://schemas.openxmlformats.org/officeDocument/2006/relationships" ref="F95" r:id="rId66"/>
    <hyperlink xmlns:r="http://schemas.openxmlformats.org/officeDocument/2006/relationships" ref="F98" r:id="rId67"/>
    <hyperlink xmlns:r="http://schemas.openxmlformats.org/officeDocument/2006/relationships" ref="F99" r:id="rId68"/>
    <hyperlink xmlns:r="http://schemas.openxmlformats.org/officeDocument/2006/relationships" ref="F100" r:id="rId69"/>
    <hyperlink xmlns:r="http://schemas.openxmlformats.org/officeDocument/2006/relationships" ref="F101" r:id="rId70"/>
    <hyperlink xmlns:r="http://schemas.openxmlformats.org/officeDocument/2006/relationships" ref="F102" r:id="rId71"/>
    <hyperlink xmlns:r="http://schemas.openxmlformats.org/officeDocument/2006/relationships" ref="F103" r:id="rId72"/>
    <hyperlink xmlns:r="http://schemas.openxmlformats.org/officeDocument/2006/relationships" ref="F104" r:id="rId73"/>
    <hyperlink xmlns:r="http://schemas.openxmlformats.org/officeDocument/2006/relationships" ref="F105" r:id="rId74"/>
    <hyperlink xmlns:r="http://schemas.openxmlformats.org/officeDocument/2006/relationships" ref="F107" r:id="rId75"/>
    <hyperlink xmlns:r="http://schemas.openxmlformats.org/officeDocument/2006/relationships" ref="F108" r:id="rId76"/>
    <hyperlink xmlns:r="http://schemas.openxmlformats.org/officeDocument/2006/relationships" ref="F110" r:id="rId77"/>
    <hyperlink xmlns:r="http://schemas.openxmlformats.org/officeDocument/2006/relationships" ref="F111" r:id="rId78"/>
    <hyperlink xmlns:r="http://schemas.openxmlformats.org/officeDocument/2006/relationships" ref="F112" r:id="rId79"/>
    <hyperlink xmlns:r="http://schemas.openxmlformats.org/officeDocument/2006/relationships" ref="F114" r:id="rId80"/>
    <hyperlink xmlns:r="http://schemas.openxmlformats.org/officeDocument/2006/relationships" ref="F115" r:id="rId81"/>
    <hyperlink xmlns:r="http://schemas.openxmlformats.org/officeDocument/2006/relationships" ref="F116" r:id="rId82"/>
    <hyperlink xmlns:r="http://schemas.openxmlformats.org/officeDocument/2006/relationships" ref="F117" r:id="rId83"/>
    <hyperlink xmlns:r="http://schemas.openxmlformats.org/officeDocument/2006/relationships" ref="F119" r:id="rId84"/>
    <hyperlink xmlns:r="http://schemas.openxmlformats.org/officeDocument/2006/relationships" ref="F122" r:id="rId85"/>
    <hyperlink xmlns:r="http://schemas.openxmlformats.org/officeDocument/2006/relationships" ref="F123" r:id="rId86"/>
    <hyperlink xmlns:r="http://schemas.openxmlformats.org/officeDocument/2006/relationships" ref="F125" r:id="rId87"/>
    <hyperlink xmlns:r="http://schemas.openxmlformats.org/officeDocument/2006/relationships" ref="F126" r:id="rId88"/>
    <hyperlink xmlns:r="http://schemas.openxmlformats.org/officeDocument/2006/relationships" ref="F127" r:id="rId89"/>
    <hyperlink xmlns:r="http://schemas.openxmlformats.org/officeDocument/2006/relationships" ref="F131" r:id="rId90"/>
    <hyperlink xmlns:r="http://schemas.openxmlformats.org/officeDocument/2006/relationships" ref="F133" r:id="rId91"/>
    <hyperlink xmlns:r="http://schemas.openxmlformats.org/officeDocument/2006/relationships" ref="F134" r:id="rId92"/>
    <hyperlink xmlns:r="http://schemas.openxmlformats.org/officeDocument/2006/relationships" ref="F136" r:id="rId93"/>
    <hyperlink xmlns:r="http://schemas.openxmlformats.org/officeDocument/2006/relationships" ref="F137" r:id="rId94"/>
    <hyperlink xmlns:r="http://schemas.openxmlformats.org/officeDocument/2006/relationships" ref="F138" r:id="rId95"/>
    <hyperlink xmlns:r="http://schemas.openxmlformats.org/officeDocument/2006/relationships" ref="F140" r:id="rId96"/>
    <hyperlink xmlns:r="http://schemas.openxmlformats.org/officeDocument/2006/relationships" ref="F141" r:id="rId97"/>
    <hyperlink xmlns:r="http://schemas.openxmlformats.org/officeDocument/2006/relationships" ref="F143" r:id="rId98"/>
    <hyperlink xmlns:r="http://schemas.openxmlformats.org/officeDocument/2006/relationships" ref="F144" r:id="rId99"/>
    <hyperlink xmlns:r="http://schemas.openxmlformats.org/officeDocument/2006/relationships" ref="F146" r:id="rId100"/>
    <hyperlink xmlns:r="http://schemas.openxmlformats.org/officeDocument/2006/relationships" ref="F147" r:id="rId101"/>
    <hyperlink xmlns:r="http://schemas.openxmlformats.org/officeDocument/2006/relationships" ref="F148" r:id="rId102"/>
    <hyperlink xmlns:r="http://schemas.openxmlformats.org/officeDocument/2006/relationships" ref="F149" r:id="rId103"/>
    <hyperlink xmlns:r="http://schemas.openxmlformats.org/officeDocument/2006/relationships" ref="F151" r:id="rId104"/>
    <hyperlink xmlns:r="http://schemas.openxmlformats.org/officeDocument/2006/relationships" ref="F155" r:id="rId105"/>
    <hyperlink xmlns:r="http://schemas.openxmlformats.org/officeDocument/2006/relationships" ref="F156" r:id="rId106"/>
    <hyperlink xmlns:r="http://schemas.openxmlformats.org/officeDocument/2006/relationships" ref="F157" r:id="rId107"/>
    <hyperlink xmlns:r="http://schemas.openxmlformats.org/officeDocument/2006/relationships" ref="F161" r:id="rId108"/>
    <hyperlink xmlns:r="http://schemas.openxmlformats.org/officeDocument/2006/relationships" ref="F162" r:id="rId109"/>
    <hyperlink xmlns:r="http://schemas.openxmlformats.org/officeDocument/2006/relationships" ref="F164" r:id="rId110"/>
    <hyperlink xmlns:r="http://schemas.openxmlformats.org/officeDocument/2006/relationships" ref="F168" r:id="rId111"/>
    <hyperlink xmlns:r="http://schemas.openxmlformats.org/officeDocument/2006/relationships" ref="F170" r:id="rId112"/>
    <hyperlink xmlns:r="http://schemas.openxmlformats.org/officeDocument/2006/relationships" ref="F172" r:id="rId113"/>
    <hyperlink xmlns:r="http://schemas.openxmlformats.org/officeDocument/2006/relationships" ref="F173" r:id="rId114"/>
    <hyperlink xmlns:r="http://schemas.openxmlformats.org/officeDocument/2006/relationships" ref="F177" r:id="rId115"/>
    <hyperlink xmlns:r="http://schemas.openxmlformats.org/officeDocument/2006/relationships" ref="F178" r:id="rId116"/>
    <hyperlink xmlns:r="http://schemas.openxmlformats.org/officeDocument/2006/relationships" ref="F183" r:id="rId117"/>
    <hyperlink xmlns:r="http://schemas.openxmlformats.org/officeDocument/2006/relationships" ref="F184" r:id="rId118"/>
    <hyperlink xmlns:r="http://schemas.openxmlformats.org/officeDocument/2006/relationships" ref="F186" r:id="rId119"/>
    <hyperlink xmlns:r="http://schemas.openxmlformats.org/officeDocument/2006/relationships" ref="F187" r:id="rId120"/>
    <hyperlink xmlns:r="http://schemas.openxmlformats.org/officeDocument/2006/relationships" ref="F189" r:id="rId121"/>
    <hyperlink xmlns:r="http://schemas.openxmlformats.org/officeDocument/2006/relationships" ref="F190" r:id="rId122"/>
    <hyperlink xmlns:r="http://schemas.openxmlformats.org/officeDocument/2006/relationships" ref="F194" r:id="rId123"/>
    <hyperlink xmlns:r="http://schemas.openxmlformats.org/officeDocument/2006/relationships" ref="F195" r:id="rId124"/>
    <hyperlink xmlns:r="http://schemas.openxmlformats.org/officeDocument/2006/relationships" ref="F196" r:id="rId125"/>
    <hyperlink xmlns:r="http://schemas.openxmlformats.org/officeDocument/2006/relationships" ref="F197" r:id="rId126"/>
    <hyperlink xmlns:r="http://schemas.openxmlformats.org/officeDocument/2006/relationships" ref="F198" r:id="rId127"/>
    <hyperlink xmlns:r="http://schemas.openxmlformats.org/officeDocument/2006/relationships" ref="F200" r:id="rId128"/>
    <hyperlink xmlns:r="http://schemas.openxmlformats.org/officeDocument/2006/relationships" ref="F201" r:id="rId129"/>
    <hyperlink xmlns:r="http://schemas.openxmlformats.org/officeDocument/2006/relationships" ref="F203" r:id="rId130"/>
    <hyperlink xmlns:r="http://schemas.openxmlformats.org/officeDocument/2006/relationships" ref="F204" r:id="rId131"/>
    <hyperlink xmlns:r="http://schemas.openxmlformats.org/officeDocument/2006/relationships" ref="F209" r:id="rId132"/>
    <hyperlink xmlns:r="http://schemas.openxmlformats.org/officeDocument/2006/relationships" ref="F210" r:id="rId133"/>
    <hyperlink xmlns:r="http://schemas.openxmlformats.org/officeDocument/2006/relationships" ref="F211" r:id="rId134"/>
    <hyperlink xmlns:r="http://schemas.openxmlformats.org/officeDocument/2006/relationships" ref="F212" r:id="rId135"/>
    <hyperlink xmlns:r="http://schemas.openxmlformats.org/officeDocument/2006/relationships" ref="F213" r:id="rId136"/>
    <hyperlink xmlns:r="http://schemas.openxmlformats.org/officeDocument/2006/relationships" ref="F214" r:id="rId137"/>
    <hyperlink xmlns:r="http://schemas.openxmlformats.org/officeDocument/2006/relationships" ref="F215" r:id="rId138"/>
    <hyperlink xmlns:r="http://schemas.openxmlformats.org/officeDocument/2006/relationships" ref="F216" r:id="rId139"/>
    <hyperlink xmlns:r="http://schemas.openxmlformats.org/officeDocument/2006/relationships" ref="F217" r:id="rId140"/>
    <hyperlink xmlns:r="http://schemas.openxmlformats.org/officeDocument/2006/relationships" ref="F219" r:id="rId141"/>
    <hyperlink xmlns:r="http://schemas.openxmlformats.org/officeDocument/2006/relationships" ref="F221" r:id="rId142"/>
    <hyperlink xmlns:r="http://schemas.openxmlformats.org/officeDocument/2006/relationships" ref="F222" r:id="rId143"/>
    <hyperlink xmlns:r="http://schemas.openxmlformats.org/officeDocument/2006/relationships" ref="F223" r:id="rId144"/>
    <hyperlink xmlns:r="http://schemas.openxmlformats.org/officeDocument/2006/relationships" ref="F225" r:id="rId145"/>
    <hyperlink xmlns:r="http://schemas.openxmlformats.org/officeDocument/2006/relationships" ref="F226" r:id="rId146"/>
    <hyperlink xmlns:r="http://schemas.openxmlformats.org/officeDocument/2006/relationships" ref="F227" r:id="rId147"/>
    <hyperlink xmlns:r="http://schemas.openxmlformats.org/officeDocument/2006/relationships" ref="F228" r:id="rId148"/>
    <hyperlink xmlns:r="http://schemas.openxmlformats.org/officeDocument/2006/relationships" ref="F229" r:id="rId149"/>
    <hyperlink xmlns:r="http://schemas.openxmlformats.org/officeDocument/2006/relationships" ref="F230" r:id="rId150"/>
    <hyperlink xmlns:r="http://schemas.openxmlformats.org/officeDocument/2006/relationships" ref="F232" r:id="rId151"/>
    <hyperlink xmlns:r="http://schemas.openxmlformats.org/officeDocument/2006/relationships" ref="F233" r:id="rId152"/>
    <hyperlink xmlns:r="http://schemas.openxmlformats.org/officeDocument/2006/relationships" ref="F234" r:id="rId153"/>
    <hyperlink xmlns:r="http://schemas.openxmlformats.org/officeDocument/2006/relationships" ref="F235" r:id="rId154"/>
    <hyperlink xmlns:r="http://schemas.openxmlformats.org/officeDocument/2006/relationships" ref="F237" r:id="rId155"/>
    <hyperlink xmlns:r="http://schemas.openxmlformats.org/officeDocument/2006/relationships" ref="F239" r:id="rId156"/>
    <hyperlink xmlns:r="http://schemas.openxmlformats.org/officeDocument/2006/relationships" ref="F240" r:id="rId157"/>
    <hyperlink xmlns:r="http://schemas.openxmlformats.org/officeDocument/2006/relationships" ref="F241" r:id="rId158"/>
    <hyperlink xmlns:r="http://schemas.openxmlformats.org/officeDocument/2006/relationships" ref="F242" r:id="rId159"/>
    <hyperlink xmlns:r="http://schemas.openxmlformats.org/officeDocument/2006/relationships" ref="F243" r:id="rId160"/>
    <hyperlink xmlns:r="http://schemas.openxmlformats.org/officeDocument/2006/relationships" ref="F244" r:id="rId161"/>
    <hyperlink xmlns:r="http://schemas.openxmlformats.org/officeDocument/2006/relationships" ref="F245" r:id="rId162"/>
    <hyperlink xmlns:r="http://schemas.openxmlformats.org/officeDocument/2006/relationships" ref="F247" r:id="rId163"/>
    <hyperlink xmlns:r="http://schemas.openxmlformats.org/officeDocument/2006/relationships" ref="F249" r:id="rId164"/>
    <hyperlink xmlns:r="http://schemas.openxmlformats.org/officeDocument/2006/relationships" ref="F250" r:id="rId165"/>
    <hyperlink xmlns:r="http://schemas.openxmlformats.org/officeDocument/2006/relationships" ref="F252" r:id="rId166"/>
    <hyperlink xmlns:r="http://schemas.openxmlformats.org/officeDocument/2006/relationships" ref="F254" r:id="rId167"/>
    <hyperlink xmlns:r="http://schemas.openxmlformats.org/officeDocument/2006/relationships" ref="F255" r:id="rId168"/>
    <hyperlink xmlns:r="http://schemas.openxmlformats.org/officeDocument/2006/relationships" ref="F256" r:id="rId169"/>
    <hyperlink xmlns:r="http://schemas.openxmlformats.org/officeDocument/2006/relationships" ref="F257" r:id="rId170"/>
    <hyperlink xmlns:r="http://schemas.openxmlformats.org/officeDocument/2006/relationships" ref="F258" r:id="rId171"/>
    <hyperlink xmlns:r="http://schemas.openxmlformats.org/officeDocument/2006/relationships" ref="F260" r:id="rId172"/>
    <hyperlink xmlns:r="http://schemas.openxmlformats.org/officeDocument/2006/relationships" ref="F261" r:id="rId173"/>
    <hyperlink xmlns:r="http://schemas.openxmlformats.org/officeDocument/2006/relationships" ref="F262" r:id="rId174"/>
    <hyperlink xmlns:r="http://schemas.openxmlformats.org/officeDocument/2006/relationships" ref="F268" r:id="rId175"/>
    <hyperlink xmlns:r="http://schemas.openxmlformats.org/officeDocument/2006/relationships" ref="F269" r:id="rId176"/>
    <hyperlink xmlns:r="http://schemas.openxmlformats.org/officeDocument/2006/relationships" ref="F270" r:id="rId177"/>
    <hyperlink xmlns:r="http://schemas.openxmlformats.org/officeDocument/2006/relationships" ref="F272" r:id="rId178"/>
    <hyperlink xmlns:r="http://schemas.openxmlformats.org/officeDocument/2006/relationships" ref="F273" r:id="rId179"/>
    <hyperlink xmlns:r="http://schemas.openxmlformats.org/officeDocument/2006/relationships" ref="F274" r:id="rId180"/>
    <hyperlink xmlns:r="http://schemas.openxmlformats.org/officeDocument/2006/relationships" ref="F275" r:id="rId181"/>
    <hyperlink xmlns:r="http://schemas.openxmlformats.org/officeDocument/2006/relationships" ref="F276" r:id="rId182"/>
    <hyperlink xmlns:r="http://schemas.openxmlformats.org/officeDocument/2006/relationships" ref="F279" r:id="rId183"/>
    <hyperlink xmlns:r="http://schemas.openxmlformats.org/officeDocument/2006/relationships" ref="F280" r:id="rId184"/>
    <hyperlink xmlns:r="http://schemas.openxmlformats.org/officeDocument/2006/relationships" ref="F282" r:id="rId185"/>
    <hyperlink xmlns:r="http://schemas.openxmlformats.org/officeDocument/2006/relationships" ref="F284" r:id="rId186"/>
    <hyperlink xmlns:r="http://schemas.openxmlformats.org/officeDocument/2006/relationships" ref="F285" r:id="rId187"/>
    <hyperlink xmlns:r="http://schemas.openxmlformats.org/officeDocument/2006/relationships" ref="F287" r:id="rId188"/>
    <hyperlink xmlns:r="http://schemas.openxmlformats.org/officeDocument/2006/relationships" ref="F288" r:id="rId189"/>
    <hyperlink xmlns:r="http://schemas.openxmlformats.org/officeDocument/2006/relationships" ref="F289" r:id="rId190"/>
    <hyperlink xmlns:r="http://schemas.openxmlformats.org/officeDocument/2006/relationships" ref="F291" r:id="rId191"/>
    <hyperlink xmlns:r="http://schemas.openxmlformats.org/officeDocument/2006/relationships" ref="F292" r:id="rId192"/>
    <hyperlink xmlns:r="http://schemas.openxmlformats.org/officeDocument/2006/relationships" ref="F293" r:id="rId193"/>
    <hyperlink xmlns:r="http://schemas.openxmlformats.org/officeDocument/2006/relationships" ref="F295" r:id="rId194"/>
    <hyperlink xmlns:r="http://schemas.openxmlformats.org/officeDocument/2006/relationships" ref="F296" r:id="rId195"/>
    <hyperlink xmlns:r="http://schemas.openxmlformats.org/officeDocument/2006/relationships" ref="F297" r:id="rId196"/>
    <hyperlink xmlns:r="http://schemas.openxmlformats.org/officeDocument/2006/relationships" ref="F298" r:id="rId197"/>
    <hyperlink xmlns:r="http://schemas.openxmlformats.org/officeDocument/2006/relationships" ref="F299" r:id="rId198"/>
    <hyperlink xmlns:r="http://schemas.openxmlformats.org/officeDocument/2006/relationships" ref="F301" r:id="rId199"/>
    <hyperlink xmlns:r="http://schemas.openxmlformats.org/officeDocument/2006/relationships" ref="F303" r:id="rId200"/>
    <hyperlink xmlns:r="http://schemas.openxmlformats.org/officeDocument/2006/relationships" ref="F305" r:id="rId201"/>
    <hyperlink xmlns:r="http://schemas.openxmlformats.org/officeDocument/2006/relationships" ref="F306" r:id="rId202"/>
    <hyperlink xmlns:r="http://schemas.openxmlformats.org/officeDocument/2006/relationships" ref="F308" r:id="rId203"/>
    <hyperlink xmlns:r="http://schemas.openxmlformats.org/officeDocument/2006/relationships" ref="F309" r:id="rId204"/>
    <hyperlink xmlns:r="http://schemas.openxmlformats.org/officeDocument/2006/relationships" ref="F312" r:id="rId205"/>
    <hyperlink xmlns:r="http://schemas.openxmlformats.org/officeDocument/2006/relationships" ref="F313" r:id="rId206"/>
    <hyperlink xmlns:r="http://schemas.openxmlformats.org/officeDocument/2006/relationships" ref="F314" r:id="rId207"/>
    <hyperlink xmlns:r="http://schemas.openxmlformats.org/officeDocument/2006/relationships" ref="F317" r:id="rId208"/>
    <hyperlink xmlns:r="http://schemas.openxmlformats.org/officeDocument/2006/relationships" ref="F322" r:id="rId209"/>
    <hyperlink xmlns:r="http://schemas.openxmlformats.org/officeDocument/2006/relationships" ref="F323" r:id="rId210"/>
    <hyperlink xmlns:r="http://schemas.openxmlformats.org/officeDocument/2006/relationships" ref="F325" r:id="rId211"/>
    <hyperlink xmlns:r="http://schemas.openxmlformats.org/officeDocument/2006/relationships" ref="F327" r:id="rId212"/>
    <hyperlink xmlns:r="http://schemas.openxmlformats.org/officeDocument/2006/relationships" ref="F328" r:id="rId213"/>
    <hyperlink xmlns:r="http://schemas.openxmlformats.org/officeDocument/2006/relationships" ref="F329" r:id="rId214"/>
    <hyperlink xmlns:r="http://schemas.openxmlformats.org/officeDocument/2006/relationships" ref="F331" r:id="rId215"/>
    <hyperlink xmlns:r="http://schemas.openxmlformats.org/officeDocument/2006/relationships" ref="F333" r:id="rId216"/>
    <hyperlink xmlns:r="http://schemas.openxmlformats.org/officeDocument/2006/relationships" ref="F334" r:id="rId217"/>
    <hyperlink xmlns:r="http://schemas.openxmlformats.org/officeDocument/2006/relationships" ref="F335" r:id="rId218"/>
    <hyperlink xmlns:r="http://schemas.openxmlformats.org/officeDocument/2006/relationships" ref="F336" r:id="rId219"/>
    <hyperlink xmlns:r="http://schemas.openxmlformats.org/officeDocument/2006/relationships" ref="F337" r:id="rId220"/>
    <hyperlink xmlns:r="http://schemas.openxmlformats.org/officeDocument/2006/relationships" ref="F338" r:id="rId221"/>
    <hyperlink xmlns:r="http://schemas.openxmlformats.org/officeDocument/2006/relationships" ref="F340" r:id="rId222"/>
    <hyperlink xmlns:r="http://schemas.openxmlformats.org/officeDocument/2006/relationships" ref="F342" r:id="rId223"/>
    <hyperlink xmlns:r="http://schemas.openxmlformats.org/officeDocument/2006/relationships" ref="F343" r:id="rId224"/>
    <hyperlink xmlns:r="http://schemas.openxmlformats.org/officeDocument/2006/relationships" ref="F344" r:id="rId225"/>
    <hyperlink xmlns:r="http://schemas.openxmlformats.org/officeDocument/2006/relationships" ref="F345" r:id="rId226"/>
    <hyperlink xmlns:r="http://schemas.openxmlformats.org/officeDocument/2006/relationships" ref="F347" r:id="rId227"/>
    <hyperlink xmlns:r="http://schemas.openxmlformats.org/officeDocument/2006/relationships" ref="F348" r:id="rId228"/>
    <hyperlink xmlns:r="http://schemas.openxmlformats.org/officeDocument/2006/relationships" ref="F349" r:id="rId229"/>
    <hyperlink xmlns:r="http://schemas.openxmlformats.org/officeDocument/2006/relationships" ref="F350" r:id="rId230"/>
    <hyperlink xmlns:r="http://schemas.openxmlformats.org/officeDocument/2006/relationships" ref="F352" r:id="rId231"/>
    <hyperlink xmlns:r="http://schemas.openxmlformats.org/officeDocument/2006/relationships" ref="F353" r:id="rId232"/>
    <hyperlink xmlns:r="http://schemas.openxmlformats.org/officeDocument/2006/relationships" ref="F354" r:id="rId233"/>
    <hyperlink xmlns:r="http://schemas.openxmlformats.org/officeDocument/2006/relationships" ref="F355" r:id="rId234"/>
    <hyperlink xmlns:r="http://schemas.openxmlformats.org/officeDocument/2006/relationships" ref="F356" r:id="rId235"/>
    <hyperlink xmlns:r="http://schemas.openxmlformats.org/officeDocument/2006/relationships" ref="F357" r:id="rId236"/>
    <hyperlink xmlns:r="http://schemas.openxmlformats.org/officeDocument/2006/relationships" ref="F358" r:id="rId237"/>
    <hyperlink xmlns:r="http://schemas.openxmlformats.org/officeDocument/2006/relationships" ref="F359" r:id="rId238"/>
    <hyperlink xmlns:r="http://schemas.openxmlformats.org/officeDocument/2006/relationships" ref="F360" r:id="rId239"/>
    <hyperlink xmlns:r="http://schemas.openxmlformats.org/officeDocument/2006/relationships" ref="F361" r:id="rId240"/>
    <hyperlink xmlns:r="http://schemas.openxmlformats.org/officeDocument/2006/relationships" ref="F362" r:id="rId241"/>
    <hyperlink xmlns:r="http://schemas.openxmlformats.org/officeDocument/2006/relationships" ref="F363" r:id="rId242"/>
    <hyperlink xmlns:r="http://schemas.openxmlformats.org/officeDocument/2006/relationships" ref="F364" r:id="rId243"/>
    <hyperlink xmlns:r="http://schemas.openxmlformats.org/officeDocument/2006/relationships" ref="F365" r:id="rId244"/>
    <hyperlink xmlns:r="http://schemas.openxmlformats.org/officeDocument/2006/relationships" ref="F366" r:id="rId245"/>
    <hyperlink xmlns:r="http://schemas.openxmlformats.org/officeDocument/2006/relationships" ref="F367" r:id="rId246"/>
    <hyperlink xmlns:r="http://schemas.openxmlformats.org/officeDocument/2006/relationships" ref="F368" r:id="rId247"/>
    <hyperlink xmlns:r="http://schemas.openxmlformats.org/officeDocument/2006/relationships" ref="F370" r:id="rId248"/>
    <hyperlink xmlns:r="http://schemas.openxmlformats.org/officeDocument/2006/relationships" ref="F371" r:id="rId249"/>
    <hyperlink xmlns:r="http://schemas.openxmlformats.org/officeDocument/2006/relationships" ref="F372" r:id="rId250"/>
    <hyperlink xmlns:r="http://schemas.openxmlformats.org/officeDocument/2006/relationships" ref="F373" r:id="rId251"/>
    <hyperlink xmlns:r="http://schemas.openxmlformats.org/officeDocument/2006/relationships" ref="F376" r:id="rId252"/>
    <hyperlink xmlns:r="http://schemas.openxmlformats.org/officeDocument/2006/relationships" ref="F378" r:id="rId253"/>
    <hyperlink xmlns:r="http://schemas.openxmlformats.org/officeDocument/2006/relationships" ref="F379" r:id="rId254"/>
    <hyperlink xmlns:r="http://schemas.openxmlformats.org/officeDocument/2006/relationships" ref="F385" r:id="rId255"/>
    <hyperlink xmlns:r="http://schemas.openxmlformats.org/officeDocument/2006/relationships" ref="F395" r:id="rId256"/>
    <hyperlink xmlns:r="http://schemas.openxmlformats.org/officeDocument/2006/relationships" ref="F398" r:id="rId257"/>
    <hyperlink xmlns:r="http://schemas.openxmlformats.org/officeDocument/2006/relationships" ref="F400" r:id="rId258"/>
    <hyperlink xmlns:r="http://schemas.openxmlformats.org/officeDocument/2006/relationships" ref="F418" r:id="rId259"/>
    <hyperlink xmlns:r="http://schemas.openxmlformats.org/officeDocument/2006/relationships" ref="F437" r:id="rId260"/>
    <hyperlink xmlns:r="http://schemas.openxmlformats.org/officeDocument/2006/relationships" ref="F445" r:id="rId261"/>
    <hyperlink xmlns:r="http://schemas.openxmlformats.org/officeDocument/2006/relationships" ref="F446" r:id="rId262"/>
    <hyperlink xmlns:r="http://schemas.openxmlformats.org/officeDocument/2006/relationships" ref="F499" r:id="rId263"/>
    <hyperlink xmlns:r="http://schemas.openxmlformats.org/officeDocument/2006/relationships" ref="F502" r:id="rId264"/>
    <hyperlink xmlns:r="http://schemas.openxmlformats.org/officeDocument/2006/relationships" ref="F504" r:id="rId265"/>
    <hyperlink xmlns:r="http://schemas.openxmlformats.org/officeDocument/2006/relationships" ref="F511" r:id="rId266"/>
    <hyperlink xmlns:r="http://schemas.openxmlformats.org/officeDocument/2006/relationships" ref="F512" r:id="rId267"/>
    <hyperlink xmlns:r="http://schemas.openxmlformats.org/officeDocument/2006/relationships" ref="F514" r:id="rId268"/>
    <hyperlink xmlns:r="http://schemas.openxmlformats.org/officeDocument/2006/relationships" ref="F516" r:id="rId269"/>
    <hyperlink xmlns:r="http://schemas.openxmlformats.org/officeDocument/2006/relationships" ref="F518" r:id="rId270"/>
    <hyperlink xmlns:r="http://schemas.openxmlformats.org/officeDocument/2006/relationships" ref="F519" r:id="rId271"/>
    <hyperlink xmlns:r="http://schemas.openxmlformats.org/officeDocument/2006/relationships" ref="F526" r:id="rId272"/>
    <hyperlink xmlns:r="http://schemas.openxmlformats.org/officeDocument/2006/relationships" ref="F528" r:id="rId273"/>
    <hyperlink xmlns:r="http://schemas.openxmlformats.org/officeDocument/2006/relationships" ref="F530" r:id="rId274"/>
    <hyperlink xmlns:r="http://schemas.openxmlformats.org/officeDocument/2006/relationships" ref="F533" r:id="rId275"/>
    <hyperlink xmlns:r="http://schemas.openxmlformats.org/officeDocument/2006/relationships" ref="F540" r:id="rId276"/>
    <hyperlink xmlns:r="http://schemas.openxmlformats.org/officeDocument/2006/relationships" ref="F544" r:id="rId277"/>
    <hyperlink xmlns:r="http://schemas.openxmlformats.org/officeDocument/2006/relationships" ref="F546" r:id="rId278"/>
    <hyperlink xmlns:r="http://schemas.openxmlformats.org/officeDocument/2006/relationships" ref="F549" r:id="rId279"/>
    <hyperlink xmlns:r="http://schemas.openxmlformats.org/officeDocument/2006/relationships" ref="F566" r:id="rId280"/>
    <hyperlink xmlns:r="http://schemas.openxmlformats.org/officeDocument/2006/relationships" ref="F567" r:id="rId281"/>
    <hyperlink xmlns:r="http://schemas.openxmlformats.org/officeDocument/2006/relationships" ref="F571" r:id="rId282"/>
    <hyperlink xmlns:r="http://schemas.openxmlformats.org/officeDocument/2006/relationships" ref="F573" r:id="rId283"/>
    <hyperlink xmlns:r="http://schemas.openxmlformats.org/officeDocument/2006/relationships" ref="F581" r:id="rId284"/>
    <hyperlink xmlns:r="http://schemas.openxmlformats.org/officeDocument/2006/relationships" ref="F585" r:id="rId285"/>
    <hyperlink xmlns:r="http://schemas.openxmlformats.org/officeDocument/2006/relationships" ref="F589" r:id="rId286"/>
    <hyperlink xmlns:r="http://schemas.openxmlformats.org/officeDocument/2006/relationships" ref="F592" r:id="rId287"/>
    <hyperlink xmlns:r="http://schemas.openxmlformats.org/officeDocument/2006/relationships" ref="F593" r:id="rId288"/>
    <hyperlink xmlns:r="http://schemas.openxmlformats.org/officeDocument/2006/relationships" ref="F594" r:id="rId289"/>
    <hyperlink xmlns:r="http://schemas.openxmlformats.org/officeDocument/2006/relationships" ref="F615" r:id="rId290"/>
    <hyperlink xmlns:r="http://schemas.openxmlformats.org/officeDocument/2006/relationships" ref="F623" r:id="rId291"/>
    <hyperlink xmlns:r="http://schemas.openxmlformats.org/officeDocument/2006/relationships" ref="F630" r:id="rId292"/>
    <hyperlink xmlns:r="http://schemas.openxmlformats.org/officeDocument/2006/relationships" ref="F637" r:id="rId293"/>
    <hyperlink xmlns:r="http://schemas.openxmlformats.org/officeDocument/2006/relationships" ref="F641" r:id="rId294"/>
    <hyperlink xmlns:r="http://schemas.openxmlformats.org/officeDocument/2006/relationships" ref="F642" r:id="rId295"/>
    <hyperlink xmlns:r="http://schemas.openxmlformats.org/officeDocument/2006/relationships" ref="F644" r:id="rId296"/>
    <hyperlink xmlns:r="http://schemas.openxmlformats.org/officeDocument/2006/relationships" ref="F646" r:id="rId297"/>
    <hyperlink xmlns:r="http://schemas.openxmlformats.org/officeDocument/2006/relationships" ref="F654" r:id="rId298"/>
    <hyperlink xmlns:r="http://schemas.openxmlformats.org/officeDocument/2006/relationships" ref="F658" r:id="rId299"/>
    <hyperlink xmlns:r="http://schemas.openxmlformats.org/officeDocument/2006/relationships" ref="F659" r:id="rId300"/>
    <hyperlink xmlns:r="http://schemas.openxmlformats.org/officeDocument/2006/relationships" ref="F670" r:id="rId301"/>
    <hyperlink xmlns:r="http://schemas.openxmlformats.org/officeDocument/2006/relationships" ref="F674" r:id="rId302"/>
    <hyperlink xmlns:r="http://schemas.openxmlformats.org/officeDocument/2006/relationships" ref="F680" r:id="rId303"/>
    <hyperlink xmlns:r="http://schemas.openxmlformats.org/officeDocument/2006/relationships" ref="F682" r:id="rId304"/>
    <hyperlink xmlns:r="http://schemas.openxmlformats.org/officeDocument/2006/relationships" ref="F688" r:id="rId305"/>
    <hyperlink xmlns:r="http://schemas.openxmlformats.org/officeDocument/2006/relationships" ref="F699" r:id="rId306"/>
    <hyperlink xmlns:r="http://schemas.openxmlformats.org/officeDocument/2006/relationships" ref="F701" r:id="rId307"/>
    <hyperlink xmlns:r="http://schemas.openxmlformats.org/officeDocument/2006/relationships" ref="F708" r:id="rId308"/>
    <hyperlink xmlns:r="http://schemas.openxmlformats.org/officeDocument/2006/relationships" ref="F714" r:id="rId309"/>
    <hyperlink xmlns:r="http://schemas.openxmlformats.org/officeDocument/2006/relationships" ref="F716" r:id="rId310"/>
    <hyperlink xmlns:r="http://schemas.openxmlformats.org/officeDocument/2006/relationships" ref="F730" r:id="rId311"/>
    <hyperlink xmlns:r="http://schemas.openxmlformats.org/officeDocument/2006/relationships" ref="F731" r:id="rId312"/>
    <hyperlink xmlns:r="http://schemas.openxmlformats.org/officeDocument/2006/relationships" ref="F734" r:id="rId313"/>
    <hyperlink xmlns:r="http://schemas.openxmlformats.org/officeDocument/2006/relationships" ref="F739" r:id="rId314"/>
    <hyperlink xmlns:r="http://schemas.openxmlformats.org/officeDocument/2006/relationships" ref="F758" r:id="rId315"/>
    <hyperlink xmlns:r="http://schemas.openxmlformats.org/officeDocument/2006/relationships" ref="F759" r:id="rId316"/>
    <hyperlink xmlns:r="http://schemas.openxmlformats.org/officeDocument/2006/relationships" ref="F760" r:id="rId317"/>
    <hyperlink xmlns:r="http://schemas.openxmlformats.org/officeDocument/2006/relationships" ref="F761" r:id="rId318"/>
    <hyperlink xmlns:r="http://schemas.openxmlformats.org/officeDocument/2006/relationships" ref="F769" r:id="rId319"/>
    <hyperlink xmlns:r="http://schemas.openxmlformats.org/officeDocument/2006/relationships" ref="F771" r:id="rId320"/>
    <hyperlink xmlns:r="http://schemas.openxmlformats.org/officeDocument/2006/relationships" ref="F778" r:id="rId321"/>
    <hyperlink xmlns:r="http://schemas.openxmlformats.org/officeDocument/2006/relationships" ref="F785" r:id="rId322"/>
    <hyperlink xmlns:r="http://schemas.openxmlformats.org/officeDocument/2006/relationships" ref="F787" r:id="rId323"/>
    <hyperlink xmlns:r="http://schemas.openxmlformats.org/officeDocument/2006/relationships" ref="F801" r:id="rId324"/>
    <hyperlink xmlns:r="http://schemas.openxmlformats.org/officeDocument/2006/relationships" ref="F811" r:id="rId325"/>
    <hyperlink xmlns:r="http://schemas.openxmlformats.org/officeDocument/2006/relationships" ref="F812" r:id="rId326"/>
    <hyperlink xmlns:r="http://schemas.openxmlformats.org/officeDocument/2006/relationships" ref="F814" r:id="rId327"/>
    <hyperlink xmlns:r="http://schemas.openxmlformats.org/officeDocument/2006/relationships" ref="F825" r:id="rId328"/>
    <hyperlink xmlns:r="http://schemas.openxmlformats.org/officeDocument/2006/relationships" ref="F829" r:id="rId329"/>
    <hyperlink xmlns:r="http://schemas.openxmlformats.org/officeDocument/2006/relationships" ref="F839" r:id="rId330"/>
    <hyperlink xmlns:r="http://schemas.openxmlformats.org/officeDocument/2006/relationships" ref="F849" r:id="rId331"/>
    <hyperlink xmlns:r="http://schemas.openxmlformats.org/officeDocument/2006/relationships" ref="F851" r:id="rId332"/>
    <hyperlink xmlns:r="http://schemas.openxmlformats.org/officeDocument/2006/relationships" ref="F856" r:id="rId333"/>
    <hyperlink xmlns:r="http://schemas.openxmlformats.org/officeDocument/2006/relationships" ref="F857" r:id="rId334"/>
    <hyperlink xmlns:r="http://schemas.openxmlformats.org/officeDocument/2006/relationships" ref="F862" r:id="rId335"/>
    <hyperlink xmlns:r="http://schemas.openxmlformats.org/officeDocument/2006/relationships" ref="F866" r:id="rId336"/>
    <hyperlink xmlns:r="http://schemas.openxmlformats.org/officeDocument/2006/relationships" ref="F867" r:id="rId337"/>
    <hyperlink xmlns:r="http://schemas.openxmlformats.org/officeDocument/2006/relationships" ref="F869" r:id="rId338"/>
    <hyperlink xmlns:r="http://schemas.openxmlformats.org/officeDocument/2006/relationships" ref="F873" r:id="rId339"/>
    <hyperlink xmlns:r="http://schemas.openxmlformats.org/officeDocument/2006/relationships" ref="F878" r:id="rId340"/>
    <hyperlink xmlns:r="http://schemas.openxmlformats.org/officeDocument/2006/relationships" ref="F879" r:id="rId341"/>
    <hyperlink xmlns:r="http://schemas.openxmlformats.org/officeDocument/2006/relationships" ref="F880" r:id="rId342"/>
    <hyperlink xmlns:r="http://schemas.openxmlformats.org/officeDocument/2006/relationships" ref="F901" r:id="rId343"/>
    <hyperlink xmlns:r="http://schemas.openxmlformats.org/officeDocument/2006/relationships" ref="F902" r:id="rId344"/>
    <hyperlink xmlns:r="http://schemas.openxmlformats.org/officeDocument/2006/relationships" ref="F903" r:id="rId345"/>
    <hyperlink xmlns:r="http://schemas.openxmlformats.org/officeDocument/2006/relationships" ref="F905" r:id="rId346"/>
    <hyperlink xmlns:r="http://schemas.openxmlformats.org/officeDocument/2006/relationships" ref="F906" r:id="rId347"/>
    <hyperlink xmlns:r="http://schemas.openxmlformats.org/officeDocument/2006/relationships" ref="F922" r:id="rId348"/>
    <hyperlink xmlns:r="http://schemas.openxmlformats.org/officeDocument/2006/relationships" ref="F925" r:id="rId349"/>
    <hyperlink xmlns:r="http://schemas.openxmlformats.org/officeDocument/2006/relationships" ref="F929" r:id="rId350"/>
    <hyperlink xmlns:r="http://schemas.openxmlformats.org/officeDocument/2006/relationships" ref="F935" r:id="rId351"/>
    <hyperlink xmlns:r="http://schemas.openxmlformats.org/officeDocument/2006/relationships" ref="F937" r:id="rId352"/>
    <hyperlink xmlns:r="http://schemas.openxmlformats.org/officeDocument/2006/relationships" ref="F950" r:id="rId353"/>
    <hyperlink xmlns:r="http://schemas.openxmlformats.org/officeDocument/2006/relationships" ref="F964" r:id="rId354"/>
    <hyperlink xmlns:r="http://schemas.openxmlformats.org/officeDocument/2006/relationships" ref="F971" r:id="rId355"/>
    <hyperlink xmlns:r="http://schemas.openxmlformats.org/officeDocument/2006/relationships" ref="F973" r:id="rId356"/>
    <hyperlink xmlns:r="http://schemas.openxmlformats.org/officeDocument/2006/relationships" ref="F979" r:id="rId357"/>
    <hyperlink xmlns:r="http://schemas.openxmlformats.org/officeDocument/2006/relationships" ref="F984" r:id="rId358"/>
    <hyperlink xmlns:r="http://schemas.openxmlformats.org/officeDocument/2006/relationships" ref="F987" r:id="rId359"/>
    <hyperlink xmlns:r="http://schemas.openxmlformats.org/officeDocument/2006/relationships" ref="F989" r:id="rId360"/>
    <hyperlink xmlns:r="http://schemas.openxmlformats.org/officeDocument/2006/relationships" ref="F991" r:id="rId361"/>
    <hyperlink xmlns:r="http://schemas.openxmlformats.org/officeDocument/2006/relationships" ref="F992" r:id="rId362"/>
    <hyperlink xmlns:r="http://schemas.openxmlformats.org/officeDocument/2006/relationships" ref="F999" r:id="rId363"/>
    <hyperlink xmlns:r="http://schemas.openxmlformats.org/officeDocument/2006/relationships" ref="F1007" r:id="rId364"/>
    <hyperlink xmlns:r="http://schemas.openxmlformats.org/officeDocument/2006/relationships" ref="F1016" r:id="rId365"/>
    <hyperlink xmlns:r="http://schemas.openxmlformats.org/officeDocument/2006/relationships" ref="F1019" r:id="rId366"/>
    <hyperlink xmlns:r="http://schemas.openxmlformats.org/officeDocument/2006/relationships" ref="F1020" r:id="rId367"/>
    <hyperlink xmlns:r="http://schemas.openxmlformats.org/officeDocument/2006/relationships" ref="F1025" r:id="rId368"/>
    <hyperlink xmlns:r="http://schemas.openxmlformats.org/officeDocument/2006/relationships" ref="F1027" r:id="rId369"/>
    <hyperlink xmlns:r="http://schemas.openxmlformats.org/officeDocument/2006/relationships" ref="F1031" r:id="rId370"/>
    <hyperlink xmlns:r="http://schemas.openxmlformats.org/officeDocument/2006/relationships" ref="F1050" r:id="rId371"/>
    <hyperlink xmlns:r="http://schemas.openxmlformats.org/officeDocument/2006/relationships" ref="F1051" r:id="rId372"/>
    <hyperlink xmlns:r="http://schemas.openxmlformats.org/officeDocument/2006/relationships" ref="F1053" r:id="rId373"/>
    <hyperlink xmlns:r="http://schemas.openxmlformats.org/officeDocument/2006/relationships" ref="F1062" r:id="rId374"/>
    <hyperlink xmlns:r="http://schemas.openxmlformats.org/officeDocument/2006/relationships" ref="F1064" r:id="rId375"/>
    <hyperlink xmlns:r="http://schemas.openxmlformats.org/officeDocument/2006/relationships" ref="F1065" r:id="rId376"/>
    <hyperlink xmlns:r="http://schemas.openxmlformats.org/officeDocument/2006/relationships" ref="F1067" r:id="rId377"/>
    <hyperlink xmlns:r="http://schemas.openxmlformats.org/officeDocument/2006/relationships" ref="F1071" r:id="rId378"/>
    <hyperlink xmlns:r="http://schemas.openxmlformats.org/officeDocument/2006/relationships" ref="F1076" r:id="rId379"/>
    <hyperlink xmlns:r="http://schemas.openxmlformats.org/officeDocument/2006/relationships" ref="F1090" r:id="rId380"/>
    <hyperlink xmlns:r="http://schemas.openxmlformats.org/officeDocument/2006/relationships" ref="F1093" r:id="rId381"/>
    <hyperlink xmlns:r="http://schemas.openxmlformats.org/officeDocument/2006/relationships" ref="F1094" r:id="rId382"/>
    <hyperlink xmlns:r="http://schemas.openxmlformats.org/officeDocument/2006/relationships" ref="F1097" r:id="rId383"/>
    <hyperlink xmlns:r="http://schemas.openxmlformats.org/officeDocument/2006/relationships" ref="F1099" r:id="rId384"/>
    <hyperlink xmlns:r="http://schemas.openxmlformats.org/officeDocument/2006/relationships" ref="F1103" r:id="rId385"/>
    <hyperlink xmlns:r="http://schemas.openxmlformats.org/officeDocument/2006/relationships" ref="F1106" r:id="rId386"/>
    <hyperlink xmlns:r="http://schemas.openxmlformats.org/officeDocument/2006/relationships" ref="F1107" r:id="rId387"/>
    <hyperlink xmlns:r="http://schemas.openxmlformats.org/officeDocument/2006/relationships" ref="F1109" r:id="rId388"/>
    <hyperlink xmlns:r="http://schemas.openxmlformats.org/officeDocument/2006/relationships" ref="F1123" r:id="rId389"/>
    <hyperlink xmlns:r="http://schemas.openxmlformats.org/officeDocument/2006/relationships" ref="F1126" r:id="rId390"/>
    <hyperlink xmlns:r="http://schemas.openxmlformats.org/officeDocument/2006/relationships" ref="F1128" r:id="rId391"/>
    <hyperlink xmlns:r="http://schemas.openxmlformats.org/officeDocument/2006/relationships" ref="F1130" r:id="rId392"/>
    <hyperlink xmlns:r="http://schemas.openxmlformats.org/officeDocument/2006/relationships" ref="F1134" r:id="rId393"/>
    <hyperlink xmlns:r="http://schemas.openxmlformats.org/officeDocument/2006/relationships" ref="F1135" r:id="rId394"/>
    <hyperlink xmlns:r="http://schemas.openxmlformats.org/officeDocument/2006/relationships" ref="F1141" r:id="rId395"/>
    <hyperlink xmlns:r="http://schemas.openxmlformats.org/officeDocument/2006/relationships" ref="F1146" r:id="rId396"/>
    <hyperlink xmlns:r="http://schemas.openxmlformats.org/officeDocument/2006/relationships" ref="F1159" r:id="rId397"/>
    <hyperlink xmlns:r="http://schemas.openxmlformats.org/officeDocument/2006/relationships" ref="F1160" r:id="rId398"/>
    <hyperlink xmlns:r="http://schemas.openxmlformats.org/officeDocument/2006/relationships" ref="F1166" r:id="rId399"/>
    <hyperlink xmlns:r="http://schemas.openxmlformats.org/officeDocument/2006/relationships" ref="F1169" r:id="rId400"/>
    <hyperlink xmlns:r="http://schemas.openxmlformats.org/officeDocument/2006/relationships" ref="F1174" r:id="rId401"/>
    <hyperlink xmlns:r="http://schemas.openxmlformats.org/officeDocument/2006/relationships" ref="F1180" r:id="rId402"/>
    <hyperlink xmlns:r="http://schemas.openxmlformats.org/officeDocument/2006/relationships" ref="F1183" r:id="rId403"/>
    <hyperlink xmlns:r="http://schemas.openxmlformats.org/officeDocument/2006/relationships" ref="F1190" r:id="rId404"/>
    <hyperlink xmlns:r="http://schemas.openxmlformats.org/officeDocument/2006/relationships" ref="F1195" r:id="rId405"/>
    <hyperlink xmlns:r="http://schemas.openxmlformats.org/officeDocument/2006/relationships" ref="F1203" r:id="rId406"/>
    <hyperlink xmlns:r="http://schemas.openxmlformats.org/officeDocument/2006/relationships" ref="F1206" r:id="rId407"/>
    <hyperlink xmlns:r="http://schemas.openxmlformats.org/officeDocument/2006/relationships" ref="F1208" r:id="rId408"/>
    <hyperlink xmlns:r="http://schemas.openxmlformats.org/officeDocument/2006/relationships" ref="F1210" r:id="rId409"/>
    <hyperlink xmlns:r="http://schemas.openxmlformats.org/officeDocument/2006/relationships" ref="F1219" r:id="rId410"/>
    <hyperlink xmlns:r="http://schemas.openxmlformats.org/officeDocument/2006/relationships" ref="F1220" r:id="rId411"/>
    <hyperlink xmlns:r="http://schemas.openxmlformats.org/officeDocument/2006/relationships" ref="F1222" r:id="rId412"/>
    <hyperlink xmlns:r="http://schemas.openxmlformats.org/officeDocument/2006/relationships" ref="F1223" r:id="rId413"/>
    <hyperlink xmlns:r="http://schemas.openxmlformats.org/officeDocument/2006/relationships" ref="F1224" r:id="rId414"/>
    <hyperlink xmlns:r="http://schemas.openxmlformats.org/officeDocument/2006/relationships" ref="F1230" r:id="rId415"/>
    <hyperlink xmlns:r="http://schemas.openxmlformats.org/officeDocument/2006/relationships" ref="F1233" r:id="rId416"/>
    <hyperlink xmlns:r="http://schemas.openxmlformats.org/officeDocument/2006/relationships" ref="F1241" r:id="rId417"/>
    <hyperlink xmlns:r="http://schemas.openxmlformats.org/officeDocument/2006/relationships" ref="F1249" r:id="rId418"/>
    <hyperlink xmlns:r="http://schemas.openxmlformats.org/officeDocument/2006/relationships" ref="F1251" r:id="rId419"/>
    <hyperlink xmlns:r="http://schemas.openxmlformats.org/officeDocument/2006/relationships" ref="F1254" r:id="rId420"/>
    <hyperlink xmlns:r="http://schemas.openxmlformats.org/officeDocument/2006/relationships" ref="F1255" r:id="rId421"/>
    <hyperlink xmlns:r="http://schemas.openxmlformats.org/officeDocument/2006/relationships" ref="F1267" r:id="rId422"/>
    <hyperlink xmlns:r="http://schemas.openxmlformats.org/officeDocument/2006/relationships" ref="F1276" r:id="rId423"/>
    <hyperlink xmlns:r="http://schemas.openxmlformats.org/officeDocument/2006/relationships" ref="F1278" r:id="rId424"/>
    <hyperlink xmlns:r="http://schemas.openxmlformats.org/officeDocument/2006/relationships" ref="F1286" r:id="rId425"/>
    <hyperlink xmlns:r="http://schemas.openxmlformats.org/officeDocument/2006/relationships" ref="F1290" r:id="rId426"/>
    <hyperlink xmlns:r="http://schemas.openxmlformats.org/officeDocument/2006/relationships" ref="F1291" r:id="rId427"/>
    <hyperlink xmlns:r="http://schemas.openxmlformats.org/officeDocument/2006/relationships" ref="F1294" r:id="rId428"/>
    <hyperlink xmlns:r="http://schemas.openxmlformats.org/officeDocument/2006/relationships" ref="F1295" r:id="rId429"/>
    <hyperlink xmlns:r="http://schemas.openxmlformats.org/officeDocument/2006/relationships" ref="F1298" r:id="rId430"/>
    <hyperlink xmlns:r="http://schemas.openxmlformats.org/officeDocument/2006/relationships" ref="F1301" r:id="rId431"/>
    <hyperlink xmlns:r="http://schemas.openxmlformats.org/officeDocument/2006/relationships" ref="F1313" r:id="rId432"/>
    <hyperlink xmlns:r="http://schemas.openxmlformats.org/officeDocument/2006/relationships" ref="F1315" r:id="rId433"/>
    <hyperlink xmlns:r="http://schemas.openxmlformats.org/officeDocument/2006/relationships" ref="F1320" r:id="rId434"/>
    <hyperlink xmlns:r="http://schemas.openxmlformats.org/officeDocument/2006/relationships" ref="F1322" r:id="rId435"/>
    <hyperlink xmlns:r="http://schemas.openxmlformats.org/officeDocument/2006/relationships" ref="F1323" r:id="rId436"/>
    <hyperlink xmlns:r="http://schemas.openxmlformats.org/officeDocument/2006/relationships" ref="F1325" r:id="rId437"/>
    <hyperlink xmlns:r="http://schemas.openxmlformats.org/officeDocument/2006/relationships" ref="F1327" r:id="rId438"/>
    <hyperlink xmlns:r="http://schemas.openxmlformats.org/officeDocument/2006/relationships" ref="F1332" r:id="rId439"/>
    <hyperlink xmlns:r="http://schemas.openxmlformats.org/officeDocument/2006/relationships" ref="F1335" r:id="rId440"/>
    <hyperlink xmlns:r="http://schemas.openxmlformats.org/officeDocument/2006/relationships" ref="F1337" r:id="rId441"/>
    <hyperlink xmlns:r="http://schemas.openxmlformats.org/officeDocument/2006/relationships" ref="F1345" r:id="rId442"/>
    <hyperlink xmlns:r="http://schemas.openxmlformats.org/officeDocument/2006/relationships" ref="F1347" r:id="rId443"/>
    <hyperlink xmlns:r="http://schemas.openxmlformats.org/officeDocument/2006/relationships" ref="F1348" r:id="rId444"/>
    <hyperlink xmlns:r="http://schemas.openxmlformats.org/officeDocument/2006/relationships" ref="F1350" r:id="rId445"/>
    <hyperlink xmlns:r="http://schemas.openxmlformats.org/officeDocument/2006/relationships" ref="F1354" r:id="rId446"/>
    <hyperlink xmlns:r="http://schemas.openxmlformats.org/officeDocument/2006/relationships" ref="F1360" r:id="rId447"/>
    <hyperlink xmlns:r="http://schemas.openxmlformats.org/officeDocument/2006/relationships" ref="F1365" r:id="rId448"/>
    <hyperlink xmlns:r="http://schemas.openxmlformats.org/officeDocument/2006/relationships" ref="F1377" r:id="rId449"/>
    <hyperlink xmlns:r="http://schemas.openxmlformats.org/officeDocument/2006/relationships" ref="F1378" r:id="rId450"/>
    <hyperlink xmlns:r="http://schemas.openxmlformats.org/officeDocument/2006/relationships" ref="F1382" r:id="rId451"/>
    <hyperlink xmlns:r="http://schemas.openxmlformats.org/officeDocument/2006/relationships" ref="F1384" r:id="rId452"/>
    <hyperlink xmlns:r="http://schemas.openxmlformats.org/officeDocument/2006/relationships" ref="F1388" r:id="rId453"/>
    <hyperlink xmlns:r="http://schemas.openxmlformats.org/officeDocument/2006/relationships" ref="F1396" r:id="rId454"/>
    <hyperlink xmlns:r="http://schemas.openxmlformats.org/officeDocument/2006/relationships" ref="F1403" r:id="rId455"/>
    <hyperlink xmlns:r="http://schemas.openxmlformats.org/officeDocument/2006/relationships" ref="F1409" r:id="rId456"/>
    <hyperlink xmlns:r="http://schemas.openxmlformats.org/officeDocument/2006/relationships" ref="F1410" r:id="rId457"/>
    <hyperlink xmlns:r="http://schemas.openxmlformats.org/officeDocument/2006/relationships" ref="F1414" r:id="rId458"/>
    <hyperlink xmlns:r="http://schemas.openxmlformats.org/officeDocument/2006/relationships" ref="F1422" r:id="rId459"/>
    <hyperlink xmlns:r="http://schemas.openxmlformats.org/officeDocument/2006/relationships" ref="F1426" r:id="rId460"/>
    <hyperlink xmlns:r="http://schemas.openxmlformats.org/officeDocument/2006/relationships" ref="F1428" r:id="rId461"/>
    <hyperlink xmlns:r="http://schemas.openxmlformats.org/officeDocument/2006/relationships" ref="F1429" r:id="rId462"/>
    <hyperlink xmlns:r="http://schemas.openxmlformats.org/officeDocument/2006/relationships" ref="F1435" r:id="rId463"/>
    <hyperlink xmlns:r="http://schemas.openxmlformats.org/officeDocument/2006/relationships" ref="F1443" r:id="rId464"/>
    <hyperlink xmlns:r="http://schemas.openxmlformats.org/officeDocument/2006/relationships" ref="F1444" r:id="rId465"/>
    <hyperlink xmlns:r="http://schemas.openxmlformats.org/officeDocument/2006/relationships" ref="F1447" r:id="rId466"/>
    <hyperlink xmlns:r="http://schemas.openxmlformats.org/officeDocument/2006/relationships" ref="F1449" r:id="rId467"/>
    <hyperlink xmlns:r="http://schemas.openxmlformats.org/officeDocument/2006/relationships" ref="F1450" r:id="rId468"/>
    <hyperlink xmlns:r="http://schemas.openxmlformats.org/officeDocument/2006/relationships" ref="F1452" r:id="rId469"/>
    <hyperlink xmlns:r="http://schemas.openxmlformats.org/officeDocument/2006/relationships" ref="F1454" r:id="rId470"/>
    <hyperlink xmlns:r="http://schemas.openxmlformats.org/officeDocument/2006/relationships" ref="F1455" r:id="rId471"/>
    <hyperlink xmlns:r="http://schemas.openxmlformats.org/officeDocument/2006/relationships" ref="F1458" r:id="rId472"/>
    <hyperlink xmlns:r="http://schemas.openxmlformats.org/officeDocument/2006/relationships" ref="F1464" r:id="rId473"/>
    <hyperlink xmlns:r="http://schemas.openxmlformats.org/officeDocument/2006/relationships" ref="F1465" r:id="rId474"/>
    <hyperlink xmlns:r="http://schemas.openxmlformats.org/officeDocument/2006/relationships" ref="F1467" r:id="rId475"/>
    <hyperlink xmlns:r="http://schemas.openxmlformats.org/officeDocument/2006/relationships" ref="F1471" r:id="rId476"/>
    <hyperlink xmlns:r="http://schemas.openxmlformats.org/officeDocument/2006/relationships" ref="F1473" r:id="rId477"/>
    <hyperlink xmlns:r="http://schemas.openxmlformats.org/officeDocument/2006/relationships" ref="F1474" r:id="rId478"/>
    <hyperlink xmlns:r="http://schemas.openxmlformats.org/officeDocument/2006/relationships" ref="F1477" r:id="rId479"/>
    <hyperlink xmlns:r="http://schemas.openxmlformats.org/officeDocument/2006/relationships" ref="F1478" r:id="rId480"/>
    <hyperlink xmlns:r="http://schemas.openxmlformats.org/officeDocument/2006/relationships" ref="F1480" r:id="rId481"/>
    <hyperlink xmlns:r="http://schemas.openxmlformats.org/officeDocument/2006/relationships" ref="F1483" r:id="rId482"/>
    <hyperlink xmlns:r="http://schemas.openxmlformats.org/officeDocument/2006/relationships" ref="F1487" r:id="rId483"/>
    <hyperlink xmlns:r="http://schemas.openxmlformats.org/officeDocument/2006/relationships" ref="F1489" r:id="rId484"/>
    <hyperlink xmlns:r="http://schemas.openxmlformats.org/officeDocument/2006/relationships" ref="F1490" r:id="rId485"/>
    <hyperlink xmlns:r="http://schemas.openxmlformats.org/officeDocument/2006/relationships" ref="F1492" r:id="rId486"/>
    <hyperlink xmlns:r="http://schemas.openxmlformats.org/officeDocument/2006/relationships" ref="F1496" r:id="rId487"/>
    <hyperlink xmlns:r="http://schemas.openxmlformats.org/officeDocument/2006/relationships" ref="F1503" r:id="rId488"/>
    <hyperlink xmlns:r="http://schemas.openxmlformats.org/officeDocument/2006/relationships" ref="F1507" r:id="rId489"/>
    <hyperlink xmlns:r="http://schemas.openxmlformats.org/officeDocument/2006/relationships" ref="F1508" r:id="rId490"/>
    <hyperlink xmlns:r="http://schemas.openxmlformats.org/officeDocument/2006/relationships" ref="F1515" r:id="rId491"/>
    <hyperlink xmlns:r="http://schemas.openxmlformats.org/officeDocument/2006/relationships" ref="F1517" r:id="rId492"/>
    <hyperlink xmlns:r="http://schemas.openxmlformats.org/officeDocument/2006/relationships" ref="F1536" r:id="rId493"/>
    <hyperlink xmlns:r="http://schemas.openxmlformats.org/officeDocument/2006/relationships" ref="F1542" r:id="rId494"/>
    <hyperlink xmlns:r="http://schemas.openxmlformats.org/officeDocument/2006/relationships" ref="F1544" r:id="rId495"/>
    <hyperlink xmlns:r="http://schemas.openxmlformats.org/officeDocument/2006/relationships" ref="F1550" r:id="rId496"/>
    <hyperlink xmlns:r="http://schemas.openxmlformats.org/officeDocument/2006/relationships" ref="F1552" r:id="rId497"/>
    <hyperlink xmlns:r="http://schemas.openxmlformats.org/officeDocument/2006/relationships" ref="F1553" r:id="rId498"/>
    <hyperlink xmlns:r="http://schemas.openxmlformats.org/officeDocument/2006/relationships" ref="F1554" r:id="rId499"/>
    <hyperlink xmlns:r="http://schemas.openxmlformats.org/officeDocument/2006/relationships" ref="F1556" r:id="rId500"/>
    <hyperlink xmlns:r="http://schemas.openxmlformats.org/officeDocument/2006/relationships" ref="F1564" r:id="rId501"/>
    <hyperlink xmlns:r="http://schemas.openxmlformats.org/officeDocument/2006/relationships" ref="F1565" r:id="rId502"/>
    <hyperlink xmlns:r="http://schemas.openxmlformats.org/officeDocument/2006/relationships" ref="F1571" r:id="rId503"/>
    <hyperlink xmlns:r="http://schemas.openxmlformats.org/officeDocument/2006/relationships" ref="F1573" r:id="rId504"/>
    <hyperlink xmlns:r="http://schemas.openxmlformats.org/officeDocument/2006/relationships" ref="F1578" r:id="rId505"/>
    <hyperlink xmlns:r="http://schemas.openxmlformats.org/officeDocument/2006/relationships" ref="F1585" r:id="rId506"/>
    <hyperlink xmlns:r="http://schemas.openxmlformats.org/officeDocument/2006/relationships" ref="F1596" r:id="rId507"/>
    <hyperlink xmlns:r="http://schemas.openxmlformats.org/officeDocument/2006/relationships" ref="F1598" r:id="rId508"/>
    <hyperlink xmlns:r="http://schemas.openxmlformats.org/officeDocument/2006/relationships" ref="F1599" r:id="rId509"/>
    <hyperlink xmlns:r="http://schemas.openxmlformats.org/officeDocument/2006/relationships" ref="F1600" r:id="rId510"/>
    <hyperlink xmlns:r="http://schemas.openxmlformats.org/officeDocument/2006/relationships" ref="F1601" r:id="rId511"/>
    <hyperlink xmlns:r="http://schemas.openxmlformats.org/officeDocument/2006/relationships" ref="F1602" r:id="rId512"/>
    <hyperlink xmlns:r="http://schemas.openxmlformats.org/officeDocument/2006/relationships" ref="F1603" r:id="rId513"/>
    <hyperlink xmlns:r="http://schemas.openxmlformats.org/officeDocument/2006/relationships" ref="F1604" r:id="rId514"/>
    <hyperlink xmlns:r="http://schemas.openxmlformats.org/officeDocument/2006/relationships" ref="F1605" r:id="rId515"/>
    <hyperlink xmlns:r="http://schemas.openxmlformats.org/officeDocument/2006/relationships" ref="F1606" r:id="rId516"/>
    <hyperlink xmlns:r="http://schemas.openxmlformats.org/officeDocument/2006/relationships" ref="F1607" r:id="rId517"/>
    <hyperlink xmlns:r="http://schemas.openxmlformats.org/officeDocument/2006/relationships" ref="F1608" r:id="rId518"/>
    <hyperlink xmlns:r="http://schemas.openxmlformats.org/officeDocument/2006/relationships" ref="F1609" r:id="rId519"/>
    <hyperlink xmlns:r="http://schemas.openxmlformats.org/officeDocument/2006/relationships" ref="F1610" r:id="rId520"/>
    <hyperlink xmlns:r="http://schemas.openxmlformats.org/officeDocument/2006/relationships" ref="F1611" r:id="rId521"/>
    <hyperlink xmlns:r="http://schemas.openxmlformats.org/officeDocument/2006/relationships" ref="F1612" r:id="rId522"/>
    <hyperlink xmlns:r="http://schemas.openxmlformats.org/officeDocument/2006/relationships" ref="F1613" r:id="rId523"/>
    <hyperlink xmlns:r="http://schemas.openxmlformats.org/officeDocument/2006/relationships" ref="F1614" r:id="rId524"/>
    <hyperlink xmlns:r="http://schemas.openxmlformats.org/officeDocument/2006/relationships" ref="F1615" r:id="rId525"/>
    <hyperlink xmlns:r="http://schemas.openxmlformats.org/officeDocument/2006/relationships" ref="F1616" r:id="rId526"/>
    <hyperlink xmlns:r="http://schemas.openxmlformats.org/officeDocument/2006/relationships" ref="F1617" r:id="rId527"/>
    <hyperlink xmlns:r="http://schemas.openxmlformats.org/officeDocument/2006/relationships" ref="F1618" r:id="rId528"/>
    <hyperlink xmlns:r="http://schemas.openxmlformats.org/officeDocument/2006/relationships" ref="F1619" r:id="rId529"/>
    <hyperlink xmlns:r="http://schemas.openxmlformats.org/officeDocument/2006/relationships" ref="F1620" r:id="rId530"/>
    <hyperlink xmlns:r="http://schemas.openxmlformats.org/officeDocument/2006/relationships" ref="F1621" r:id="rId531"/>
    <hyperlink xmlns:r="http://schemas.openxmlformats.org/officeDocument/2006/relationships" ref="F1622" r:id="rId532"/>
    <hyperlink xmlns:r="http://schemas.openxmlformats.org/officeDocument/2006/relationships" ref="F1623" r:id="rId533"/>
    <hyperlink xmlns:r="http://schemas.openxmlformats.org/officeDocument/2006/relationships" ref="F1624" r:id="rId534"/>
    <hyperlink xmlns:r="http://schemas.openxmlformats.org/officeDocument/2006/relationships" ref="F1625" r:id="rId535"/>
    <hyperlink xmlns:r="http://schemas.openxmlformats.org/officeDocument/2006/relationships" ref="F1626" r:id="rId536"/>
    <hyperlink xmlns:r="http://schemas.openxmlformats.org/officeDocument/2006/relationships" ref="F1627" r:id="rId537"/>
    <hyperlink xmlns:r="http://schemas.openxmlformats.org/officeDocument/2006/relationships" ref="F1628" r:id="rId538"/>
    <hyperlink xmlns:r="http://schemas.openxmlformats.org/officeDocument/2006/relationships" ref="F1629" r:id="rId539"/>
    <hyperlink xmlns:r="http://schemas.openxmlformats.org/officeDocument/2006/relationships" ref="F1630" r:id="rId540"/>
    <hyperlink xmlns:r="http://schemas.openxmlformats.org/officeDocument/2006/relationships" ref="F1631" r:id="rId541"/>
    <hyperlink xmlns:r="http://schemas.openxmlformats.org/officeDocument/2006/relationships" ref="F1632" r:id="rId542"/>
    <hyperlink xmlns:r="http://schemas.openxmlformats.org/officeDocument/2006/relationships" ref="F1633" r:id="rId543"/>
    <hyperlink xmlns:r="http://schemas.openxmlformats.org/officeDocument/2006/relationships" ref="F1634" r:id="rId544"/>
    <hyperlink xmlns:r="http://schemas.openxmlformats.org/officeDocument/2006/relationships" ref="F1635" r:id="rId545"/>
    <hyperlink xmlns:r="http://schemas.openxmlformats.org/officeDocument/2006/relationships" ref="F1636" r:id="rId546"/>
    <hyperlink xmlns:r="http://schemas.openxmlformats.org/officeDocument/2006/relationships" ref="F1637" r:id="rId547"/>
    <hyperlink xmlns:r="http://schemas.openxmlformats.org/officeDocument/2006/relationships" ref="F1638" r:id="rId548"/>
    <hyperlink xmlns:r="http://schemas.openxmlformats.org/officeDocument/2006/relationships" ref="F1639" r:id="rId549"/>
    <hyperlink xmlns:r="http://schemas.openxmlformats.org/officeDocument/2006/relationships" ref="F1640" r:id="rId550"/>
    <hyperlink xmlns:r="http://schemas.openxmlformats.org/officeDocument/2006/relationships" ref="F1641" r:id="rId551"/>
    <hyperlink xmlns:r="http://schemas.openxmlformats.org/officeDocument/2006/relationships" ref="F1642" r:id="rId552"/>
    <hyperlink xmlns:r="http://schemas.openxmlformats.org/officeDocument/2006/relationships" ref="F1643" r:id="rId553"/>
    <hyperlink xmlns:r="http://schemas.openxmlformats.org/officeDocument/2006/relationships" ref="F1644" r:id="rId554"/>
    <hyperlink xmlns:r="http://schemas.openxmlformats.org/officeDocument/2006/relationships" ref="F1645" r:id="rId555"/>
    <hyperlink xmlns:r="http://schemas.openxmlformats.org/officeDocument/2006/relationships" ref="F1646" r:id="rId556"/>
    <hyperlink xmlns:r="http://schemas.openxmlformats.org/officeDocument/2006/relationships" ref="F1647" r:id="rId557"/>
    <hyperlink xmlns:r="http://schemas.openxmlformats.org/officeDocument/2006/relationships" ref="F1648" r:id="rId558"/>
    <hyperlink xmlns:r="http://schemas.openxmlformats.org/officeDocument/2006/relationships" ref="F1649" r:id="rId559"/>
    <hyperlink xmlns:r="http://schemas.openxmlformats.org/officeDocument/2006/relationships" ref="F1650" r:id="rId560"/>
    <hyperlink xmlns:r="http://schemas.openxmlformats.org/officeDocument/2006/relationships" ref="F1651" r:id="rId561"/>
    <hyperlink xmlns:r="http://schemas.openxmlformats.org/officeDocument/2006/relationships" ref="F1652" r:id="rId562"/>
    <hyperlink xmlns:r="http://schemas.openxmlformats.org/officeDocument/2006/relationships" ref="F1653" r:id="rId563"/>
    <hyperlink xmlns:r="http://schemas.openxmlformats.org/officeDocument/2006/relationships" ref="F1654" r:id="rId564"/>
    <hyperlink xmlns:r="http://schemas.openxmlformats.org/officeDocument/2006/relationships" ref="F1655" r:id="rId565"/>
    <hyperlink xmlns:r="http://schemas.openxmlformats.org/officeDocument/2006/relationships" ref="F1656" r:id="rId566"/>
    <hyperlink xmlns:r="http://schemas.openxmlformats.org/officeDocument/2006/relationships" ref="F1657" r:id="rId567"/>
    <hyperlink xmlns:r="http://schemas.openxmlformats.org/officeDocument/2006/relationships" ref="F1658" r:id="rId568"/>
    <hyperlink xmlns:r="http://schemas.openxmlformats.org/officeDocument/2006/relationships" ref="F1659" r:id="rId569"/>
    <hyperlink xmlns:r="http://schemas.openxmlformats.org/officeDocument/2006/relationships" ref="F1660" r:id="rId570"/>
    <hyperlink xmlns:r="http://schemas.openxmlformats.org/officeDocument/2006/relationships" ref="F1661" r:id="rId571"/>
    <hyperlink xmlns:r="http://schemas.openxmlformats.org/officeDocument/2006/relationships" ref="F1662" r:id="rId572"/>
    <hyperlink xmlns:r="http://schemas.openxmlformats.org/officeDocument/2006/relationships" ref="F1663" r:id="rId573"/>
    <hyperlink xmlns:r="http://schemas.openxmlformats.org/officeDocument/2006/relationships" ref="F1664" r:id="rId574"/>
    <hyperlink xmlns:r="http://schemas.openxmlformats.org/officeDocument/2006/relationships" ref="F1665" r:id="rId575"/>
    <hyperlink xmlns:r="http://schemas.openxmlformats.org/officeDocument/2006/relationships" ref="F1666" r:id="rId576"/>
    <hyperlink xmlns:r="http://schemas.openxmlformats.org/officeDocument/2006/relationships" ref="F1667" r:id="rId577"/>
    <hyperlink xmlns:r="http://schemas.openxmlformats.org/officeDocument/2006/relationships" ref="F1668" r:id="rId578"/>
    <hyperlink xmlns:r="http://schemas.openxmlformats.org/officeDocument/2006/relationships" ref="F1669" r:id="rId579"/>
    <hyperlink xmlns:r="http://schemas.openxmlformats.org/officeDocument/2006/relationships" ref="F1670" r:id="rId580"/>
    <hyperlink xmlns:r="http://schemas.openxmlformats.org/officeDocument/2006/relationships" ref="F1671" r:id="rId581"/>
    <hyperlink xmlns:r="http://schemas.openxmlformats.org/officeDocument/2006/relationships" ref="F1672" r:id="rId582"/>
    <hyperlink xmlns:r="http://schemas.openxmlformats.org/officeDocument/2006/relationships" ref="F1673" r:id="rId583"/>
    <hyperlink xmlns:r="http://schemas.openxmlformats.org/officeDocument/2006/relationships" ref="F1674" r:id="rId584"/>
    <hyperlink xmlns:r="http://schemas.openxmlformats.org/officeDocument/2006/relationships" ref="F1675" r:id="rId585"/>
    <hyperlink xmlns:r="http://schemas.openxmlformats.org/officeDocument/2006/relationships" ref="F1676" r:id="rId586"/>
    <hyperlink xmlns:r="http://schemas.openxmlformats.org/officeDocument/2006/relationships" ref="F1677" r:id="rId587"/>
    <hyperlink xmlns:r="http://schemas.openxmlformats.org/officeDocument/2006/relationships" ref="F1678" r:id="rId588"/>
    <hyperlink xmlns:r="http://schemas.openxmlformats.org/officeDocument/2006/relationships" ref="F1679" r:id="rId589"/>
    <hyperlink xmlns:r="http://schemas.openxmlformats.org/officeDocument/2006/relationships" ref="F1680" r:id="rId590"/>
    <hyperlink xmlns:r="http://schemas.openxmlformats.org/officeDocument/2006/relationships" ref="F1681" r:id="rId591"/>
    <hyperlink xmlns:r="http://schemas.openxmlformats.org/officeDocument/2006/relationships" ref="F1682" r:id="rId592"/>
    <hyperlink xmlns:r="http://schemas.openxmlformats.org/officeDocument/2006/relationships" ref="F1683" r:id="rId593"/>
    <hyperlink xmlns:r="http://schemas.openxmlformats.org/officeDocument/2006/relationships" ref="F1684" r:id="rId594"/>
    <hyperlink xmlns:r="http://schemas.openxmlformats.org/officeDocument/2006/relationships" ref="F1685" r:id="rId595"/>
    <hyperlink xmlns:r="http://schemas.openxmlformats.org/officeDocument/2006/relationships" ref="F1686" r:id="rId596"/>
    <hyperlink xmlns:r="http://schemas.openxmlformats.org/officeDocument/2006/relationships" ref="F1687" r:id="rId597"/>
    <hyperlink xmlns:r="http://schemas.openxmlformats.org/officeDocument/2006/relationships" ref="F1688" r:id="rId598"/>
    <hyperlink xmlns:r="http://schemas.openxmlformats.org/officeDocument/2006/relationships" ref="F1689" r:id="rId599"/>
    <hyperlink xmlns:r="http://schemas.openxmlformats.org/officeDocument/2006/relationships" ref="F1690" r:id="rId600"/>
    <hyperlink xmlns:r="http://schemas.openxmlformats.org/officeDocument/2006/relationships" ref="F1691" r:id="rId601"/>
    <hyperlink xmlns:r="http://schemas.openxmlformats.org/officeDocument/2006/relationships" ref="F1692" r:id="rId602"/>
    <hyperlink xmlns:r="http://schemas.openxmlformats.org/officeDocument/2006/relationships" ref="F1693" r:id="rId603"/>
    <hyperlink xmlns:r="http://schemas.openxmlformats.org/officeDocument/2006/relationships" ref="F1694" r:id="rId604"/>
    <hyperlink xmlns:r="http://schemas.openxmlformats.org/officeDocument/2006/relationships" ref="F1695" r:id="rId605"/>
    <hyperlink xmlns:r="http://schemas.openxmlformats.org/officeDocument/2006/relationships" ref="F1696" r:id="rId606"/>
    <hyperlink xmlns:r="http://schemas.openxmlformats.org/officeDocument/2006/relationships" ref="F1697" r:id="rId607"/>
    <hyperlink xmlns:r="http://schemas.openxmlformats.org/officeDocument/2006/relationships" ref="F1698" r:id="rId608"/>
    <hyperlink xmlns:r="http://schemas.openxmlformats.org/officeDocument/2006/relationships" ref="F1699" r:id="rId609"/>
    <hyperlink xmlns:r="http://schemas.openxmlformats.org/officeDocument/2006/relationships" ref="F1700" r:id="rId610"/>
    <hyperlink xmlns:r="http://schemas.openxmlformats.org/officeDocument/2006/relationships" ref="F1701" r:id="rId611"/>
    <hyperlink xmlns:r="http://schemas.openxmlformats.org/officeDocument/2006/relationships" ref="F1702" r:id="rId612"/>
    <hyperlink xmlns:r="http://schemas.openxmlformats.org/officeDocument/2006/relationships" ref="F1703" r:id="rId613"/>
    <hyperlink xmlns:r="http://schemas.openxmlformats.org/officeDocument/2006/relationships" ref="F1704" r:id="rId614"/>
    <hyperlink xmlns:r="http://schemas.openxmlformats.org/officeDocument/2006/relationships" ref="F1705" r:id="rId615"/>
    <hyperlink xmlns:r="http://schemas.openxmlformats.org/officeDocument/2006/relationships" ref="F1706" r:id="rId616"/>
    <hyperlink xmlns:r="http://schemas.openxmlformats.org/officeDocument/2006/relationships" ref="F1707" r:id="rId617"/>
    <hyperlink xmlns:r="http://schemas.openxmlformats.org/officeDocument/2006/relationships" ref="F1708" r:id="rId618"/>
    <hyperlink xmlns:r="http://schemas.openxmlformats.org/officeDocument/2006/relationships" ref="F1709" r:id="rId619"/>
    <hyperlink xmlns:r="http://schemas.openxmlformats.org/officeDocument/2006/relationships" ref="F1710" r:id="rId620"/>
    <hyperlink xmlns:r="http://schemas.openxmlformats.org/officeDocument/2006/relationships" ref="F1711" r:id="rId621"/>
    <hyperlink xmlns:r="http://schemas.openxmlformats.org/officeDocument/2006/relationships" ref="F1712" r:id="rId622"/>
    <hyperlink xmlns:r="http://schemas.openxmlformats.org/officeDocument/2006/relationships" ref="F1713" r:id="rId623"/>
    <hyperlink xmlns:r="http://schemas.openxmlformats.org/officeDocument/2006/relationships" ref="F1714" r:id="rId624"/>
    <hyperlink xmlns:r="http://schemas.openxmlformats.org/officeDocument/2006/relationships" ref="F1715" r:id="rId625"/>
    <hyperlink xmlns:r="http://schemas.openxmlformats.org/officeDocument/2006/relationships" ref="F1717" r:id="rId626"/>
    <hyperlink xmlns:r="http://schemas.openxmlformats.org/officeDocument/2006/relationships" ref="F1718" r:id="rId627"/>
    <hyperlink xmlns:r="http://schemas.openxmlformats.org/officeDocument/2006/relationships" ref="F1719" r:id="rId628"/>
    <hyperlink xmlns:r="http://schemas.openxmlformats.org/officeDocument/2006/relationships" ref="F1720" r:id="rId629"/>
    <hyperlink xmlns:r="http://schemas.openxmlformats.org/officeDocument/2006/relationships" ref="F1721" r:id="rId630"/>
    <hyperlink xmlns:r="http://schemas.openxmlformats.org/officeDocument/2006/relationships" ref="F1722" r:id="rId631"/>
    <hyperlink xmlns:r="http://schemas.openxmlformats.org/officeDocument/2006/relationships" ref="F1723" r:id="rId632"/>
    <hyperlink xmlns:r="http://schemas.openxmlformats.org/officeDocument/2006/relationships" ref="F1724" r:id="rId633"/>
    <hyperlink xmlns:r="http://schemas.openxmlformats.org/officeDocument/2006/relationships" ref="F1725" r:id="rId634"/>
    <hyperlink xmlns:r="http://schemas.openxmlformats.org/officeDocument/2006/relationships" ref="F1726" r:id="rId635"/>
    <hyperlink xmlns:r="http://schemas.openxmlformats.org/officeDocument/2006/relationships" ref="F1727" r:id="rId636"/>
    <hyperlink xmlns:r="http://schemas.openxmlformats.org/officeDocument/2006/relationships" ref="F1728" r:id="rId637"/>
    <hyperlink xmlns:r="http://schemas.openxmlformats.org/officeDocument/2006/relationships" ref="F1729" r:id="rId638"/>
    <hyperlink xmlns:r="http://schemas.openxmlformats.org/officeDocument/2006/relationships" ref="F1730" r:id="rId639"/>
    <hyperlink xmlns:r="http://schemas.openxmlformats.org/officeDocument/2006/relationships" ref="F1731" r:id="rId640"/>
    <hyperlink xmlns:r="http://schemas.openxmlformats.org/officeDocument/2006/relationships" ref="F1732" r:id="rId641"/>
    <hyperlink xmlns:r="http://schemas.openxmlformats.org/officeDocument/2006/relationships" ref="F1733" r:id="rId642"/>
    <hyperlink xmlns:r="http://schemas.openxmlformats.org/officeDocument/2006/relationships" ref="F1734" r:id="rId643"/>
    <hyperlink xmlns:r="http://schemas.openxmlformats.org/officeDocument/2006/relationships" ref="F1735" r:id="rId644"/>
    <hyperlink xmlns:r="http://schemas.openxmlformats.org/officeDocument/2006/relationships" ref="F1736" r:id="rId645"/>
    <hyperlink xmlns:r="http://schemas.openxmlformats.org/officeDocument/2006/relationships" ref="F1737" r:id="rId646"/>
    <hyperlink xmlns:r="http://schemas.openxmlformats.org/officeDocument/2006/relationships" ref="F1738" r:id="rId647"/>
    <hyperlink xmlns:r="http://schemas.openxmlformats.org/officeDocument/2006/relationships" ref="F1739" r:id="rId648"/>
    <hyperlink xmlns:r="http://schemas.openxmlformats.org/officeDocument/2006/relationships" ref="F1740" r:id="rId649"/>
    <hyperlink xmlns:r="http://schemas.openxmlformats.org/officeDocument/2006/relationships" ref="F1741" r:id="rId650"/>
    <hyperlink xmlns:r="http://schemas.openxmlformats.org/officeDocument/2006/relationships" ref="F1742" r:id="rId651"/>
    <hyperlink xmlns:r="http://schemas.openxmlformats.org/officeDocument/2006/relationships" ref="F1743" r:id="rId652"/>
    <hyperlink xmlns:r="http://schemas.openxmlformats.org/officeDocument/2006/relationships" ref="F1744" r:id="rId653"/>
    <hyperlink xmlns:r="http://schemas.openxmlformats.org/officeDocument/2006/relationships" ref="F1745" r:id="rId654"/>
    <hyperlink xmlns:r="http://schemas.openxmlformats.org/officeDocument/2006/relationships" ref="F1746" r:id="rId655"/>
    <hyperlink xmlns:r="http://schemas.openxmlformats.org/officeDocument/2006/relationships" ref="F1747" r:id="rId656"/>
    <hyperlink xmlns:r="http://schemas.openxmlformats.org/officeDocument/2006/relationships" ref="F1748" r:id="rId657"/>
    <hyperlink xmlns:r="http://schemas.openxmlformats.org/officeDocument/2006/relationships" ref="F1749" r:id="rId658"/>
    <hyperlink xmlns:r="http://schemas.openxmlformats.org/officeDocument/2006/relationships" ref="F1750" r:id="rId659"/>
    <hyperlink xmlns:r="http://schemas.openxmlformats.org/officeDocument/2006/relationships" ref="F1751" r:id="rId660"/>
    <hyperlink xmlns:r="http://schemas.openxmlformats.org/officeDocument/2006/relationships" ref="F1752" r:id="rId661"/>
    <hyperlink xmlns:r="http://schemas.openxmlformats.org/officeDocument/2006/relationships" ref="F1753" r:id="rId662"/>
    <hyperlink xmlns:r="http://schemas.openxmlformats.org/officeDocument/2006/relationships" ref="F1754" r:id="rId663"/>
    <hyperlink xmlns:r="http://schemas.openxmlformats.org/officeDocument/2006/relationships" ref="F1755" r:id="rId664"/>
    <hyperlink xmlns:r="http://schemas.openxmlformats.org/officeDocument/2006/relationships" ref="F1756" r:id="rId665"/>
    <hyperlink xmlns:r="http://schemas.openxmlformats.org/officeDocument/2006/relationships" ref="F1757" r:id="rId666"/>
    <hyperlink xmlns:r="http://schemas.openxmlformats.org/officeDocument/2006/relationships" ref="F1758" r:id="rId667"/>
    <hyperlink xmlns:r="http://schemas.openxmlformats.org/officeDocument/2006/relationships" ref="F1759" r:id="rId668"/>
    <hyperlink xmlns:r="http://schemas.openxmlformats.org/officeDocument/2006/relationships" ref="F1760" r:id="rId669"/>
    <hyperlink xmlns:r="http://schemas.openxmlformats.org/officeDocument/2006/relationships" ref="F1761" r:id="rId670"/>
    <hyperlink xmlns:r="http://schemas.openxmlformats.org/officeDocument/2006/relationships" ref="F1762" r:id="rId671"/>
    <hyperlink xmlns:r="http://schemas.openxmlformats.org/officeDocument/2006/relationships" ref="F1763" r:id="rId672"/>
    <hyperlink xmlns:r="http://schemas.openxmlformats.org/officeDocument/2006/relationships" ref="F1764" r:id="rId673"/>
    <hyperlink xmlns:r="http://schemas.openxmlformats.org/officeDocument/2006/relationships" ref="F1765" r:id="rId674"/>
    <hyperlink xmlns:r="http://schemas.openxmlformats.org/officeDocument/2006/relationships" ref="F1766" r:id="rId675"/>
    <hyperlink xmlns:r="http://schemas.openxmlformats.org/officeDocument/2006/relationships" ref="F1767" r:id="rId676"/>
    <hyperlink xmlns:r="http://schemas.openxmlformats.org/officeDocument/2006/relationships" ref="F1768" r:id="rId677"/>
    <hyperlink xmlns:r="http://schemas.openxmlformats.org/officeDocument/2006/relationships" ref="F1769" r:id="rId678"/>
    <hyperlink xmlns:r="http://schemas.openxmlformats.org/officeDocument/2006/relationships" ref="F1770" r:id="rId679"/>
    <hyperlink xmlns:r="http://schemas.openxmlformats.org/officeDocument/2006/relationships" ref="F1771" r:id="rId680"/>
    <hyperlink xmlns:r="http://schemas.openxmlformats.org/officeDocument/2006/relationships" ref="F1772" r:id="rId681"/>
    <hyperlink xmlns:r="http://schemas.openxmlformats.org/officeDocument/2006/relationships" ref="F1773" r:id="rId682"/>
    <hyperlink xmlns:r="http://schemas.openxmlformats.org/officeDocument/2006/relationships" ref="F1774" r:id="rId683"/>
    <hyperlink xmlns:r="http://schemas.openxmlformats.org/officeDocument/2006/relationships" ref="F1775" r:id="rId684"/>
    <hyperlink xmlns:r="http://schemas.openxmlformats.org/officeDocument/2006/relationships" ref="F1776" r:id="rId685"/>
    <hyperlink xmlns:r="http://schemas.openxmlformats.org/officeDocument/2006/relationships" ref="F1777" r:id="rId686"/>
    <hyperlink xmlns:r="http://schemas.openxmlformats.org/officeDocument/2006/relationships" ref="F1779" r:id="rId687"/>
    <hyperlink xmlns:r="http://schemas.openxmlformats.org/officeDocument/2006/relationships" ref="F1780" r:id="rId688"/>
    <hyperlink xmlns:r="http://schemas.openxmlformats.org/officeDocument/2006/relationships" ref="F1781" r:id="rId689"/>
    <hyperlink xmlns:r="http://schemas.openxmlformats.org/officeDocument/2006/relationships" ref="F1782" r:id="rId690"/>
    <hyperlink xmlns:r="http://schemas.openxmlformats.org/officeDocument/2006/relationships" ref="F1783" r:id="rId691"/>
    <hyperlink xmlns:r="http://schemas.openxmlformats.org/officeDocument/2006/relationships" ref="F1784" r:id="rId692"/>
    <hyperlink xmlns:r="http://schemas.openxmlformats.org/officeDocument/2006/relationships" ref="F1785" r:id="rId693"/>
    <hyperlink xmlns:r="http://schemas.openxmlformats.org/officeDocument/2006/relationships" ref="F1786" r:id="rId694"/>
    <hyperlink xmlns:r="http://schemas.openxmlformats.org/officeDocument/2006/relationships" ref="F1787" r:id="rId695"/>
    <hyperlink xmlns:r="http://schemas.openxmlformats.org/officeDocument/2006/relationships" ref="F1788" r:id="rId696"/>
    <hyperlink xmlns:r="http://schemas.openxmlformats.org/officeDocument/2006/relationships" ref="F1789" r:id="rId697"/>
    <hyperlink xmlns:r="http://schemas.openxmlformats.org/officeDocument/2006/relationships" ref="F1790" r:id="rId698"/>
    <hyperlink xmlns:r="http://schemas.openxmlformats.org/officeDocument/2006/relationships" ref="F1791" r:id="rId699"/>
    <hyperlink xmlns:r="http://schemas.openxmlformats.org/officeDocument/2006/relationships" ref="F1792" r:id="rId700"/>
    <hyperlink xmlns:r="http://schemas.openxmlformats.org/officeDocument/2006/relationships" ref="F1793" r:id="rId701"/>
    <hyperlink xmlns:r="http://schemas.openxmlformats.org/officeDocument/2006/relationships" ref="F1794" r:id="rId702"/>
    <hyperlink xmlns:r="http://schemas.openxmlformats.org/officeDocument/2006/relationships" ref="F1795" r:id="rId703"/>
    <hyperlink xmlns:r="http://schemas.openxmlformats.org/officeDocument/2006/relationships" ref="F1796" r:id="rId704"/>
    <hyperlink xmlns:r="http://schemas.openxmlformats.org/officeDocument/2006/relationships" ref="F1797" r:id="rId705"/>
    <hyperlink xmlns:r="http://schemas.openxmlformats.org/officeDocument/2006/relationships" ref="F1798" r:id="rId706"/>
    <hyperlink xmlns:r="http://schemas.openxmlformats.org/officeDocument/2006/relationships" ref="F1799" r:id="rId707"/>
    <hyperlink xmlns:r="http://schemas.openxmlformats.org/officeDocument/2006/relationships" ref="F1800" r:id="rId708"/>
    <hyperlink xmlns:r="http://schemas.openxmlformats.org/officeDocument/2006/relationships" ref="F1801" r:id="rId709"/>
    <hyperlink xmlns:r="http://schemas.openxmlformats.org/officeDocument/2006/relationships" ref="F1802" r:id="rId710"/>
    <hyperlink xmlns:r="http://schemas.openxmlformats.org/officeDocument/2006/relationships" ref="F1803" r:id="rId711"/>
    <hyperlink xmlns:r="http://schemas.openxmlformats.org/officeDocument/2006/relationships" ref="F1804" r:id="rId712"/>
    <hyperlink xmlns:r="http://schemas.openxmlformats.org/officeDocument/2006/relationships" ref="F1805" r:id="rId713"/>
    <hyperlink xmlns:r="http://schemas.openxmlformats.org/officeDocument/2006/relationships" ref="F1806" r:id="rId714"/>
    <hyperlink xmlns:r="http://schemas.openxmlformats.org/officeDocument/2006/relationships" ref="F1807" r:id="rId715"/>
    <hyperlink xmlns:r="http://schemas.openxmlformats.org/officeDocument/2006/relationships" ref="F1808" r:id="rId716"/>
    <hyperlink xmlns:r="http://schemas.openxmlformats.org/officeDocument/2006/relationships" ref="F1809" r:id="rId717"/>
    <hyperlink xmlns:r="http://schemas.openxmlformats.org/officeDocument/2006/relationships" ref="F1810" r:id="rId718"/>
    <hyperlink xmlns:r="http://schemas.openxmlformats.org/officeDocument/2006/relationships" ref="F1811" r:id="rId719"/>
    <hyperlink xmlns:r="http://schemas.openxmlformats.org/officeDocument/2006/relationships" ref="F1812" r:id="rId720"/>
    <hyperlink xmlns:r="http://schemas.openxmlformats.org/officeDocument/2006/relationships" ref="F1813" r:id="rId721"/>
    <hyperlink xmlns:r="http://schemas.openxmlformats.org/officeDocument/2006/relationships" ref="F1814" r:id="rId722"/>
    <hyperlink xmlns:r="http://schemas.openxmlformats.org/officeDocument/2006/relationships" ref="F1815" r:id="rId723"/>
    <hyperlink xmlns:r="http://schemas.openxmlformats.org/officeDocument/2006/relationships" ref="F1816" r:id="rId724"/>
    <hyperlink xmlns:r="http://schemas.openxmlformats.org/officeDocument/2006/relationships" ref="F1817" r:id="rId725"/>
    <hyperlink xmlns:r="http://schemas.openxmlformats.org/officeDocument/2006/relationships" ref="F1818" r:id="rId726"/>
    <hyperlink xmlns:r="http://schemas.openxmlformats.org/officeDocument/2006/relationships" ref="F1819" r:id="rId727"/>
    <hyperlink xmlns:r="http://schemas.openxmlformats.org/officeDocument/2006/relationships" ref="F1820" r:id="rId728"/>
    <hyperlink xmlns:r="http://schemas.openxmlformats.org/officeDocument/2006/relationships" ref="F1821" r:id="rId729"/>
    <hyperlink xmlns:r="http://schemas.openxmlformats.org/officeDocument/2006/relationships" ref="F1822" r:id="rId730"/>
    <hyperlink xmlns:r="http://schemas.openxmlformats.org/officeDocument/2006/relationships" ref="F1823" r:id="rId731"/>
    <hyperlink xmlns:r="http://schemas.openxmlformats.org/officeDocument/2006/relationships" ref="F1824" r:id="rId732"/>
    <hyperlink xmlns:r="http://schemas.openxmlformats.org/officeDocument/2006/relationships" ref="F1825" r:id="rId733"/>
    <hyperlink xmlns:r="http://schemas.openxmlformats.org/officeDocument/2006/relationships" ref="F1826" r:id="rId734"/>
    <hyperlink xmlns:r="http://schemas.openxmlformats.org/officeDocument/2006/relationships" ref="F1827" r:id="rId735"/>
    <hyperlink xmlns:r="http://schemas.openxmlformats.org/officeDocument/2006/relationships" ref="F1828" r:id="rId736"/>
    <hyperlink xmlns:r="http://schemas.openxmlformats.org/officeDocument/2006/relationships" ref="F1829" r:id="rId737"/>
    <hyperlink xmlns:r="http://schemas.openxmlformats.org/officeDocument/2006/relationships" ref="F1830" r:id="rId738"/>
    <hyperlink xmlns:r="http://schemas.openxmlformats.org/officeDocument/2006/relationships" ref="F1831" r:id="rId739"/>
    <hyperlink xmlns:r="http://schemas.openxmlformats.org/officeDocument/2006/relationships" ref="F1832" r:id="rId740"/>
    <hyperlink xmlns:r="http://schemas.openxmlformats.org/officeDocument/2006/relationships" ref="F1833" r:id="rId741"/>
    <hyperlink xmlns:r="http://schemas.openxmlformats.org/officeDocument/2006/relationships" ref="F1834" r:id="rId742"/>
    <hyperlink xmlns:r="http://schemas.openxmlformats.org/officeDocument/2006/relationships" ref="F1835" r:id="rId743"/>
    <hyperlink xmlns:r="http://schemas.openxmlformats.org/officeDocument/2006/relationships" ref="F1836" r:id="rId744"/>
    <hyperlink xmlns:r="http://schemas.openxmlformats.org/officeDocument/2006/relationships" ref="F1837" r:id="rId745"/>
    <hyperlink xmlns:r="http://schemas.openxmlformats.org/officeDocument/2006/relationships" ref="F1838" r:id="rId746"/>
    <hyperlink xmlns:r="http://schemas.openxmlformats.org/officeDocument/2006/relationships" ref="F1839" r:id="rId747"/>
    <hyperlink xmlns:r="http://schemas.openxmlformats.org/officeDocument/2006/relationships" ref="F1840" r:id="rId748"/>
    <hyperlink xmlns:r="http://schemas.openxmlformats.org/officeDocument/2006/relationships" ref="F1841" r:id="rId749"/>
    <hyperlink xmlns:r="http://schemas.openxmlformats.org/officeDocument/2006/relationships" ref="F1842" r:id="rId750"/>
    <hyperlink xmlns:r="http://schemas.openxmlformats.org/officeDocument/2006/relationships" ref="F1843" r:id="rId751"/>
    <hyperlink xmlns:r="http://schemas.openxmlformats.org/officeDocument/2006/relationships" ref="F1844" r:id="rId752"/>
    <hyperlink xmlns:r="http://schemas.openxmlformats.org/officeDocument/2006/relationships" ref="F1845" r:id="rId753"/>
    <hyperlink xmlns:r="http://schemas.openxmlformats.org/officeDocument/2006/relationships" ref="F1846" r:id="rId754"/>
    <hyperlink xmlns:r="http://schemas.openxmlformats.org/officeDocument/2006/relationships" ref="F1847" r:id="rId755"/>
    <hyperlink xmlns:r="http://schemas.openxmlformats.org/officeDocument/2006/relationships" ref="F1848" r:id="rId756"/>
    <hyperlink xmlns:r="http://schemas.openxmlformats.org/officeDocument/2006/relationships" ref="F1849" r:id="rId757"/>
    <hyperlink xmlns:r="http://schemas.openxmlformats.org/officeDocument/2006/relationships" ref="F1850" r:id="rId758"/>
    <hyperlink xmlns:r="http://schemas.openxmlformats.org/officeDocument/2006/relationships" ref="F1851" r:id="rId759"/>
    <hyperlink xmlns:r="http://schemas.openxmlformats.org/officeDocument/2006/relationships" ref="F1852" r:id="rId760"/>
    <hyperlink xmlns:r="http://schemas.openxmlformats.org/officeDocument/2006/relationships" ref="F1853" r:id="rId761"/>
    <hyperlink xmlns:r="http://schemas.openxmlformats.org/officeDocument/2006/relationships" ref="F1854" r:id="rId762"/>
    <hyperlink xmlns:r="http://schemas.openxmlformats.org/officeDocument/2006/relationships" ref="F1855" r:id="rId763"/>
    <hyperlink xmlns:r="http://schemas.openxmlformats.org/officeDocument/2006/relationships" ref="F1856" r:id="rId764"/>
    <hyperlink xmlns:r="http://schemas.openxmlformats.org/officeDocument/2006/relationships" ref="F1857" r:id="rId765"/>
    <hyperlink xmlns:r="http://schemas.openxmlformats.org/officeDocument/2006/relationships" ref="F1858" r:id="rId766"/>
    <hyperlink xmlns:r="http://schemas.openxmlformats.org/officeDocument/2006/relationships" ref="F1859" r:id="rId767"/>
    <hyperlink xmlns:r="http://schemas.openxmlformats.org/officeDocument/2006/relationships" ref="F1860" r:id="rId768"/>
    <hyperlink xmlns:r="http://schemas.openxmlformats.org/officeDocument/2006/relationships" ref="F1861" r:id="rId769"/>
    <hyperlink xmlns:r="http://schemas.openxmlformats.org/officeDocument/2006/relationships" ref="F1862" r:id="rId770"/>
    <hyperlink xmlns:r="http://schemas.openxmlformats.org/officeDocument/2006/relationships" ref="F1863" r:id="rId771"/>
    <hyperlink xmlns:r="http://schemas.openxmlformats.org/officeDocument/2006/relationships" ref="F1864" r:id="rId772"/>
    <hyperlink xmlns:r="http://schemas.openxmlformats.org/officeDocument/2006/relationships" ref="F1865" r:id="rId773"/>
    <hyperlink xmlns:r="http://schemas.openxmlformats.org/officeDocument/2006/relationships" ref="F1866" r:id="rId774"/>
    <hyperlink xmlns:r="http://schemas.openxmlformats.org/officeDocument/2006/relationships" ref="F1867" r:id="rId775"/>
    <hyperlink xmlns:r="http://schemas.openxmlformats.org/officeDocument/2006/relationships" ref="F1868" r:id="rId776"/>
    <hyperlink xmlns:r="http://schemas.openxmlformats.org/officeDocument/2006/relationships" ref="F1869" r:id="rId777"/>
    <hyperlink xmlns:r="http://schemas.openxmlformats.org/officeDocument/2006/relationships" ref="F1870" r:id="rId778"/>
    <hyperlink xmlns:r="http://schemas.openxmlformats.org/officeDocument/2006/relationships" ref="F1871" r:id="rId779"/>
    <hyperlink xmlns:r="http://schemas.openxmlformats.org/officeDocument/2006/relationships" ref="F1872" r:id="rId780"/>
    <hyperlink xmlns:r="http://schemas.openxmlformats.org/officeDocument/2006/relationships" ref="F1873" r:id="rId781"/>
    <hyperlink xmlns:r="http://schemas.openxmlformats.org/officeDocument/2006/relationships" ref="F1874" r:id="rId782"/>
    <hyperlink xmlns:r="http://schemas.openxmlformats.org/officeDocument/2006/relationships" ref="F1875" r:id="rId783"/>
    <hyperlink xmlns:r="http://schemas.openxmlformats.org/officeDocument/2006/relationships" ref="F1876" r:id="rId784"/>
    <hyperlink xmlns:r="http://schemas.openxmlformats.org/officeDocument/2006/relationships" ref="F1877" r:id="rId785"/>
    <hyperlink xmlns:r="http://schemas.openxmlformats.org/officeDocument/2006/relationships" ref="F1878" r:id="rId786"/>
    <hyperlink xmlns:r="http://schemas.openxmlformats.org/officeDocument/2006/relationships" ref="F1879" r:id="rId787"/>
    <hyperlink xmlns:r="http://schemas.openxmlformats.org/officeDocument/2006/relationships" ref="F1880" r:id="rId788"/>
    <hyperlink xmlns:r="http://schemas.openxmlformats.org/officeDocument/2006/relationships" ref="F1881" r:id="rId789"/>
    <hyperlink xmlns:r="http://schemas.openxmlformats.org/officeDocument/2006/relationships" ref="F1882" r:id="rId790"/>
    <hyperlink xmlns:r="http://schemas.openxmlformats.org/officeDocument/2006/relationships" ref="F1883" r:id="rId791"/>
    <hyperlink xmlns:r="http://schemas.openxmlformats.org/officeDocument/2006/relationships" ref="F1884" r:id="rId792"/>
    <hyperlink xmlns:r="http://schemas.openxmlformats.org/officeDocument/2006/relationships" ref="F1885" r:id="rId793"/>
    <hyperlink xmlns:r="http://schemas.openxmlformats.org/officeDocument/2006/relationships" ref="F1886" r:id="rId794"/>
    <hyperlink xmlns:r="http://schemas.openxmlformats.org/officeDocument/2006/relationships" ref="F1887" r:id="rId795"/>
    <hyperlink xmlns:r="http://schemas.openxmlformats.org/officeDocument/2006/relationships" ref="F1888" r:id="rId796"/>
    <hyperlink xmlns:r="http://schemas.openxmlformats.org/officeDocument/2006/relationships" ref="F1889" r:id="rId797"/>
    <hyperlink xmlns:r="http://schemas.openxmlformats.org/officeDocument/2006/relationships" ref="F1890" r:id="rId798"/>
    <hyperlink xmlns:r="http://schemas.openxmlformats.org/officeDocument/2006/relationships" ref="F1891" r:id="rId799"/>
    <hyperlink xmlns:r="http://schemas.openxmlformats.org/officeDocument/2006/relationships" ref="F1892" r:id="rId800"/>
    <hyperlink xmlns:r="http://schemas.openxmlformats.org/officeDocument/2006/relationships" ref="F1893" r:id="rId801"/>
    <hyperlink xmlns:r="http://schemas.openxmlformats.org/officeDocument/2006/relationships" ref="F1894" r:id="rId802"/>
    <hyperlink xmlns:r="http://schemas.openxmlformats.org/officeDocument/2006/relationships" ref="F1895" r:id="rId803"/>
    <hyperlink xmlns:r="http://schemas.openxmlformats.org/officeDocument/2006/relationships" ref="F1896" r:id="rId804"/>
    <hyperlink xmlns:r="http://schemas.openxmlformats.org/officeDocument/2006/relationships" ref="F1897" r:id="rId805"/>
    <hyperlink xmlns:r="http://schemas.openxmlformats.org/officeDocument/2006/relationships" ref="F1898" r:id="rId806"/>
    <hyperlink xmlns:r="http://schemas.openxmlformats.org/officeDocument/2006/relationships" ref="F1899" r:id="rId807"/>
    <hyperlink xmlns:r="http://schemas.openxmlformats.org/officeDocument/2006/relationships" ref="F1900" r:id="rId808"/>
    <hyperlink xmlns:r="http://schemas.openxmlformats.org/officeDocument/2006/relationships" ref="F1901" r:id="rId809"/>
    <hyperlink xmlns:r="http://schemas.openxmlformats.org/officeDocument/2006/relationships" ref="F1902" r:id="rId810"/>
    <hyperlink xmlns:r="http://schemas.openxmlformats.org/officeDocument/2006/relationships" ref="F1903" r:id="rId811"/>
    <hyperlink xmlns:r="http://schemas.openxmlformats.org/officeDocument/2006/relationships" ref="F1904" r:id="rId812"/>
    <hyperlink xmlns:r="http://schemas.openxmlformats.org/officeDocument/2006/relationships" ref="F1905" r:id="rId813"/>
    <hyperlink xmlns:r="http://schemas.openxmlformats.org/officeDocument/2006/relationships" ref="F1906" r:id="rId814"/>
    <hyperlink xmlns:r="http://schemas.openxmlformats.org/officeDocument/2006/relationships" ref="F1907" r:id="rId815"/>
    <hyperlink xmlns:r="http://schemas.openxmlformats.org/officeDocument/2006/relationships" ref="F1908" r:id="rId816"/>
    <hyperlink xmlns:r="http://schemas.openxmlformats.org/officeDocument/2006/relationships" ref="F1909" r:id="rId817"/>
    <hyperlink xmlns:r="http://schemas.openxmlformats.org/officeDocument/2006/relationships" ref="F1910" r:id="rId818"/>
    <hyperlink xmlns:r="http://schemas.openxmlformats.org/officeDocument/2006/relationships" ref="F1911" r:id="rId819"/>
    <hyperlink xmlns:r="http://schemas.openxmlformats.org/officeDocument/2006/relationships" ref="F1912" r:id="rId820"/>
    <hyperlink xmlns:r="http://schemas.openxmlformats.org/officeDocument/2006/relationships" ref="F1913" r:id="rId821"/>
    <hyperlink xmlns:r="http://schemas.openxmlformats.org/officeDocument/2006/relationships" ref="F1914" r:id="rId822"/>
    <hyperlink xmlns:r="http://schemas.openxmlformats.org/officeDocument/2006/relationships" ref="F1915" r:id="rId823"/>
    <hyperlink xmlns:r="http://schemas.openxmlformats.org/officeDocument/2006/relationships" ref="F1916" r:id="rId824"/>
    <hyperlink xmlns:r="http://schemas.openxmlformats.org/officeDocument/2006/relationships" ref="F1917" r:id="rId8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3" customWidth="1" min="3" max="3"/>
    <col width="9" customWidth="1" min="4" max="4"/>
    <col width="40" customWidth="1" min="5" max="5"/>
    <col width="34" customWidth="1" min="6" max="6"/>
    <col width="14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9" customWidth="1" min="13" max="13"/>
    <col width="10" customWidth="1" min="14" max="14"/>
    <col width="26" customWidth="1" min="15" max="15"/>
  </cols>
  <sheetData>
    <row r="1" ht="32" customHeight="1">
      <c r="A1" s="10" t="inlineStr">
        <is>
          <t>원명</t>
        </is>
      </c>
      <c r="B1" s="10" t="inlineStr">
        <is>
          <t>구분</t>
        </is>
      </c>
      <c r="C1" s="10" t="inlineStr">
        <is>
          <t>설립유형</t>
        </is>
      </c>
      <c r="D1" s="10" t="inlineStr">
        <is>
          <t>구/군</t>
        </is>
      </c>
      <c r="E1" s="10" t="inlineStr">
        <is>
          <t>주소</t>
        </is>
      </c>
      <c r="F1" s="10" t="inlineStr">
        <is>
          <t>공식 홈페이지</t>
        </is>
      </c>
      <c r="G1" s="10" t="inlineStr">
        <is>
          <t>전화번호</t>
        </is>
      </c>
      <c r="H1" s="10" t="inlineStr">
        <is>
          <t>정원</t>
        </is>
      </c>
      <c r="I1" s="13" t="inlineStr">
        <is>
          <t>만3세</t>
        </is>
      </c>
      <c r="J1" s="13" t="inlineStr">
        <is>
          <t>만4세</t>
        </is>
      </c>
      <c r="K1" s="13" t="inlineStr">
        <is>
          <t>만5세</t>
        </is>
      </c>
      <c r="L1" s="13" t="inlineStr">
        <is>
          <t>연령혼합반</t>
        </is>
      </c>
      <c r="M1" s="13" t="inlineStr">
        <is>
          <t>특수학급</t>
        </is>
      </c>
      <c r="N1" s="10" t="inlineStr">
        <is>
          <t>현원 합계</t>
        </is>
      </c>
      <c r="O1" s="10" t="inlineStr">
        <is>
          <t>비고</t>
        </is>
      </c>
    </row>
    <row r="2">
      <c r="A2" t="inlineStr">
        <is>
          <t>가락초등학교병설유치원</t>
        </is>
      </c>
      <c r="B2" t="inlineStr">
        <is>
          <t>유치원</t>
        </is>
      </c>
      <c r="C2" t="inlineStr">
        <is>
          <t>공립(병설)</t>
        </is>
      </c>
      <c r="D2" t="inlineStr">
        <is>
          <t>강서구</t>
        </is>
      </c>
      <c r="E2" t="inlineStr">
        <is>
          <t>부산광역시 강서구 호계로 41</t>
        </is>
      </c>
      <c r="F2" s="11" t="inlineStr">
        <is>
          <t>http://school.busanedu.net/garak-k/main.do</t>
        </is>
      </c>
      <c r="G2" t="inlineStr">
        <is>
          <t>051-971-8930</t>
        </is>
      </c>
      <c r="N2" s="14">
        <f>IF(COUNT(I2:M2)=0,"",SUM(I2:M2))</f>
        <v/>
      </c>
      <c r="O2" t="inlineStr">
        <is>
          <t>연령별 현원 미공시(휴원·신설 등)</t>
        </is>
      </c>
    </row>
    <row r="3">
      <c r="A3" t="inlineStr">
        <is>
          <t>강서유치원</t>
        </is>
      </c>
      <c r="B3" t="inlineStr">
        <is>
          <t>유치원</t>
        </is>
      </c>
      <c r="C3" t="inlineStr">
        <is>
          <t>공립(단설)</t>
        </is>
      </c>
      <c r="D3" t="inlineStr">
        <is>
          <t>강서구</t>
        </is>
      </c>
      <c r="E3" t="inlineStr">
        <is>
          <t>부산광역시 강서구 에코델타4로 93</t>
        </is>
      </c>
      <c r="F3" s="11" t="inlineStr">
        <is>
          <t>https://school.busanedu.net/gangseo-k</t>
        </is>
      </c>
      <c r="G3" t="inlineStr">
        <is>
          <t>051-911-2004</t>
        </is>
      </c>
      <c r="H3" s="15" t="n">
        <v>273</v>
      </c>
      <c r="I3" s="15" t="n">
        <v>98</v>
      </c>
      <c r="J3" s="15" t="n">
        <v>94</v>
      </c>
      <c r="K3" s="15" t="n">
        <v>81</v>
      </c>
      <c r="L3" s="15" t="n">
        <v>0</v>
      </c>
      <c r="M3" s="15" t="n">
        <v>1</v>
      </c>
      <c r="N3" s="14">
        <f>IF(COUNT(I3:M3)=0,"",SUM(I3:M3))</f>
        <v/>
      </c>
      <c r="O3" t="inlineStr"/>
    </row>
    <row r="4">
      <c r="A4" t="inlineStr">
        <is>
          <t>기린유치원</t>
        </is>
      </c>
      <c r="B4" t="inlineStr">
        <is>
          <t>유치원</t>
        </is>
      </c>
      <c r="C4" t="inlineStr">
        <is>
          <t>사립(사인)</t>
        </is>
      </c>
      <c r="D4" t="inlineStr">
        <is>
          <t>강서구</t>
        </is>
      </c>
      <c r="E4" t="inlineStr">
        <is>
          <t>부산광역시 강서구 과학산단로334번다길 59</t>
        </is>
      </c>
      <c r="F4" s="11" t="inlineStr">
        <is>
          <t>https://school.busanedu.net/girin-k/</t>
        </is>
      </c>
      <c r="G4" t="inlineStr">
        <is>
          <t>051-941-7741</t>
        </is>
      </c>
      <c r="H4" s="15" t="n">
        <v>231</v>
      </c>
      <c r="I4" s="15" t="n">
        <v>26</v>
      </c>
      <c r="J4" s="15" t="n">
        <v>13</v>
      </c>
      <c r="K4" s="15" t="n">
        <v>26</v>
      </c>
      <c r="L4" s="15" t="n">
        <v>12</v>
      </c>
      <c r="M4" s="15" t="n">
        <v>0</v>
      </c>
      <c r="N4" s="14">
        <f>IF(COUNT(I4:M4)=0,"",SUM(I4:M4))</f>
        <v/>
      </c>
      <c r="O4" t="inlineStr"/>
    </row>
    <row r="5">
      <c r="A5" t="inlineStr">
        <is>
          <t>남명유치원</t>
        </is>
      </c>
      <c r="B5" t="inlineStr">
        <is>
          <t>유치원</t>
        </is>
      </c>
      <c r="C5" t="inlineStr">
        <is>
          <t>공립(단설)</t>
        </is>
      </c>
      <c r="D5" t="inlineStr">
        <is>
          <t>강서구</t>
        </is>
      </c>
      <c r="E5" t="inlineStr">
        <is>
          <t>부산광역시 강서구 명지오션시티11로 132</t>
        </is>
      </c>
      <c r="F5" s="11" t="inlineStr">
        <is>
          <t>http://school.busanedu.net/nammyeong-k</t>
        </is>
      </c>
      <c r="G5" t="inlineStr">
        <is>
          <t>051-271-7667</t>
        </is>
      </c>
      <c r="H5" s="15" t="n">
        <v>106</v>
      </c>
      <c r="I5" s="15" t="n">
        <v>27</v>
      </c>
      <c r="J5" s="15" t="n">
        <v>37</v>
      </c>
      <c r="K5" s="15" t="n">
        <v>25</v>
      </c>
      <c r="L5" s="15" t="n">
        <v>0</v>
      </c>
      <c r="M5" s="15" t="n">
        <v>2</v>
      </c>
      <c r="N5" s="14">
        <f>IF(COUNT(I5:M5)=0,"",SUM(I5:M5))</f>
        <v/>
      </c>
      <c r="O5" t="inlineStr"/>
    </row>
    <row r="6">
      <c r="A6" t="inlineStr">
        <is>
          <t>녹산유치원</t>
        </is>
      </c>
      <c r="B6" t="inlineStr">
        <is>
          <t>유치원</t>
        </is>
      </c>
      <c r="C6" t="inlineStr">
        <is>
          <t>공립(단설)</t>
        </is>
      </c>
      <c r="D6" t="inlineStr">
        <is>
          <t>강서구</t>
        </is>
      </c>
      <c r="E6" t="inlineStr">
        <is>
          <t>부산광역시 강서구 과학산단2로20번길 55</t>
        </is>
      </c>
      <c r="F6" s="11" t="inlineStr">
        <is>
          <t>http://school.busanedu.net/noksan-k/</t>
        </is>
      </c>
      <c r="G6" t="inlineStr">
        <is>
          <t>051-790-2100</t>
        </is>
      </c>
      <c r="H6" s="15" t="n">
        <v>126</v>
      </c>
      <c r="I6" s="15" t="n">
        <v>23</v>
      </c>
      <c r="J6" s="15" t="n">
        <v>36</v>
      </c>
      <c r="K6" s="15" t="n">
        <v>49</v>
      </c>
      <c r="L6" s="15" t="n">
        <v>0</v>
      </c>
      <c r="M6" s="15" t="n">
        <v>2</v>
      </c>
      <c r="N6" s="14">
        <f>IF(COUNT(I6:M6)=0,"",SUM(I6:M6))</f>
        <v/>
      </c>
      <c r="O6" t="inlineStr"/>
    </row>
    <row r="7">
      <c r="A7" t="inlineStr">
        <is>
          <t>대저유치원</t>
        </is>
      </c>
      <c r="B7" t="inlineStr">
        <is>
          <t>유치원</t>
        </is>
      </c>
      <c r="C7" t="inlineStr">
        <is>
          <t>사립(사인)</t>
        </is>
      </c>
      <c r="D7" t="inlineStr">
        <is>
          <t>강서구</t>
        </is>
      </c>
      <c r="E7" t="inlineStr">
        <is>
          <t>부산광역시 강서구 공항로767번나길 7</t>
        </is>
      </c>
      <c r="F7" s="11" t="inlineStr">
        <is>
          <t>https://school.busanedu.net/Daejeo-k</t>
        </is>
      </c>
      <c r="G7" t="inlineStr">
        <is>
          <t>051-973-4026</t>
        </is>
      </c>
      <c r="H7" s="15" t="n">
        <v>155</v>
      </c>
      <c r="I7" s="15" t="n">
        <v>32</v>
      </c>
      <c r="J7" s="15" t="n">
        <v>22</v>
      </c>
      <c r="K7" s="15" t="n">
        <v>32</v>
      </c>
      <c r="L7" s="15" t="n">
        <v>20</v>
      </c>
      <c r="M7" s="15" t="n">
        <v>0</v>
      </c>
      <c r="N7" s="14">
        <f>IF(COUNT(I7:M7)=0,"",SUM(I7:M7))</f>
        <v/>
      </c>
      <c r="O7" t="inlineStr"/>
    </row>
    <row r="8">
      <c r="A8" t="inlineStr">
        <is>
          <t>명원초등학교병설유치원</t>
        </is>
      </c>
      <c r="B8" t="inlineStr">
        <is>
          <t>유치원</t>
        </is>
      </c>
      <c r="C8" t="inlineStr">
        <is>
          <t>공립(병설)</t>
        </is>
      </c>
      <c r="D8" t="inlineStr">
        <is>
          <t>강서구</t>
        </is>
      </c>
      <c r="E8" t="inlineStr">
        <is>
          <t>부산광역시 강서구 명지국제6로 147</t>
        </is>
      </c>
      <c r="F8" s="11" t="inlineStr">
        <is>
          <t>http://school.busanedu.net/myoungwon-k</t>
        </is>
      </c>
      <c r="G8" t="inlineStr">
        <is>
          <t>051-250-3400</t>
        </is>
      </c>
      <c r="H8" s="15" t="n">
        <v>72</v>
      </c>
      <c r="I8" s="15" t="n">
        <v>14</v>
      </c>
      <c r="J8" s="15" t="n">
        <v>24</v>
      </c>
      <c r="K8" s="15" t="n">
        <v>20</v>
      </c>
      <c r="L8" s="15" t="n">
        <v>0</v>
      </c>
      <c r="M8" s="15" t="n">
        <v>0</v>
      </c>
      <c r="N8" s="14">
        <f>IF(COUNT(I8:M8)=0,"",SUM(I8:M8))</f>
        <v/>
      </c>
      <c r="O8" t="inlineStr"/>
    </row>
    <row r="9">
      <c r="A9" t="inlineStr">
        <is>
          <t>명일유치원</t>
        </is>
      </c>
      <c r="B9" t="inlineStr">
        <is>
          <t>유치원</t>
        </is>
      </c>
      <c r="C9" t="inlineStr">
        <is>
          <t>공립(단설)</t>
        </is>
      </c>
      <c r="D9" t="inlineStr">
        <is>
          <t>강서구</t>
        </is>
      </c>
      <c r="E9" t="inlineStr">
        <is>
          <t>부산광역시 강서구 명지국제5로 170-5</t>
        </is>
      </c>
      <c r="F9" s="11" t="inlineStr">
        <is>
          <t>https://school.busanedu.net/myeong1-k</t>
        </is>
      </c>
      <c r="G9" t="inlineStr">
        <is>
          <t>051-290-3400</t>
        </is>
      </c>
      <c r="H9" s="15" t="n">
        <v>106</v>
      </c>
      <c r="I9" s="15" t="n">
        <v>27</v>
      </c>
      <c r="J9" s="15" t="n">
        <v>31</v>
      </c>
      <c r="K9" s="15" t="n">
        <v>38</v>
      </c>
      <c r="L9" s="15" t="n">
        <v>0</v>
      </c>
      <c r="M9" s="15" t="n">
        <v>4</v>
      </c>
      <c r="N9" s="14">
        <f>IF(COUNT(I9:M9)=0,"",SUM(I9:M9))</f>
        <v/>
      </c>
      <c r="O9" t="inlineStr"/>
    </row>
    <row r="10">
      <c r="A10" t="inlineStr">
        <is>
          <t>명지가온유치원</t>
        </is>
      </c>
      <c r="B10" t="inlineStr">
        <is>
          <t>유치원</t>
        </is>
      </c>
      <c r="C10" t="inlineStr">
        <is>
          <t>공립(단설)</t>
        </is>
      </c>
      <c r="D10" t="inlineStr">
        <is>
          <t>강서구</t>
        </is>
      </c>
      <c r="E10" t="inlineStr">
        <is>
          <t>부산광역시 강서구 명지오션시티6로 69</t>
        </is>
      </c>
      <c r="F10" s="11" t="inlineStr">
        <is>
          <t>https://school.busanedu.net/myeongjigaon-k/main.do</t>
        </is>
      </c>
      <c r="G10" t="inlineStr">
        <is>
          <t>051-609-1500</t>
        </is>
      </c>
      <c r="H10" s="15" t="n">
        <v>371</v>
      </c>
      <c r="I10" s="15" t="n">
        <v>98</v>
      </c>
      <c r="J10" s="15" t="n">
        <v>127</v>
      </c>
      <c r="K10" s="15" t="n">
        <v>134</v>
      </c>
      <c r="L10" s="15" t="n">
        <v>0</v>
      </c>
      <c r="M10" s="15" t="n">
        <v>9</v>
      </c>
      <c r="N10" s="14">
        <f>IF(COUNT(I10:M10)=0,"",SUM(I10:M10))</f>
        <v/>
      </c>
      <c r="O10" t="inlineStr"/>
    </row>
    <row r="11">
      <c r="A11" t="inlineStr">
        <is>
          <t>명지국제유치원</t>
        </is>
      </c>
      <c r="B11" t="inlineStr">
        <is>
          <t>유치원</t>
        </is>
      </c>
      <c r="C11" t="inlineStr">
        <is>
          <t>사립(사인)</t>
        </is>
      </c>
      <c r="D11" t="inlineStr">
        <is>
          <t>강서구</t>
        </is>
      </c>
      <c r="E11" t="inlineStr">
        <is>
          <t>부산광역시 강서구 명지국제7로 186</t>
        </is>
      </c>
      <c r="F11" t="inlineStr"/>
      <c r="G11" t="inlineStr">
        <is>
          <t>051-293-7722</t>
        </is>
      </c>
      <c r="H11" s="15" t="n">
        <v>496</v>
      </c>
      <c r="I11" s="15" t="n">
        <v>48</v>
      </c>
      <c r="J11" s="15" t="n">
        <v>162</v>
      </c>
      <c r="K11" s="15" t="n">
        <v>77</v>
      </c>
      <c r="L11" s="15" t="n">
        <v>162</v>
      </c>
      <c r="M11" s="15" t="n">
        <v>0</v>
      </c>
      <c r="N11" s="14">
        <f>IF(COUNT(I11:M11)=0,"",SUM(I11:M11))</f>
        <v/>
      </c>
      <c r="O11" t="inlineStr"/>
    </row>
    <row r="12">
      <c r="A12" t="inlineStr">
        <is>
          <t>명지꿈자람유치원</t>
        </is>
      </c>
      <c r="B12" t="inlineStr">
        <is>
          <t>유치원</t>
        </is>
      </c>
      <c r="C12" t="inlineStr">
        <is>
          <t>공립(단설)</t>
        </is>
      </c>
      <c r="D12" t="inlineStr">
        <is>
          <t>강서구</t>
        </is>
      </c>
      <c r="E12" t="inlineStr">
        <is>
          <t>부산광역시 강서구 명지국제8로 199</t>
        </is>
      </c>
      <c r="F12" s="11" t="inlineStr">
        <is>
          <t>https://school.busanedu.net/myungjidream-k/main.do</t>
        </is>
      </c>
      <c r="G12" t="inlineStr">
        <is>
          <t>051-609-1900</t>
        </is>
      </c>
      <c r="H12" s="15" t="n">
        <v>212</v>
      </c>
      <c r="I12" s="15" t="n">
        <v>56</v>
      </c>
      <c r="J12" s="15" t="n">
        <v>76</v>
      </c>
      <c r="K12" s="15" t="n">
        <v>79</v>
      </c>
      <c r="L12" s="15" t="n">
        <v>0</v>
      </c>
      <c r="M12" s="15" t="n">
        <v>0</v>
      </c>
      <c r="N12" s="14">
        <f>IF(COUNT(I12:M12)=0,"",SUM(I12:M12))</f>
        <v/>
      </c>
      <c r="O12" t="inlineStr"/>
    </row>
    <row r="13">
      <c r="A13" t="inlineStr">
        <is>
          <t>명지배화유치원</t>
        </is>
      </c>
      <c r="B13" t="inlineStr">
        <is>
          <t>유치원</t>
        </is>
      </c>
      <c r="C13" t="inlineStr">
        <is>
          <t>사립(사인)</t>
        </is>
      </c>
      <c r="D13" t="inlineStr">
        <is>
          <t>강서구</t>
        </is>
      </c>
      <c r="E13" t="inlineStr">
        <is>
          <t>부산광역시 강서구 영강길 165</t>
        </is>
      </c>
      <c r="F13" s="11" t="inlineStr">
        <is>
          <t>https://school.busanedu.net/mjbaewha-k</t>
        </is>
      </c>
      <c r="G13" t="inlineStr">
        <is>
          <t>051-714-1902</t>
        </is>
      </c>
      <c r="H13" s="15" t="n">
        <v>306</v>
      </c>
      <c r="I13" s="15" t="n">
        <v>64</v>
      </c>
      <c r="J13" s="15" t="n">
        <v>96</v>
      </c>
      <c r="K13" s="15" t="n">
        <v>104</v>
      </c>
      <c r="L13" s="15" t="n">
        <v>0</v>
      </c>
      <c r="M13" s="15" t="n">
        <v>0</v>
      </c>
      <c r="N13" s="14">
        <f>IF(COUNT(I13:M13)=0,"",SUM(I13:M13))</f>
        <v/>
      </c>
      <c r="O13" t="inlineStr"/>
    </row>
    <row r="14">
      <c r="A14" t="inlineStr">
        <is>
          <t>명지센텀유치원</t>
        </is>
      </c>
      <c r="B14" t="inlineStr">
        <is>
          <t>유치원</t>
        </is>
      </c>
      <c r="C14" t="inlineStr">
        <is>
          <t>사립(사인)</t>
        </is>
      </c>
      <c r="D14" t="inlineStr">
        <is>
          <t>강서구</t>
        </is>
      </c>
      <c r="E14" t="inlineStr">
        <is>
          <t>부산광역시 강서구 명지오션시티9로 53</t>
        </is>
      </c>
      <c r="F14" t="inlineStr"/>
      <c r="G14" t="inlineStr">
        <is>
          <t>051-714-2000</t>
        </is>
      </c>
      <c r="H14" s="15" t="n">
        <v>318</v>
      </c>
      <c r="I14" s="15" t="n">
        <v>0</v>
      </c>
      <c r="J14" s="15" t="n">
        <v>0</v>
      </c>
      <c r="K14" s="15" t="n">
        <v>0</v>
      </c>
      <c r="L14" s="15" t="n">
        <v>314</v>
      </c>
      <c r="M14" s="15" t="n">
        <v>0</v>
      </c>
      <c r="N14" s="14">
        <f>IF(COUNT(I14:M14)=0,"",SUM(I14:M14))</f>
        <v/>
      </c>
      <c r="O14" t="inlineStr"/>
    </row>
    <row r="15">
      <c r="A15" t="inlineStr">
        <is>
          <t>명지유치원</t>
        </is>
      </c>
      <c r="B15" t="inlineStr">
        <is>
          <t>유치원</t>
        </is>
      </c>
      <c r="C15" t="inlineStr">
        <is>
          <t>공립(단설)</t>
        </is>
      </c>
      <c r="D15" t="inlineStr">
        <is>
          <t>강서구</t>
        </is>
      </c>
      <c r="E15" t="inlineStr">
        <is>
          <t>부산광역시 강서구 명지국제6로 296</t>
        </is>
      </c>
      <c r="F15" s="11" t="inlineStr">
        <is>
          <t>http://school.busanedu.net/myungji-k/main.do</t>
        </is>
      </c>
      <c r="G15" t="inlineStr">
        <is>
          <t>051-203-4890</t>
        </is>
      </c>
      <c r="H15" s="15" t="n">
        <v>87</v>
      </c>
      <c r="I15" s="15" t="n">
        <v>28</v>
      </c>
      <c r="J15" s="15" t="n">
        <v>18</v>
      </c>
      <c r="K15" s="15" t="n">
        <v>38</v>
      </c>
      <c r="L15" s="15" t="n">
        <v>0</v>
      </c>
      <c r="M15" s="15" t="n">
        <v>3</v>
      </c>
      <c r="N15" s="14">
        <f>IF(COUNT(I15:M15)=0,"",SUM(I15:M15))</f>
        <v/>
      </c>
      <c r="O15" t="inlineStr"/>
    </row>
    <row r="16">
      <c r="A16" t="inlineStr">
        <is>
          <t>명지자연유치원</t>
        </is>
      </c>
      <c r="B16" t="inlineStr">
        <is>
          <t>유치원</t>
        </is>
      </c>
      <c r="C16" t="inlineStr">
        <is>
          <t>사립(사인)</t>
        </is>
      </c>
      <c r="D16" t="inlineStr">
        <is>
          <t>강서구</t>
        </is>
      </c>
      <c r="E16" t="inlineStr">
        <is>
          <t>부산광역시 강서구 신호산단1로140번길 16-3</t>
        </is>
      </c>
      <c r="F16" t="inlineStr"/>
      <c r="G16" t="inlineStr">
        <is>
          <t>051-893-6677</t>
        </is>
      </c>
      <c r="H16" s="15" t="n">
        <v>568</v>
      </c>
      <c r="I16" s="15" t="n">
        <v>48</v>
      </c>
      <c r="J16" s="15" t="n">
        <v>58</v>
      </c>
      <c r="K16" s="15" t="n">
        <v>76</v>
      </c>
      <c r="L16" s="15" t="n">
        <v>0</v>
      </c>
      <c r="M16" s="15" t="n">
        <v>0</v>
      </c>
      <c r="N16" s="14">
        <f>IF(COUNT(I16:M16)=0,"",SUM(I16:M16))</f>
        <v/>
      </c>
      <c r="O16" t="inlineStr"/>
    </row>
    <row r="17">
      <c r="A17" t="inlineStr">
        <is>
          <t>명호초등학교병설유치원</t>
        </is>
      </c>
      <c r="B17" t="inlineStr">
        <is>
          <t>유치원</t>
        </is>
      </c>
      <c r="C17" t="inlineStr">
        <is>
          <t>공립(병설)</t>
        </is>
      </c>
      <c r="D17" t="inlineStr">
        <is>
          <t>강서구</t>
        </is>
      </c>
      <c r="E17" t="inlineStr">
        <is>
          <t>부산광역시 강서구 명지오션시티2로 41</t>
        </is>
      </c>
      <c r="F17" s="11" t="inlineStr">
        <is>
          <t>http://school.busanedu.net/myungho-k/main.do</t>
        </is>
      </c>
      <c r="G17" t="inlineStr">
        <is>
          <t>051-220-1190</t>
        </is>
      </c>
      <c r="H17" s="15" t="n">
        <v>37</v>
      </c>
      <c r="I17" s="15" t="n">
        <v>0</v>
      </c>
      <c r="J17" s="15" t="n">
        <v>0</v>
      </c>
      <c r="K17" s="15" t="n">
        <v>13</v>
      </c>
      <c r="L17" s="15" t="n">
        <v>10</v>
      </c>
      <c r="M17" s="15" t="n">
        <v>0</v>
      </c>
      <c r="N17" s="14">
        <f>IF(COUNT(I17:M17)=0,"",SUM(I17:M17))</f>
        <v/>
      </c>
      <c r="O17" t="inlineStr"/>
    </row>
    <row r="18">
      <c r="A18" t="inlineStr">
        <is>
          <t>보광유치원</t>
        </is>
      </c>
      <c r="B18" t="inlineStr">
        <is>
          <t>유치원</t>
        </is>
      </c>
      <c r="C18" t="inlineStr">
        <is>
          <t>사립(사인)</t>
        </is>
      </c>
      <c r="D18" t="inlineStr">
        <is>
          <t>강서구</t>
        </is>
      </c>
      <c r="E18" t="inlineStr">
        <is>
          <t>부산광역시 강서구 공항진입로 28</t>
        </is>
      </c>
      <c r="F18" s="11" t="inlineStr">
        <is>
          <t>http://school.busanedu.net/BoGwang-k</t>
        </is>
      </c>
      <c r="G18" t="inlineStr">
        <is>
          <t>0519732242</t>
        </is>
      </c>
      <c r="H18" s="15" t="n">
        <v>242</v>
      </c>
      <c r="I18" s="15" t="n">
        <v>48</v>
      </c>
      <c r="J18" s="15" t="n">
        <v>60</v>
      </c>
      <c r="K18" s="15" t="n">
        <v>63</v>
      </c>
      <c r="L18" s="15" t="n">
        <v>22</v>
      </c>
      <c r="M18" s="15" t="n">
        <v>0</v>
      </c>
      <c r="N18" s="14">
        <f>IF(COUNT(I18:M18)=0,"",SUM(I18:M18))</f>
        <v/>
      </c>
      <c r="O18" t="inlineStr"/>
    </row>
    <row r="19">
      <c r="A19" t="inlineStr">
        <is>
          <t>새결유치원</t>
        </is>
      </c>
      <c r="B19" t="inlineStr">
        <is>
          <t>유치원</t>
        </is>
      </c>
      <c r="C19" t="inlineStr">
        <is>
          <t>공립(단설)</t>
        </is>
      </c>
      <c r="D19" t="inlineStr">
        <is>
          <t>강서구</t>
        </is>
      </c>
      <c r="E19" t="inlineStr">
        <is>
          <t>부산광역시 강서구 에코평강길 91</t>
        </is>
      </c>
      <c r="F19" s="11" t="inlineStr">
        <is>
          <t>https://school.busanedu.net/saegyeol-k/main.do</t>
        </is>
      </c>
      <c r="G19" t="inlineStr">
        <is>
          <t>051-832-0175</t>
        </is>
      </c>
      <c r="H19" s="15" t="n">
        <v>116</v>
      </c>
      <c r="I19" s="15" t="n">
        <v>30</v>
      </c>
      <c r="J19" s="15" t="n">
        <v>30</v>
      </c>
      <c r="K19" s="15" t="n">
        <v>26</v>
      </c>
      <c r="L19" s="15" t="n">
        <v>0</v>
      </c>
      <c r="M19" s="15" t="n">
        <v>11</v>
      </c>
      <c r="N19" s="14">
        <f>IF(COUNT(I19:M19)=0,"",SUM(I19:M19))</f>
        <v/>
      </c>
      <c r="O19" t="inlineStr"/>
    </row>
    <row r="20">
      <c r="A20" t="inlineStr">
        <is>
          <t>송정유치원</t>
        </is>
      </c>
      <c r="B20" t="inlineStr">
        <is>
          <t>유치원</t>
        </is>
      </c>
      <c r="C20" t="inlineStr">
        <is>
          <t>공립(단설)</t>
        </is>
      </c>
      <c r="D20" t="inlineStr">
        <is>
          <t>강서구</t>
        </is>
      </c>
      <c r="E20" t="inlineStr">
        <is>
          <t>부산광역시 강서구 신호사로 10</t>
        </is>
      </c>
      <c r="F20" s="11" t="inlineStr">
        <is>
          <t>http://school.busanedu.net/sjkids-k</t>
        </is>
      </c>
      <c r="G20" t="inlineStr">
        <is>
          <t>051-832-1390</t>
        </is>
      </c>
      <c r="H20" s="15" t="n">
        <v>106</v>
      </c>
      <c r="I20" s="15" t="n">
        <v>18</v>
      </c>
      <c r="J20" s="15" t="n">
        <v>29</v>
      </c>
      <c r="K20" s="15" t="n">
        <v>27</v>
      </c>
      <c r="L20" s="15" t="n">
        <v>0</v>
      </c>
      <c r="M20" s="15" t="n">
        <v>4</v>
      </c>
      <c r="N20" s="14">
        <f>IF(COUNT(I20:M20)=0,"",SUM(I20:M20))</f>
        <v/>
      </c>
      <c r="O20" t="inlineStr"/>
    </row>
    <row r="21">
      <c r="A21" t="inlineStr">
        <is>
          <t>신명유치원</t>
        </is>
      </c>
      <c r="B21" t="inlineStr">
        <is>
          <t>유치원</t>
        </is>
      </c>
      <c r="C21" t="inlineStr">
        <is>
          <t>공립(단설)</t>
        </is>
      </c>
      <c r="D21" t="inlineStr">
        <is>
          <t>강서구</t>
        </is>
      </c>
      <c r="E21" t="inlineStr">
        <is>
          <t>부산광역시 강서구 명지국제7로 178</t>
        </is>
      </c>
      <c r="F21" s="11" t="inlineStr">
        <is>
          <t>http://school.busanedu.net/smkids-k/main.do</t>
        </is>
      </c>
      <c r="G21" t="inlineStr">
        <is>
          <t>051-293-6622</t>
        </is>
      </c>
      <c r="H21" s="15" t="n">
        <v>86</v>
      </c>
      <c r="I21" s="15" t="n">
        <v>28</v>
      </c>
      <c r="J21" s="15" t="n">
        <v>34</v>
      </c>
      <c r="K21" s="15" t="n">
        <v>17</v>
      </c>
      <c r="L21" s="15" t="n">
        <v>0</v>
      </c>
      <c r="M21" s="15" t="n">
        <v>4</v>
      </c>
      <c r="N21" s="14">
        <f>IF(COUNT(I21:M21)=0,"",SUM(I21:M21))</f>
        <v/>
      </c>
      <c r="O21" t="inlineStr"/>
    </row>
    <row r="22">
      <c r="A22" t="inlineStr">
        <is>
          <t>신호초등학교병설유치원</t>
        </is>
      </c>
      <c r="B22" t="inlineStr">
        <is>
          <t>유치원</t>
        </is>
      </c>
      <c r="C22" t="inlineStr">
        <is>
          <t>공립(병설)</t>
        </is>
      </c>
      <c r="D22" t="inlineStr">
        <is>
          <t>강서구</t>
        </is>
      </c>
      <c r="E22" t="inlineStr">
        <is>
          <t>부산광역시 강서구 신호이로75번길 12</t>
        </is>
      </c>
      <c r="F22" s="11" t="inlineStr">
        <is>
          <t>http://school.busanedu.net/shinho-k/main.do</t>
        </is>
      </c>
      <c r="G22" t="inlineStr">
        <is>
          <t>051-974-6870</t>
        </is>
      </c>
      <c r="H22" s="15" t="n">
        <v>37</v>
      </c>
      <c r="I22" s="15" t="n">
        <v>0</v>
      </c>
      <c r="J22" s="15" t="n">
        <v>0</v>
      </c>
      <c r="K22" s="15" t="n">
        <v>8</v>
      </c>
      <c r="L22" s="15" t="n">
        <v>9</v>
      </c>
      <c r="M22" s="15" t="n">
        <v>0</v>
      </c>
      <c r="N22" s="14">
        <f>IF(COUNT(I22:M22)=0,"",SUM(I22:M22))</f>
        <v/>
      </c>
      <c r="O22" t="inlineStr"/>
    </row>
    <row r="23">
      <c r="A23" t="inlineStr">
        <is>
          <t>여울유치원</t>
        </is>
      </c>
      <c r="B23" t="inlineStr">
        <is>
          <t>유치원</t>
        </is>
      </c>
      <c r="C23" t="inlineStr">
        <is>
          <t>공립(단설)</t>
        </is>
      </c>
      <c r="D23" t="inlineStr">
        <is>
          <t>강서구</t>
        </is>
      </c>
      <c r="E23" t="inlineStr">
        <is>
          <t>부산광역시 강서구 에코델타2로 13</t>
        </is>
      </c>
      <c r="F23" s="11" t="inlineStr">
        <is>
          <t>https://school.busanedu.net/yeoul-k/main.do</t>
        </is>
      </c>
      <c r="G23" t="inlineStr">
        <is>
          <t>051-709-1100</t>
        </is>
      </c>
      <c r="H23" s="15" t="n">
        <v>265</v>
      </c>
      <c r="I23" s="15" t="n">
        <v>70</v>
      </c>
      <c r="J23" s="15" t="n">
        <v>89</v>
      </c>
      <c r="K23" s="15" t="n">
        <v>98</v>
      </c>
      <c r="L23" s="15" t="n">
        <v>0</v>
      </c>
      <c r="M23" s="15" t="n">
        <v>8</v>
      </c>
      <c r="N23" s="14">
        <f>IF(COUNT(I23:M23)=0,"",SUM(I23:M23))</f>
        <v/>
      </c>
      <c r="O23" t="inlineStr"/>
    </row>
    <row r="24">
      <c r="A24" t="inlineStr">
        <is>
          <t>오션유치원</t>
        </is>
      </c>
      <c r="B24" t="inlineStr">
        <is>
          <t>유치원</t>
        </is>
      </c>
      <c r="C24" t="inlineStr">
        <is>
          <t>공립(단설)</t>
        </is>
      </c>
      <c r="D24" t="inlineStr">
        <is>
          <t>강서구</t>
        </is>
      </c>
      <c r="E24" t="inlineStr">
        <is>
          <t>부산광역시 강서구 명지오션시티6로 72</t>
        </is>
      </c>
      <c r="F24" s="11" t="inlineStr">
        <is>
          <t>http://school.busanedu.net/oceankids-k/main.do</t>
        </is>
      </c>
      <c r="G24" t="inlineStr">
        <is>
          <t>051-201-5413</t>
        </is>
      </c>
      <c r="H24" s="15" t="n">
        <v>140</v>
      </c>
      <c r="I24" s="15" t="n">
        <v>39</v>
      </c>
      <c r="J24" s="15" t="n">
        <v>37</v>
      </c>
      <c r="K24" s="15" t="n">
        <v>59</v>
      </c>
      <c r="L24" s="15" t="n">
        <v>0</v>
      </c>
      <c r="M24" s="15" t="n">
        <v>3</v>
      </c>
      <c r="N24" s="14">
        <f>IF(COUNT(I24:M24)=0,"",SUM(I24:M24))</f>
        <v/>
      </c>
      <c r="O24" t="inlineStr"/>
    </row>
    <row r="25">
      <c r="A25" t="inlineStr">
        <is>
          <t>천가초등학교병설유치원</t>
        </is>
      </c>
      <c r="B25" t="inlineStr">
        <is>
          <t>유치원</t>
        </is>
      </c>
      <c r="C25" t="inlineStr">
        <is>
          <t>공립(병설)</t>
        </is>
      </c>
      <c r="D25" t="inlineStr">
        <is>
          <t>강서구</t>
        </is>
      </c>
      <c r="E25" t="inlineStr">
        <is>
          <t>부산광역시 강서구 동선길 135</t>
        </is>
      </c>
      <c r="F25" s="11" t="inlineStr">
        <is>
          <t>https://school.busanedu.net/chunga-k</t>
        </is>
      </c>
      <c r="G25" t="inlineStr">
        <is>
          <t>051-972-7770</t>
        </is>
      </c>
      <c r="H25" s="15" t="n">
        <v>17</v>
      </c>
      <c r="I25" s="15" t="n">
        <v>0</v>
      </c>
      <c r="J25" s="15" t="n">
        <v>0</v>
      </c>
      <c r="K25" s="15" t="n">
        <v>0</v>
      </c>
      <c r="L25" s="15" t="n">
        <v>2</v>
      </c>
      <c r="M25" s="15" t="n">
        <v>0</v>
      </c>
      <c r="N25" s="14">
        <f>IF(COUNT(I25:M25)=0,"",SUM(I25:M25))</f>
        <v/>
      </c>
      <c r="O25" t="inlineStr"/>
    </row>
    <row r="26">
      <c r="A26" t="inlineStr">
        <is>
          <t>구서초등학교병설유치원</t>
        </is>
      </c>
      <c r="B26" t="inlineStr">
        <is>
          <t>유치원</t>
        </is>
      </c>
      <c r="C26" t="inlineStr">
        <is>
          <t>공립(병설)</t>
        </is>
      </c>
      <c r="D26" t="inlineStr">
        <is>
          <t>금정구</t>
        </is>
      </c>
      <c r="E26" t="inlineStr">
        <is>
          <t>부산광역시 금정구 구서중앙로 35</t>
        </is>
      </c>
      <c r="F26" s="11" t="inlineStr">
        <is>
          <t>http://school.busanedu.net/kuseo-k/</t>
        </is>
      </c>
      <c r="G26" t="inlineStr">
        <is>
          <t>051-996-4815</t>
        </is>
      </c>
      <c r="H26" s="15" t="n">
        <v>53</v>
      </c>
      <c r="I26" s="15" t="n">
        <v>4</v>
      </c>
      <c r="J26" s="15" t="n">
        <v>14</v>
      </c>
      <c r="K26" s="15" t="n">
        <v>17</v>
      </c>
      <c r="L26" s="15" t="n">
        <v>0</v>
      </c>
      <c r="M26" s="15" t="n">
        <v>0</v>
      </c>
      <c r="N26" s="14">
        <f>IF(COUNT(I26:M26)=0,"",SUM(I26:M26))</f>
        <v/>
      </c>
      <c r="O26" t="inlineStr"/>
    </row>
    <row r="27">
      <c r="A27" t="inlineStr">
        <is>
          <t>금사초등학교병설유치원</t>
        </is>
      </c>
      <c r="B27" t="inlineStr">
        <is>
          <t>유치원</t>
        </is>
      </c>
      <c r="C27" t="inlineStr">
        <is>
          <t>공립(병설)</t>
        </is>
      </c>
      <c r="D27" t="inlineStr">
        <is>
          <t>금정구</t>
        </is>
      </c>
      <c r="E27" t="inlineStr">
        <is>
          <t>부산광역시 금정구 금사로57번길 24</t>
        </is>
      </c>
      <c r="F27" s="11" t="inlineStr">
        <is>
          <t>http://school.busanedu.net/kumsa-k</t>
        </is>
      </c>
      <c r="G27" t="inlineStr">
        <is>
          <t>051-525-3134</t>
        </is>
      </c>
      <c r="H27" s="15" t="n">
        <v>37</v>
      </c>
      <c r="I27" s="15" t="n">
        <v>0</v>
      </c>
      <c r="J27" s="15" t="n">
        <v>0</v>
      </c>
      <c r="K27" s="15" t="n">
        <v>5</v>
      </c>
      <c r="L27" s="15" t="n">
        <v>11</v>
      </c>
      <c r="M27" s="15" t="n">
        <v>6</v>
      </c>
      <c r="N27" s="14">
        <f>IF(COUNT(I27:M27)=0,"",SUM(I27:M27))</f>
        <v/>
      </c>
      <c r="O27" t="inlineStr"/>
    </row>
    <row r="28">
      <c r="A28" t="inlineStr">
        <is>
          <t>금샘누리유치원</t>
        </is>
      </c>
      <c r="B28" t="inlineStr">
        <is>
          <t>유치원</t>
        </is>
      </c>
      <c r="C28" t="inlineStr">
        <is>
          <t>공립(단설)</t>
        </is>
      </c>
      <c r="D28" t="inlineStr">
        <is>
          <t>금정구</t>
        </is>
      </c>
      <c r="E28" t="inlineStr">
        <is>
          <t>부산광역시 금정구 금샘로 525</t>
        </is>
      </c>
      <c r="F28" s="11" t="inlineStr">
        <is>
          <t>https://school.busanedu.net/geumsaem-k</t>
        </is>
      </c>
      <c r="G28" t="inlineStr">
        <is>
          <t>051-968-9300</t>
        </is>
      </c>
      <c r="H28" s="15" t="n">
        <v>92</v>
      </c>
      <c r="I28" s="15" t="n">
        <v>11</v>
      </c>
      <c r="J28" s="15" t="n">
        <v>27</v>
      </c>
      <c r="K28" s="15" t="n">
        <v>25</v>
      </c>
      <c r="L28" s="15" t="n">
        <v>0</v>
      </c>
      <c r="M28" s="15" t="n">
        <v>7</v>
      </c>
      <c r="N28" s="14">
        <f>IF(COUNT(I28:M28)=0,"",SUM(I28:M28))</f>
        <v/>
      </c>
      <c r="O28" t="inlineStr"/>
    </row>
    <row r="29">
      <c r="A29" t="inlineStr">
        <is>
          <t>금정유치원</t>
        </is>
      </c>
      <c r="B29" t="inlineStr">
        <is>
          <t>유치원</t>
        </is>
      </c>
      <c r="C29" t="inlineStr">
        <is>
          <t>공립(단설)</t>
        </is>
      </c>
      <c r="D29" t="inlineStr">
        <is>
          <t>금정구</t>
        </is>
      </c>
      <c r="E29" t="inlineStr">
        <is>
          <t>부산광역시 금정구 식물원로44번길 46</t>
        </is>
      </c>
      <c r="F29" s="11" t="inlineStr">
        <is>
          <t>http://school.busanedu.net/guemjung-k</t>
        </is>
      </c>
      <c r="G29" t="inlineStr">
        <is>
          <t>051-581-5488</t>
        </is>
      </c>
      <c r="H29" s="15" t="n">
        <v>126</v>
      </c>
      <c r="I29" s="15" t="n">
        <v>28</v>
      </c>
      <c r="J29" s="15" t="n">
        <v>36</v>
      </c>
      <c r="K29" s="15" t="n">
        <v>54</v>
      </c>
      <c r="L29" s="15" t="n">
        <v>0</v>
      </c>
      <c r="M29" s="15" t="n">
        <v>4</v>
      </c>
      <c r="N29" s="14">
        <f>IF(COUNT(I29:M29)=0,"",SUM(I29:M29))</f>
        <v/>
      </c>
      <c r="O29" t="inlineStr"/>
    </row>
    <row r="30">
      <c r="A30" t="inlineStr">
        <is>
          <t>꾸미랑유치원</t>
        </is>
      </c>
      <c r="B30" t="inlineStr">
        <is>
          <t>유치원</t>
        </is>
      </c>
      <c r="C30" t="inlineStr">
        <is>
          <t>사립(사인)</t>
        </is>
      </c>
      <c r="D30" t="inlineStr">
        <is>
          <t>금정구</t>
        </is>
      </c>
      <c r="E30" t="inlineStr">
        <is>
          <t>부산광역시 금정구 서동로34번길 25</t>
        </is>
      </c>
      <c r="F30" t="inlineStr"/>
      <c r="G30" t="inlineStr">
        <is>
          <t>051-581-2396</t>
        </is>
      </c>
      <c r="H30" s="15" t="n">
        <v>100</v>
      </c>
      <c r="I30" s="15" t="n">
        <v>23</v>
      </c>
      <c r="J30" s="15" t="n">
        <v>23</v>
      </c>
      <c r="K30" s="15" t="n">
        <v>13</v>
      </c>
      <c r="L30" s="15" t="n">
        <v>0</v>
      </c>
      <c r="M30" s="15" t="n">
        <v>0</v>
      </c>
      <c r="N30" s="14">
        <f>IF(COUNT(I30:M30)=0,"",SUM(I30:M30))</f>
        <v/>
      </c>
      <c r="O30" t="inlineStr"/>
    </row>
    <row r="31">
      <c r="A31" t="inlineStr">
        <is>
          <t>대우유치원</t>
        </is>
      </c>
      <c r="B31" t="inlineStr">
        <is>
          <t>유치원</t>
        </is>
      </c>
      <c r="C31" t="inlineStr">
        <is>
          <t>사립(사인)</t>
        </is>
      </c>
      <c r="D31" t="inlineStr">
        <is>
          <t>금정구</t>
        </is>
      </c>
      <c r="E31" t="inlineStr">
        <is>
          <t>부산광역시 금정구 부산대학로 10</t>
        </is>
      </c>
      <c r="F31" s="11" t="inlineStr">
        <is>
          <t>http://school.busanedu.net/deawu-k</t>
        </is>
      </c>
      <c r="G31" t="inlineStr">
        <is>
          <t>051-513-2888</t>
        </is>
      </c>
      <c r="H31" s="15" t="n">
        <v>82</v>
      </c>
      <c r="I31" s="15" t="n">
        <v>0</v>
      </c>
      <c r="J31" s="15" t="n">
        <v>23</v>
      </c>
      <c r="K31" s="15" t="n">
        <v>25</v>
      </c>
      <c r="L31" s="15" t="n">
        <v>17</v>
      </c>
      <c r="M31" s="15" t="n">
        <v>0</v>
      </c>
      <c r="N31" s="14">
        <f>IF(COUNT(I31:M31)=0,"",SUM(I31:M31))</f>
        <v/>
      </c>
      <c r="O31" t="inlineStr"/>
    </row>
    <row r="32">
      <c r="A32" t="inlineStr">
        <is>
          <t>동래초등학교부속유치원</t>
        </is>
      </c>
      <c r="B32" t="inlineStr">
        <is>
          <t>유치원</t>
        </is>
      </c>
      <c r="C32" t="inlineStr">
        <is>
          <t>사립(법인)</t>
        </is>
      </c>
      <c r="D32" t="inlineStr">
        <is>
          <t>금정구</t>
        </is>
      </c>
      <c r="E32" t="inlineStr">
        <is>
          <t>부산광역시 금정구 체육공원로44번길 26</t>
        </is>
      </c>
      <c r="F32" s="11" t="inlineStr">
        <is>
          <t>https://school.busanedu.net/dongraekg-k/main.do</t>
        </is>
      </c>
      <c r="G32" t="inlineStr">
        <is>
          <t>051-515-2689</t>
        </is>
      </c>
      <c r="H32" s="15" t="n">
        <v>172</v>
      </c>
      <c r="I32" s="15" t="n">
        <v>48</v>
      </c>
      <c r="J32" s="15" t="n">
        <v>48</v>
      </c>
      <c r="K32" s="15" t="n">
        <v>50</v>
      </c>
      <c r="L32" s="15" t="n">
        <v>0</v>
      </c>
      <c r="M32" s="15" t="n">
        <v>0</v>
      </c>
      <c r="N32" s="14">
        <f>IF(COUNT(I32:M32)=0,"",SUM(I32:M32))</f>
        <v/>
      </c>
      <c r="O32" t="inlineStr"/>
    </row>
    <row r="33">
      <c r="A33" t="inlineStr">
        <is>
          <t>동백유치원</t>
        </is>
      </c>
      <c r="B33" t="inlineStr">
        <is>
          <t>유치원</t>
        </is>
      </c>
      <c r="C33" t="inlineStr">
        <is>
          <t>사립(사인)</t>
        </is>
      </c>
      <c r="D33" t="inlineStr">
        <is>
          <t>금정구</t>
        </is>
      </c>
      <c r="E33" t="inlineStr">
        <is>
          <t>부산광역시 금정구 수림로50번길 47</t>
        </is>
      </c>
      <c r="F33" s="11" t="inlineStr">
        <is>
          <t>http://www.cafe.daum.net/db0610</t>
        </is>
      </c>
      <c r="G33" t="inlineStr">
        <is>
          <t>051-581-0610</t>
        </is>
      </c>
      <c r="H33" s="15" t="n">
        <v>174</v>
      </c>
      <c r="I33" s="15" t="n">
        <v>0</v>
      </c>
      <c r="J33" s="15" t="n">
        <v>24</v>
      </c>
      <c r="K33" s="15" t="n">
        <v>50</v>
      </c>
      <c r="L33" s="15" t="n">
        <v>87</v>
      </c>
      <c r="M33" s="15" t="n">
        <v>0</v>
      </c>
      <c r="N33" s="14">
        <f>IF(COUNT(I33:M33)=0,"",SUM(I33:M33))</f>
        <v/>
      </c>
      <c r="O33" t="inlineStr"/>
    </row>
    <row r="34">
      <c r="A34" t="inlineStr">
        <is>
          <t>둥지유치원</t>
        </is>
      </c>
      <c r="B34" t="inlineStr">
        <is>
          <t>유치원</t>
        </is>
      </c>
      <c r="C34" t="inlineStr">
        <is>
          <t>사립(사인)</t>
        </is>
      </c>
      <c r="D34" t="inlineStr">
        <is>
          <t>금정구</t>
        </is>
      </c>
      <c r="E34" t="inlineStr">
        <is>
          <t>부산광역시 금정구 서동로103번길 78</t>
        </is>
      </c>
      <c r="F34" t="inlineStr"/>
      <c r="G34" t="inlineStr">
        <is>
          <t>051-523-0365</t>
        </is>
      </c>
      <c r="N34" s="14">
        <f>IF(COUNT(I34:M34)=0,"",SUM(I34:M34))</f>
        <v/>
      </c>
      <c r="O34" t="inlineStr">
        <is>
          <t>연령별 현원 미공시(휴원·신설 등)</t>
        </is>
      </c>
    </row>
    <row r="35">
      <c r="A35" t="inlineStr">
        <is>
          <t>미래자연유치원</t>
        </is>
      </c>
      <c r="B35" t="inlineStr">
        <is>
          <t>유치원</t>
        </is>
      </c>
      <c r="C35" t="inlineStr">
        <is>
          <t>사립(사인)</t>
        </is>
      </c>
      <c r="D35" t="inlineStr">
        <is>
          <t>금정구</t>
        </is>
      </c>
      <c r="E35" t="inlineStr">
        <is>
          <t>부산광역시 금정구 청룡로61번길 34</t>
        </is>
      </c>
      <c r="F35" t="inlineStr"/>
      <c r="G35" t="inlineStr">
        <is>
          <t>051-517-6786</t>
        </is>
      </c>
      <c r="N35" s="14">
        <f>IF(COUNT(I35:M35)=0,"",SUM(I35:M35))</f>
        <v/>
      </c>
      <c r="O35" t="inlineStr">
        <is>
          <t>연령별 현원 미공시(휴원·신설 등)</t>
        </is>
      </c>
    </row>
    <row r="36">
      <c r="A36" t="inlineStr">
        <is>
          <t>삼광사부설광명유치원</t>
        </is>
      </c>
      <c r="B36" t="inlineStr">
        <is>
          <t>유치원</t>
        </is>
      </c>
      <c r="C36" t="inlineStr">
        <is>
          <t>사립(법인)</t>
        </is>
      </c>
      <c r="D36" t="inlineStr">
        <is>
          <t>금정구</t>
        </is>
      </c>
      <c r="E36" t="inlineStr">
        <is>
          <t>부산광역시 금정구 금샘로 51</t>
        </is>
      </c>
      <c r="F36" s="11" t="inlineStr">
        <is>
          <t>http://school.busanedu.net/kwangmyoung-k</t>
        </is>
      </c>
      <c r="G36" t="inlineStr">
        <is>
          <t>051-512-4112</t>
        </is>
      </c>
      <c r="H36" s="15" t="n">
        <v>400</v>
      </c>
      <c r="I36" s="15" t="n">
        <v>78</v>
      </c>
      <c r="J36" s="15" t="n">
        <v>78</v>
      </c>
      <c r="K36" s="15" t="n">
        <v>91</v>
      </c>
      <c r="L36" s="15" t="n">
        <v>0</v>
      </c>
      <c r="M36" s="15" t="n">
        <v>0</v>
      </c>
      <c r="N36" s="14">
        <f>IF(COUNT(I36:M36)=0,"",SUM(I36:M36))</f>
        <v/>
      </c>
      <c r="O36" t="inlineStr"/>
    </row>
    <row r="37">
      <c r="A37" t="inlineStr">
        <is>
          <t>서명초등학교병설유치원</t>
        </is>
      </c>
      <c r="B37" t="inlineStr">
        <is>
          <t>유치원</t>
        </is>
      </c>
      <c r="C37" t="inlineStr">
        <is>
          <t>공립(병설)</t>
        </is>
      </c>
      <c r="D37" t="inlineStr">
        <is>
          <t>금정구</t>
        </is>
      </c>
      <c r="E37" t="inlineStr">
        <is>
          <t>부산광역시 금정구 명서로 48</t>
        </is>
      </c>
      <c r="F37" s="11" t="inlineStr">
        <is>
          <t>http://school.busanedu.net/seomyeong-k</t>
        </is>
      </c>
      <c r="G37" t="inlineStr">
        <is>
          <t>051-526-1670</t>
        </is>
      </c>
      <c r="H37" s="15" t="n">
        <v>53</v>
      </c>
      <c r="I37" s="15" t="n">
        <v>6</v>
      </c>
      <c r="J37" s="15" t="n">
        <v>12</v>
      </c>
      <c r="K37" s="15" t="n">
        <v>8</v>
      </c>
      <c r="L37" s="15" t="n">
        <v>0</v>
      </c>
      <c r="M37" s="15" t="n">
        <v>4</v>
      </c>
      <c r="N37" s="14">
        <f>IF(COUNT(I37:M37)=0,"",SUM(I37:M37))</f>
        <v/>
      </c>
      <c r="O37" t="inlineStr"/>
    </row>
    <row r="38">
      <c r="A38" t="inlineStr">
        <is>
          <t>소심유치원</t>
        </is>
      </c>
      <c r="B38" t="inlineStr">
        <is>
          <t>유치원</t>
        </is>
      </c>
      <c r="C38" t="inlineStr">
        <is>
          <t>사립(사인)</t>
        </is>
      </c>
      <c r="D38" t="inlineStr">
        <is>
          <t>금정구</t>
        </is>
      </c>
      <c r="E38" t="inlineStr">
        <is>
          <t>부산광역시 금정구 동현로 76</t>
        </is>
      </c>
      <c r="F38" s="11" t="inlineStr">
        <is>
          <t>http://school.busanedu.net/sosim-k</t>
        </is>
      </c>
      <c r="G38" t="inlineStr">
        <is>
          <t>051-512-5617</t>
        </is>
      </c>
      <c r="H38" s="15" t="n">
        <v>198</v>
      </c>
      <c r="I38" s="15" t="n">
        <v>48</v>
      </c>
      <c r="J38" s="15" t="n">
        <v>65</v>
      </c>
      <c r="K38" s="15" t="n">
        <v>47</v>
      </c>
      <c r="L38" s="15" t="n">
        <v>0</v>
      </c>
      <c r="M38" s="15" t="n">
        <v>0</v>
      </c>
      <c r="N38" s="14">
        <f>IF(COUNT(I38:M38)=0,"",SUM(I38:M38))</f>
        <v/>
      </c>
      <c r="O38" t="inlineStr"/>
    </row>
    <row r="39">
      <c r="A39" t="inlineStr">
        <is>
          <t>아람유치원</t>
        </is>
      </c>
      <c r="B39" t="inlineStr">
        <is>
          <t>유치원</t>
        </is>
      </c>
      <c r="C39" t="inlineStr">
        <is>
          <t>사립(사인)</t>
        </is>
      </c>
      <c r="D39" t="inlineStr">
        <is>
          <t>금정구</t>
        </is>
      </c>
      <c r="E39" t="inlineStr">
        <is>
          <t>부산광역시 금정구 두실로15번길 52-13</t>
        </is>
      </c>
      <c r="F39" t="inlineStr"/>
      <c r="G39" t="inlineStr">
        <is>
          <t>051-512-3111</t>
        </is>
      </c>
      <c r="H39" s="15" t="n">
        <v>174</v>
      </c>
      <c r="I39" s="15" t="n">
        <v>0</v>
      </c>
      <c r="J39" s="15" t="n">
        <v>46</v>
      </c>
      <c r="K39" s="15" t="n">
        <v>44</v>
      </c>
      <c r="L39" s="15" t="n">
        <v>44</v>
      </c>
      <c r="M39" s="15" t="n">
        <v>0</v>
      </c>
      <c r="N39" s="14">
        <f>IF(COUNT(I39:M39)=0,"",SUM(I39:M39))</f>
        <v/>
      </c>
      <c r="O39" t="inlineStr"/>
    </row>
    <row r="40">
      <c r="A40" t="inlineStr">
        <is>
          <t>아인유치원</t>
        </is>
      </c>
      <c r="B40" t="inlineStr">
        <is>
          <t>유치원</t>
        </is>
      </c>
      <c r="C40" t="inlineStr">
        <is>
          <t>사립(사인)</t>
        </is>
      </c>
      <c r="D40" t="inlineStr">
        <is>
          <t>금정구</t>
        </is>
      </c>
      <c r="E40" t="inlineStr">
        <is>
          <t>부산광역시 금정구 금정도서관로 5-4</t>
        </is>
      </c>
      <c r="F40" s="11" t="inlineStr">
        <is>
          <t>https://school.busanedu.net/ain-k/main.do</t>
        </is>
      </c>
      <c r="G40" t="inlineStr">
        <is>
          <t>051-508-0004</t>
        </is>
      </c>
      <c r="H40" s="15" t="n">
        <v>194</v>
      </c>
      <c r="I40" s="15" t="n">
        <v>0</v>
      </c>
      <c r="J40" s="15" t="n">
        <v>48</v>
      </c>
      <c r="K40" s="15" t="n">
        <v>49</v>
      </c>
      <c r="L40" s="15" t="n">
        <v>68</v>
      </c>
      <c r="M40" s="15" t="n">
        <v>0</v>
      </c>
      <c r="N40" s="14">
        <f>IF(COUNT(I40:M40)=0,"",SUM(I40:M40))</f>
        <v/>
      </c>
      <c r="O40" t="inlineStr"/>
    </row>
    <row r="41">
      <c r="A41" t="inlineStr">
        <is>
          <t>청룡초등학교병설유치원</t>
        </is>
      </c>
      <c r="B41" t="inlineStr">
        <is>
          <t>유치원</t>
        </is>
      </c>
      <c r="C41" t="inlineStr">
        <is>
          <t>공립(병설)</t>
        </is>
      </c>
      <c r="D41" t="inlineStr">
        <is>
          <t>금정구</t>
        </is>
      </c>
      <c r="E41" t="inlineStr">
        <is>
          <t>부산광역시 금정구 팔송로 6</t>
        </is>
      </c>
      <c r="F41" s="11" t="inlineStr">
        <is>
          <t>http://school.busanedu.net/cheongryong-k/</t>
        </is>
      </c>
      <c r="G41" t="inlineStr">
        <is>
          <t>051-580-9370</t>
        </is>
      </c>
      <c r="H41" s="15" t="n">
        <v>37</v>
      </c>
      <c r="I41" s="15" t="n">
        <v>0</v>
      </c>
      <c r="J41" s="15" t="n">
        <v>0</v>
      </c>
      <c r="K41" s="15" t="n">
        <v>8</v>
      </c>
      <c r="L41" s="15" t="n">
        <v>5</v>
      </c>
      <c r="M41" s="15" t="n">
        <v>0</v>
      </c>
      <c r="N41" s="14">
        <f>IF(COUNT(I41:M41)=0,"",SUM(I41:M41))</f>
        <v/>
      </c>
      <c r="O41" t="inlineStr"/>
    </row>
    <row r="42">
      <c r="A42" t="inlineStr">
        <is>
          <t>트니트니유치원</t>
        </is>
      </c>
      <c r="B42" t="inlineStr">
        <is>
          <t>유치원</t>
        </is>
      </c>
      <c r="C42" t="inlineStr">
        <is>
          <t>사립(사인)</t>
        </is>
      </c>
      <c r="D42" t="inlineStr">
        <is>
          <t>금정구</t>
        </is>
      </c>
      <c r="E42" t="inlineStr">
        <is>
          <t>부산광역시 금정구 중앙대로1667번길 10</t>
        </is>
      </c>
      <c r="F42" s="11" t="inlineStr">
        <is>
          <t>http://cafe.daum.net/tntnhappy</t>
        </is>
      </c>
      <c r="G42" t="inlineStr">
        <is>
          <t>051-517-2650</t>
        </is>
      </c>
      <c r="H42" s="15" t="n">
        <v>60</v>
      </c>
      <c r="I42" s="15" t="n">
        <v>0</v>
      </c>
      <c r="J42" s="15" t="n">
        <v>0</v>
      </c>
      <c r="K42" s="15" t="n">
        <v>0</v>
      </c>
      <c r="L42" s="15" t="n">
        <v>47</v>
      </c>
      <c r="M42" s="15" t="n">
        <v>0</v>
      </c>
      <c r="N42" s="14">
        <f>IF(COUNT(I42:M42)=0,"",SUM(I42:M42))</f>
        <v/>
      </c>
      <c r="O42" t="inlineStr"/>
    </row>
    <row r="43">
      <c r="A43" t="inlineStr">
        <is>
          <t>파랑새유치원</t>
        </is>
      </c>
      <c r="B43" t="inlineStr">
        <is>
          <t>유치원</t>
        </is>
      </c>
      <c r="C43" t="inlineStr">
        <is>
          <t>사립(사인)</t>
        </is>
      </c>
      <c r="D43" t="inlineStr">
        <is>
          <t>금정구</t>
        </is>
      </c>
      <c r="E43" t="inlineStr">
        <is>
          <t>부산광역시 금정구 금샘로420번길 15</t>
        </is>
      </c>
      <c r="F43" s="11" t="inlineStr">
        <is>
          <t>http://parangsae.or.kr</t>
        </is>
      </c>
      <c r="G43" t="inlineStr">
        <is>
          <t>051-516-3566</t>
        </is>
      </c>
      <c r="H43" s="15" t="n">
        <v>150</v>
      </c>
      <c r="I43" s="15" t="n">
        <v>0</v>
      </c>
      <c r="J43" s="15" t="n">
        <v>18</v>
      </c>
      <c r="K43" s="15" t="n">
        <v>26</v>
      </c>
      <c r="L43" s="15" t="n">
        <v>20</v>
      </c>
      <c r="M43" s="15" t="n">
        <v>0</v>
      </c>
      <c r="N43" s="14">
        <f>IF(COUNT(I43:M43)=0,"",SUM(I43:M43))</f>
        <v/>
      </c>
      <c r="O43" t="inlineStr"/>
    </row>
    <row r="44">
      <c r="A44" t="inlineStr">
        <is>
          <t>하나유치원</t>
        </is>
      </c>
      <c r="B44" t="inlineStr">
        <is>
          <t>유치원</t>
        </is>
      </c>
      <c r="C44" t="inlineStr">
        <is>
          <t>사립(사인)</t>
        </is>
      </c>
      <c r="D44" t="inlineStr">
        <is>
          <t>금정구</t>
        </is>
      </c>
      <c r="E44" t="inlineStr">
        <is>
          <t>부산광역시 금정구 동현로 106</t>
        </is>
      </c>
      <c r="F44" s="11" t="inlineStr">
        <is>
          <t>http://cafe.naver.com/hanakids9792</t>
        </is>
      </c>
      <c r="G44" t="inlineStr">
        <is>
          <t>051-581-9792</t>
        </is>
      </c>
      <c r="H44" s="15" t="n">
        <v>148</v>
      </c>
      <c r="I44" s="15" t="n">
        <v>0</v>
      </c>
      <c r="J44" s="15" t="n">
        <v>41</v>
      </c>
      <c r="K44" s="15" t="n">
        <v>33</v>
      </c>
      <c r="L44" s="15" t="n">
        <v>37</v>
      </c>
      <c r="M44" s="15" t="n">
        <v>0</v>
      </c>
      <c r="N44" s="14">
        <f>IF(COUNT(I44:M44)=0,"",SUM(I44:M44))</f>
        <v/>
      </c>
      <c r="O44" t="inlineStr"/>
    </row>
    <row r="45">
      <c r="A45" t="inlineStr">
        <is>
          <t>하늘빛유치원</t>
        </is>
      </c>
      <c r="B45" t="inlineStr">
        <is>
          <t>유치원</t>
        </is>
      </c>
      <c r="C45" t="inlineStr">
        <is>
          <t>사립(사인)</t>
        </is>
      </c>
      <c r="D45" t="inlineStr">
        <is>
          <t>금정구</t>
        </is>
      </c>
      <c r="E45" t="inlineStr">
        <is>
          <t>부산광역시 금정구 금강로 211</t>
        </is>
      </c>
      <c r="F45" t="inlineStr"/>
      <c r="G45" t="inlineStr">
        <is>
          <t>051-583-0055</t>
        </is>
      </c>
      <c r="H45" s="15" t="n">
        <v>194</v>
      </c>
      <c r="I45" s="15" t="n">
        <v>0</v>
      </c>
      <c r="J45" s="15" t="n">
        <v>72</v>
      </c>
      <c r="K45" s="15" t="n">
        <v>78</v>
      </c>
      <c r="L45" s="15" t="n">
        <v>44</v>
      </c>
      <c r="M45" s="15" t="n">
        <v>0</v>
      </c>
      <c r="N45" s="14">
        <f>IF(COUNT(I45:M45)=0,"",SUM(I45:M45))</f>
        <v/>
      </c>
      <c r="O45" t="inlineStr"/>
    </row>
    <row r="46">
      <c r="A46" t="inlineStr">
        <is>
          <t>한신유치원</t>
        </is>
      </c>
      <c r="B46" t="inlineStr">
        <is>
          <t>유치원</t>
        </is>
      </c>
      <c r="C46" t="inlineStr">
        <is>
          <t>사립(사인)</t>
        </is>
      </c>
      <c r="D46" t="inlineStr">
        <is>
          <t>금정구</t>
        </is>
      </c>
      <c r="E46" t="inlineStr">
        <is>
          <t>부산광역시 금정구 중앙대로1685번길 24</t>
        </is>
      </c>
      <c r="F46" t="inlineStr"/>
      <c r="G46" t="inlineStr">
        <is>
          <t>051-512-0404</t>
        </is>
      </c>
      <c r="N46" s="14">
        <f>IF(COUNT(I46:M46)=0,"",SUM(I46:M46))</f>
        <v/>
      </c>
      <c r="O46" t="inlineStr">
        <is>
          <t>연령별 현원 미공시(휴원·신설 등)</t>
        </is>
      </c>
    </row>
    <row r="47">
      <c r="A47" t="inlineStr">
        <is>
          <t>가동유치원</t>
        </is>
      </c>
      <c r="B47" t="inlineStr">
        <is>
          <t>유치원</t>
        </is>
      </c>
      <c r="C47" t="inlineStr">
        <is>
          <t>공립(단설)</t>
        </is>
      </c>
      <c r="D47" t="inlineStr">
        <is>
          <t>기장군</t>
        </is>
      </c>
      <c r="E47" t="inlineStr">
        <is>
          <t>부산광역시 기장군 정관5로 100</t>
        </is>
      </c>
      <c r="F47" s="11" t="inlineStr">
        <is>
          <t>http://school.busanedu.net/gadong-k</t>
        </is>
      </c>
      <c r="G47" t="inlineStr">
        <is>
          <t>051-728-2430</t>
        </is>
      </c>
      <c r="H47" s="15" t="n">
        <v>145</v>
      </c>
      <c r="I47" s="15" t="n">
        <v>16</v>
      </c>
      <c r="J47" s="15" t="n">
        <v>37</v>
      </c>
      <c r="K47" s="15" t="n">
        <v>40</v>
      </c>
      <c r="L47" s="15" t="n">
        <v>0</v>
      </c>
      <c r="M47" s="15" t="n">
        <v>1</v>
      </c>
      <c r="N47" s="14">
        <f>IF(COUNT(I47:M47)=0,"",SUM(I47:M47))</f>
        <v/>
      </c>
      <c r="O47" t="inlineStr"/>
    </row>
    <row r="48">
      <c r="A48" t="inlineStr">
        <is>
          <t>교리초등학교병설유치원</t>
        </is>
      </c>
      <c r="B48" t="inlineStr">
        <is>
          <t>유치원</t>
        </is>
      </c>
      <c r="C48" t="inlineStr">
        <is>
          <t>공립(병설)</t>
        </is>
      </c>
      <c r="D48" t="inlineStr">
        <is>
          <t>기장군</t>
        </is>
      </c>
      <c r="E48" t="inlineStr">
        <is>
          <t>부산광역시 기장군 기장읍 차성로 427</t>
        </is>
      </c>
      <c r="F48" s="11" t="inlineStr">
        <is>
          <t>https://school.busanedu.net/gyori-k/main.do</t>
        </is>
      </c>
      <c r="G48" t="inlineStr">
        <is>
          <t>051-720-0516</t>
        </is>
      </c>
      <c r="H48" s="15" t="n">
        <v>53</v>
      </c>
      <c r="I48" s="15" t="n">
        <v>3</v>
      </c>
      <c r="J48" s="15" t="n">
        <v>14</v>
      </c>
      <c r="K48" s="15" t="n">
        <v>15</v>
      </c>
      <c r="L48" s="15" t="n">
        <v>0</v>
      </c>
      <c r="M48" s="15" t="n">
        <v>0</v>
      </c>
      <c r="N48" s="14">
        <f>IF(COUNT(I48:M48)=0,"",SUM(I48:M48))</f>
        <v/>
      </c>
      <c r="O48" t="inlineStr"/>
    </row>
    <row r="49">
      <c r="A49" t="inlineStr">
        <is>
          <t>기장초등학교병설유치원</t>
        </is>
      </c>
      <c r="B49" t="inlineStr">
        <is>
          <t>유치원</t>
        </is>
      </c>
      <c r="C49" t="inlineStr">
        <is>
          <t>공립(병설)</t>
        </is>
      </c>
      <c r="D49" t="inlineStr">
        <is>
          <t>기장군</t>
        </is>
      </c>
      <c r="E49" t="inlineStr">
        <is>
          <t>부산광역시 기장군 읍내로 75</t>
        </is>
      </c>
      <c r="F49" s="11" t="inlineStr">
        <is>
          <t>http://school.busanedu.net/gijang-k/main.do</t>
        </is>
      </c>
      <c r="G49" t="inlineStr">
        <is>
          <t>051-720-8690</t>
        </is>
      </c>
      <c r="H49" s="15" t="n">
        <v>53</v>
      </c>
      <c r="I49" s="15" t="n">
        <v>10</v>
      </c>
      <c r="J49" s="15" t="n">
        <v>10</v>
      </c>
      <c r="K49" s="15" t="n">
        <v>17</v>
      </c>
      <c r="L49" s="15" t="n">
        <v>0</v>
      </c>
      <c r="M49" s="15" t="n">
        <v>0</v>
      </c>
      <c r="N49" s="14">
        <f>IF(COUNT(I49:M49)=0,"",SUM(I49:M49))</f>
        <v/>
      </c>
      <c r="O49" t="inlineStr"/>
    </row>
    <row r="50">
      <c r="A50" t="inlineStr">
        <is>
          <t>내리초등학교병설유치원</t>
        </is>
      </c>
      <c r="B50" t="inlineStr">
        <is>
          <t>유치원</t>
        </is>
      </c>
      <c r="C50" t="inlineStr">
        <is>
          <t>공립(병설)</t>
        </is>
      </c>
      <c r="D50" t="inlineStr">
        <is>
          <t>기장군</t>
        </is>
      </c>
      <c r="E50" t="inlineStr">
        <is>
          <t>부산광역시 기장군 기장읍 소정안길 50</t>
        </is>
      </c>
      <c r="F50" s="11" t="inlineStr">
        <is>
          <t>http://school.busanedu.net/naeri-k</t>
        </is>
      </c>
      <c r="G50" t="inlineStr">
        <is>
          <t>051-745-3100</t>
        </is>
      </c>
      <c r="H50" s="15" t="n">
        <v>37</v>
      </c>
      <c r="I50" s="15" t="n">
        <v>0</v>
      </c>
      <c r="J50" s="15" t="n">
        <v>0</v>
      </c>
      <c r="K50" s="15" t="n">
        <v>6</v>
      </c>
      <c r="L50" s="15" t="n">
        <v>8</v>
      </c>
      <c r="M50" s="15" t="n">
        <v>0</v>
      </c>
      <c r="N50" s="14">
        <f>IF(COUNT(I50:M50)=0,"",SUM(I50:M50))</f>
        <v/>
      </c>
      <c r="O50" t="inlineStr"/>
    </row>
    <row r="51">
      <c r="A51" t="inlineStr">
        <is>
          <t>녹원유치원</t>
        </is>
      </c>
      <c r="B51" t="inlineStr">
        <is>
          <t>유치원</t>
        </is>
      </c>
      <c r="C51" t="inlineStr">
        <is>
          <t>사립(사인)</t>
        </is>
      </c>
      <c r="D51" t="inlineStr">
        <is>
          <t>기장군</t>
        </is>
      </c>
      <c r="E51" t="inlineStr">
        <is>
          <t>부산광역시 기장군 석산1길 69-1</t>
        </is>
      </c>
      <c r="F51" t="inlineStr"/>
      <c r="G51" t="inlineStr">
        <is>
          <t>051-723-0001</t>
        </is>
      </c>
      <c r="H51" s="15" t="n">
        <v>88</v>
      </c>
      <c r="I51" s="15" t="n">
        <v>0</v>
      </c>
      <c r="J51" s="15" t="n">
        <v>0</v>
      </c>
      <c r="K51" s="15" t="n">
        <v>9</v>
      </c>
      <c r="L51" s="15" t="n">
        <v>8</v>
      </c>
      <c r="M51" s="15" t="n">
        <v>0</v>
      </c>
      <c r="N51" s="14">
        <f>IF(COUNT(I51:M51)=0,"",SUM(I51:M51))</f>
        <v/>
      </c>
      <c r="O51" t="inlineStr"/>
    </row>
    <row r="52">
      <c r="A52" t="inlineStr">
        <is>
          <t>달산유치원</t>
        </is>
      </c>
      <c r="B52" t="inlineStr">
        <is>
          <t>유치원</t>
        </is>
      </c>
      <c r="C52" t="inlineStr">
        <is>
          <t>공립(단설)</t>
        </is>
      </c>
      <c r="D52" t="inlineStr">
        <is>
          <t>기장군</t>
        </is>
      </c>
      <c r="E52" t="inlineStr">
        <is>
          <t>부산광역시 기장군 정관로 674</t>
        </is>
      </c>
      <c r="F52" s="11" t="inlineStr">
        <is>
          <t>http://school.busanedu.net/dalsan-k</t>
        </is>
      </c>
      <c r="G52" t="inlineStr">
        <is>
          <t>0517281781</t>
        </is>
      </c>
      <c r="H52" s="15" t="n">
        <v>126</v>
      </c>
      <c r="I52" s="15" t="n">
        <v>22</v>
      </c>
      <c r="J52" s="15" t="n">
        <v>22</v>
      </c>
      <c r="K52" s="15" t="n">
        <v>45</v>
      </c>
      <c r="L52" s="15" t="n">
        <v>0</v>
      </c>
      <c r="M52" s="15" t="n">
        <v>1</v>
      </c>
      <c r="N52" s="14">
        <f>IF(COUNT(I52:M52)=0,"",SUM(I52:M52))</f>
        <v/>
      </c>
      <c r="O52" t="inlineStr"/>
    </row>
    <row r="53">
      <c r="A53" t="inlineStr">
        <is>
          <t>모전초등학교병설유치원</t>
        </is>
      </c>
      <c r="B53" t="inlineStr">
        <is>
          <t>유치원</t>
        </is>
      </c>
      <c r="C53" t="inlineStr">
        <is>
          <t>공립(병설)</t>
        </is>
      </c>
      <c r="D53" t="inlineStr">
        <is>
          <t>기장군</t>
        </is>
      </c>
      <c r="E53" t="inlineStr">
        <is>
          <t>부산광역시 기장군 정관1로 17</t>
        </is>
      </c>
      <c r="F53" s="11" t="inlineStr">
        <is>
          <t>https://school.busanedu.net/bsmojeon-k</t>
        </is>
      </c>
      <c r="G53" t="inlineStr">
        <is>
          <t>051-720-6781</t>
        </is>
      </c>
      <c r="H53" s="15" t="n">
        <v>37</v>
      </c>
      <c r="I53" s="15" t="n">
        <v>0</v>
      </c>
      <c r="J53" s="15" t="n">
        <v>0</v>
      </c>
      <c r="K53" s="15" t="n">
        <v>14</v>
      </c>
      <c r="L53" s="15" t="n">
        <v>6</v>
      </c>
      <c r="M53" s="15" t="n">
        <v>0</v>
      </c>
      <c r="N53" s="14">
        <f>IF(COUNT(I53:M53)=0,"",SUM(I53:M53))</f>
        <v/>
      </c>
      <c r="O53" t="inlineStr"/>
    </row>
    <row r="54">
      <c r="A54" t="inlineStr">
        <is>
          <t>방곡유치원</t>
        </is>
      </c>
      <c r="B54" t="inlineStr">
        <is>
          <t>유치원</t>
        </is>
      </c>
      <c r="C54" t="inlineStr">
        <is>
          <t>공립(단설)</t>
        </is>
      </c>
      <c r="D54" t="inlineStr">
        <is>
          <t>기장군</t>
        </is>
      </c>
      <c r="E54" t="inlineStr">
        <is>
          <t>부산광역시 기장군 정관덕산길 61</t>
        </is>
      </c>
      <c r="F54" s="11" t="inlineStr">
        <is>
          <t>http://school.busanedu.net/kbanggok-k/main.do</t>
        </is>
      </c>
      <c r="G54" t="inlineStr">
        <is>
          <t>051-780-7200</t>
        </is>
      </c>
      <c r="H54" s="15" t="n">
        <v>92</v>
      </c>
      <c r="I54" s="15" t="n">
        <v>11</v>
      </c>
      <c r="J54" s="15" t="n">
        <v>22</v>
      </c>
      <c r="K54" s="15" t="n">
        <v>39</v>
      </c>
      <c r="L54" s="15" t="n">
        <v>0</v>
      </c>
      <c r="M54" s="15" t="n">
        <v>2</v>
      </c>
      <c r="N54" s="14">
        <f>IF(COUNT(I54:M54)=0,"",SUM(I54:M54))</f>
        <v/>
      </c>
      <c r="O54" t="inlineStr"/>
    </row>
    <row r="55">
      <c r="A55" t="inlineStr">
        <is>
          <t>산새소리유치원</t>
        </is>
      </c>
      <c r="B55" t="inlineStr">
        <is>
          <t>유치원</t>
        </is>
      </c>
      <c r="C55" t="inlineStr">
        <is>
          <t>사립(사인)</t>
        </is>
      </c>
      <c r="D55" t="inlineStr">
        <is>
          <t>기장군</t>
        </is>
      </c>
      <c r="E55" t="inlineStr">
        <is>
          <t>부산광역시 기장군 차성남로 1-4</t>
        </is>
      </c>
      <c r="F55" t="inlineStr"/>
      <c r="G55" t="inlineStr">
        <is>
          <t>051-721-2612</t>
        </is>
      </c>
      <c r="H55" s="15" t="n">
        <v>44</v>
      </c>
      <c r="I55" s="15" t="n">
        <v>11</v>
      </c>
      <c r="J55" s="15" t="n">
        <v>0</v>
      </c>
      <c r="K55" s="15" t="n">
        <v>0</v>
      </c>
      <c r="L55" s="15" t="n">
        <v>22</v>
      </c>
      <c r="M55" s="15" t="n">
        <v>0</v>
      </c>
      <c r="N55" s="14">
        <f>IF(COUNT(I55:M55)=0,"",SUM(I55:M55))</f>
        <v/>
      </c>
      <c r="O55" t="inlineStr"/>
    </row>
    <row r="56">
      <c r="A56" t="inlineStr">
        <is>
          <t>세화유치원</t>
        </is>
      </c>
      <c r="B56" t="inlineStr">
        <is>
          <t>유치원</t>
        </is>
      </c>
      <c r="C56" t="inlineStr">
        <is>
          <t>사립(사인)</t>
        </is>
      </c>
      <c r="D56" t="inlineStr">
        <is>
          <t>기장군</t>
        </is>
      </c>
      <c r="E56" t="inlineStr">
        <is>
          <t>부산광역시 기장군 기장대로 563</t>
        </is>
      </c>
      <c r="F56" s="11" t="inlineStr">
        <is>
          <t>http://school.busanedu.net/sehwa-k/</t>
        </is>
      </c>
      <c r="G56" t="inlineStr">
        <is>
          <t>051-722-5060</t>
        </is>
      </c>
      <c r="H56" s="15" t="n">
        <v>120</v>
      </c>
      <c r="I56" s="15" t="n">
        <v>26</v>
      </c>
      <c r="J56" s="15" t="n">
        <v>0</v>
      </c>
      <c r="K56" s="15" t="n">
        <v>26</v>
      </c>
      <c r="L56" s="15" t="n">
        <v>52</v>
      </c>
      <c r="M56" s="15" t="n">
        <v>0</v>
      </c>
      <c r="N56" s="14">
        <f>IF(COUNT(I56:M56)=0,"",SUM(I56:M56))</f>
        <v/>
      </c>
      <c r="O56" t="inlineStr"/>
    </row>
    <row r="57">
      <c r="A57" t="inlineStr">
        <is>
          <t>숲속나라유치원</t>
        </is>
      </c>
      <c r="B57" t="inlineStr">
        <is>
          <t>유치원</t>
        </is>
      </c>
      <c r="C57" t="inlineStr">
        <is>
          <t>사립(사인)</t>
        </is>
      </c>
      <c r="D57" t="inlineStr">
        <is>
          <t>기장군</t>
        </is>
      </c>
      <c r="E57" t="inlineStr">
        <is>
          <t>부산광역시 기장군 산막길 46-28</t>
        </is>
      </c>
      <c r="F57" s="11" t="inlineStr">
        <is>
          <t>https://blog.naver.com/inthewoodkids</t>
        </is>
      </c>
      <c r="G57" t="inlineStr">
        <is>
          <t>051-728-2821</t>
        </is>
      </c>
      <c r="H57" s="15" t="n">
        <v>82</v>
      </c>
      <c r="I57" s="15" t="n">
        <v>8</v>
      </c>
      <c r="J57" s="15" t="n">
        <v>15</v>
      </c>
      <c r="K57" s="15" t="n">
        <v>16</v>
      </c>
      <c r="L57" s="15" t="n">
        <v>0</v>
      </c>
      <c r="M57" s="15" t="n">
        <v>0</v>
      </c>
      <c r="N57" s="14">
        <f>IF(COUNT(I57:M57)=0,"",SUM(I57:M57))</f>
        <v/>
      </c>
      <c r="O57" t="inlineStr"/>
    </row>
    <row r="58">
      <c r="A58" t="inlineStr">
        <is>
          <t>숲속원광유치원</t>
        </is>
      </c>
      <c r="B58" t="inlineStr">
        <is>
          <t>유치원</t>
        </is>
      </c>
      <c r="C58" t="inlineStr">
        <is>
          <t>사립(법인)</t>
        </is>
      </c>
      <c r="D58" t="inlineStr">
        <is>
          <t>기장군</t>
        </is>
      </c>
      <c r="E58" t="inlineStr">
        <is>
          <t>부산광역시 기장군 곰내길 654-125</t>
        </is>
      </c>
      <c r="F58" t="inlineStr"/>
      <c r="G58" t="inlineStr">
        <is>
          <t>727-3844</t>
        </is>
      </c>
      <c r="N58" s="14">
        <f>IF(COUNT(I58:M58)=0,"",SUM(I58:M58))</f>
        <v/>
      </c>
      <c r="O58" t="inlineStr">
        <is>
          <t>연령별 현원 미공시(휴원·신설 등)</t>
        </is>
      </c>
    </row>
    <row r="59">
      <c r="A59" t="inlineStr">
        <is>
          <t>신진초등학교병설유치원</t>
        </is>
      </c>
      <c r="B59" t="inlineStr">
        <is>
          <t>유치원</t>
        </is>
      </c>
      <c r="C59" t="inlineStr">
        <is>
          <t>공립(병설)</t>
        </is>
      </c>
      <c r="D59" t="inlineStr">
        <is>
          <t>기장군</t>
        </is>
      </c>
      <c r="E59" t="inlineStr">
        <is>
          <t>부산광역시 기장군 고촌로28번길 6</t>
        </is>
      </c>
      <c r="F59" s="11" t="inlineStr">
        <is>
          <t>http://school.busanedu.net/sinjin-k</t>
        </is>
      </c>
      <c r="G59" t="inlineStr">
        <is>
          <t>051-720-8517</t>
        </is>
      </c>
      <c r="H59" s="15" t="n">
        <v>17</v>
      </c>
      <c r="I59" s="15" t="n">
        <v>0</v>
      </c>
      <c r="J59" s="15" t="n">
        <v>0</v>
      </c>
      <c r="K59" s="15" t="n">
        <v>0</v>
      </c>
      <c r="L59" s="15" t="n">
        <v>9</v>
      </c>
      <c r="M59" s="15" t="n">
        <v>2</v>
      </c>
      <c r="N59" s="14">
        <f>IF(COUNT(I59:M59)=0,"",SUM(I59:M59))</f>
        <v/>
      </c>
      <c r="O59" t="inlineStr"/>
    </row>
    <row r="60">
      <c r="A60" t="inlineStr">
        <is>
          <t>용암초등학교병설유치원</t>
        </is>
      </c>
      <c r="B60" t="inlineStr">
        <is>
          <t>유치원</t>
        </is>
      </c>
      <c r="C60" t="inlineStr">
        <is>
          <t>공립(병설)</t>
        </is>
      </c>
      <c r="D60" t="inlineStr">
        <is>
          <t>기장군</t>
        </is>
      </c>
      <c r="E60" t="inlineStr">
        <is>
          <t>부산광역시 기장군 기장해안로 577</t>
        </is>
      </c>
      <c r="F60" t="inlineStr"/>
      <c r="G60" t="inlineStr">
        <is>
          <t>051-721-1413</t>
        </is>
      </c>
      <c r="N60" s="14">
        <f>IF(COUNT(I60:M60)=0,"",SUM(I60:M60))</f>
        <v/>
      </c>
      <c r="O60" t="inlineStr">
        <is>
          <t>연령별 현원 미공시(휴원·신설 등)</t>
        </is>
      </c>
    </row>
    <row r="61">
      <c r="A61" t="inlineStr">
        <is>
          <t>월내초등학교병설유치원</t>
        </is>
      </c>
      <c r="B61" t="inlineStr">
        <is>
          <t>유치원</t>
        </is>
      </c>
      <c r="C61" t="inlineStr">
        <is>
          <t>공립(병설)</t>
        </is>
      </c>
      <c r="D61" t="inlineStr">
        <is>
          <t>기장군</t>
        </is>
      </c>
      <c r="E61" t="inlineStr">
        <is>
          <t>부산광역시 기장군 길천2길 25</t>
        </is>
      </c>
      <c r="F61" s="11" t="inlineStr">
        <is>
          <t>http://wollae.es.kr/</t>
        </is>
      </c>
      <c r="G61" t="inlineStr">
        <is>
          <t>051-719-9771</t>
        </is>
      </c>
      <c r="H61" s="15" t="n">
        <v>17</v>
      </c>
      <c r="I61" s="15" t="n">
        <v>0</v>
      </c>
      <c r="J61" s="15" t="n">
        <v>0</v>
      </c>
      <c r="K61" s="15" t="n">
        <v>0</v>
      </c>
      <c r="L61" s="15" t="n">
        <v>2</v>
      </c>
      <c r="M61" s="15" t="n">
        <v>0</v>
      </c>
      <c r="N61" s="14">
        <f>IF(COUNT(I61:M61)=0,"",SUM(I61:M61))</f>
        <v/>
      </c>
      <c r="O61" t="inlineStr"/>
    </row>
    <row r="62">
      <c r="A62" t="inlineStr">
        <is>
          <t>월평초등학교병설유치원</t>
        </is>
      </c>
      <c r="B62" t="inlineStr">
        <is>
          <t>유치원</t>
        </is>
      </c>
      <c r="C62" t="inlineStr">
        <is>
          <t>공립(병설)</t>
        </is>
      </c>
      <c r="D62" t="inlineStr">
        <is>
          <t>기장군</t>
        </is>
      </c>
      <c r="E62" t="inlineStr">
        <is>
          <t>부산광역시 기장군 월평1길 21</t>
        </is>
      </c>
      <c r="F62" s="11" t="inlineStr">
        <is>
          <t>http://bswp.es.kr/</t>
        </is>
      </c>
      <c r="G62" t="inlineStr">
        <is>
          <t>051-508-8355</t>
        </is>
      </c>
      <c r="H62" s="15" t="n">
        <v>17</v>
      </c>
      <c r="I62" s="15" t="n">
        <v>0</v>
      </c>
      <c r="J62" s="15" t="n">
        <v>0</v>
      </c>
      <c r="K62" s="15" t="n">
        <v>0</v>
      </c>
      <c r="L62" s="15" t="n">
        <v>4</v>
      </c>
      <c r="M62" s="15" t="n">
        <v>0</v>
      </c>
      <c r="N62" s="14">
        <f>IF(COUNT(I62:M62)=0,"",SUM(I62:M62))</f>
        <v/>
      </c>
      <c r="O62" t="inlineStr"/>
    </row>
    <row r="63">
      <c r="A63" t="inlineStr">
        <is>
          <t>일광유치원</t>
        </is>
      </c>
      <c r="B63" t="inlineStr">
        <is>
          <t>유치원</t>
        </is>
      </c>
      <c r="C63" t="inlineStr">
        <is>
          <t>공립(단설)</t>
        </is>
      </c>
      <c r="D63" t="inlineStr">
        <is>
          <t>기장군</t>
        </is>
      </c>
      <c r="E63" t="inlineStr">
        <is>
          <t>부산광역시 기장군 일광읍 해빛로 42</t>
        </is>
      </c>
      <c r="F63" s="11" t="inlineStr">
        <is>
          <t>https://school.busanedu.net/ilgwang42-k/</t>
        </is>
      </c>
      <c r="G63" t="inlineStr">
        <is>
          <t>051-967-8800</t>
        </is>
      </c>
      <c r="H63" s="15" t="n">
        <v>159</v>
      </c>
      <c r="I63" s="15" t="n">
        <v>40</v>
      </c>
      <c r="J63" s="15" t="n">
        <v>56</v>
      </c>
      <c r="K63" s="15" t="n">
        <v>59</v>
      </c>
      <c r="L63" s="15" t="n">
        <v>0</v>
      </c>
      <c r="M63" s="15" t="n">
        <v>4</v>
      </c>
      <c r="N63" s="14">
        <f>IF(COUNT(I63:M63)=0,"",SUM(I63:M63))</f>
        <v/>
      </c>
      <c r="O63" t="inlineStr"/>
    </row>
    <row r="64">
      <c r="A64" t="inlineStr">
        <is>
          <t>장안초등학교병설유치원</t>
        </is>
      </c>
      <c r="B64" t="inlineStr">
        <is>
          <t>유치원</t>
        </is>
      </c>
      <c r="C64" t="inlineStr">
        <is>
          <t>공립(병설)</t>
        </is>
      </c>
      <c r="D64" t="inlineStr">
        <is>
          <t>기장군</t>
        </is>
      </c>
      <c r="E64" t="inlineStr">
        <is>
          <t>부산광역시 기장군 장안로 67-4</t>
        </is>
      </c>
      <c r="F64" s="11" t="inlineStr">
        <is>
          <t>http://jangancho.es.kr/</t>
        </is>
      </c>
      <c r="G64" t="inlineStr">
        <is>
          <t>051-720-1004</t>
        </is>
      </c>
      <c r="H64" s="15" t="n">
        <v>17</v>
      </c>
      <c r="I64" s="15" t="n">
        <v>0</v>
      </c>
      <c r="J64" s="15" t="n">
        <v>0</v>
      </c>
      <c r="K64" s="15" t="n">
        <v>0</v>
      </c>
      <c r="L64" s="15" t="n">
        <v>2</v>
      </c>
      <c r="M64" s="15" t="n">
        <v>0</v>
      </c>
      <c r="N64" s="14">
        <f>IF(COUNT(I64:M64)=0,"",SUM(I64:M64))</f>
        <v/>
      </c>
      <c r="O64" t="inlineStr"/>
    </row>
    <row r="65">
      <c r="A65" t="inlineStr">
        <is>
          <t>정관무지개유치원</t>
        </is>
      </c>
      <c r="B65" t="inlineStr">
        <is>
          <t>유치원</t>
        </is>
      </c>
      <c r="C65" t="inlineStr">
        <is>
          <t>사립(사인)</t>
        </is>
      </c>
      <c r="D65" t="inlineStr">
        <is>
          <t>기장군</t>
        </is>
      </c>
      <c r="E65" t="inlineStr">
        <is>
          <t>부산광역시 기장군 정관5로 127</t>
        </is>
      </c>
      <c r="F65" t="inlineStr"/>
      <c r="G65" t="inlineStr">
        <is>
          <t>051-728-2200</t>
        </is>
      </c>
      <c r="H65" s="15" t="n">
        <v>406</v>
      </c>
      <c r="I65" s="15" t="n">
        <v>52</v>
      </c>
      <c r="J65" s="15" t="n">
        <v>48</v>
      </c>
      <c r="K65" s="15" t="n">
        <v>51</v>
      </c>
      <c r="L65" s="15" t="n">
        <v>26</v>
      </c>
      <c r="M65" s="15" t="n">
        <v>0</v>
      </c>
      <c r="N65" s="14">
        <f>IF(COUNT(I65:M65)=0,"",SUM(I65:M65))</f>
        <v/>
      </c>
      <c r="O65" t="inlineStr"/>
    </row>
    <row r="66">
      <c r="A66" t="inlineStr">
        <is>
          <t>정관버클리유치원</t>
        </is>
      </c>
      <c r="B66" t="inlineStr">
        <is>
          <t>유치원</t>
        </is>
      </c>
      <c r="C66" t="inlineStr">
        <is>
          <t>사립(사인)</t>
        </is>
      </c>
      <c r="D66" t="inlineStr">
        <is>
          <t>기장군</t>
        </is>
      </c>
      <c r="E66" t="inlineStr">
        <is>
          <t>부산광역시 기장군 정관상곡1길 34</t>
        </is>
      </c>
      <c r="F66" s="11" t="inlineStr">
        <is>
          <t>http://school.busanedu.net/jgBerkeley-k</t>
        </is>
      </c>
      <c r="G66" t="inlineStr">
        <is>
          <t>051-939-0007</t>
        </is>
      </c>
      <c r="H66" s="15" t="n">
        <v>504</v>
      </c>
      <c r="I66" s="15" t="n">
        <v>32</v>
      </c>
      <c r="J66" s="15" t="n">
        <v>66</v>
      </c>
      <c r="K66" s="15" t="n">
        <v>93</v>
      </c>
      <c r="L66" s="15" t="n">
        <v>18</v>
      </c>
      <c r="M66" s="15" t="n">
        <v>0</v>
      </c>
      <c r="N66" s="14">
        <f>IF(COUNT(I66:M66)=0,"",SUM(I66:M66))</f>
        <v/>
      </c>
      <c r="O66" t="inlineStr"/>
    </row>
    <row r="67">
      <c r="A67" t="inlineStr">
        <is>
          <t>정관아이숲유치원</t>
        </is>
      </c>
      <c r="B67" t="inlineStr">
        <is>
          <t>유치원</t>
        </is>
      </c>
      <c r="C67" t="inlineStr">
        <is>
          <t>사립(사인)</t>
        </is>
      </c>
      <c r="D67" t="inlineStr">
        <is>
          <t>기장군</t>
        </is>
      </c>
      <c r="E67" t="inlineStr">
        <is>
          <t>부산광역시 기장군 병산로 24</t>
        </is>
      </c>
      <c r="F67" t="inlineStr"/>
      <c r="G67" t="inlineStr">
        <is>
          <t>051-997-3355</t>
        </is>
      </c>
      <c r="H67" s="15" t="n">
        <v>162</v>
      </c>
      <c r="I67" s="15" t="n">
        <v>18</v>
      </c>
      <c r="J67" s="15" t="n">
        <v>18</v>
      </c>
      <c r="K67" s="15" t="n">
        <v>37</v>
      </c>
      <c r="L67" s="15" t="n">
        <v>0</v>
      </c>
      <c r="M67" s="15" t="n">
        <v>0</v>
      </c>
      <c r="N67" s="14">
        <f>IF(COUNT(I67:M67)=0,"",SUM(I67:M67))</f>
        <v/>
      </c>
      <c r="O67" t="inlineStr"/>
    </row>
    <row r="68">
      <c r="A68" t="inlineStr">
        <is>
          <t>정관유치원</t>
        </is>
      </c>
      <c r="B68" t="inlineStr">
        <is>
          <t>유치원</t>
        </is>
      </c>
      <c r="C68" t="inlineStr">
        <is>
          <t>공립(단설)</t>
        </is>
      </c>
      <c r="D68" t="inlineStr">
        <is>
          <t>기장군</t>
        </is>
      </c>
      <c r="E68" t="inlineStr">
        <is>
          <t>부산광역시 기장군 정관로 530</t>
        </is>
      </c>
      <c r="F68" s="11" t="inlineStr">
        <is>
          <t>http://school.busanedu.net/jkschool-k</t>
        </is>
      </c>
      <c r="G68" t="inlineStr">
        <is>
          <t>051-726-0102</t>
        </is>
      </c>
      <c r="H68" s="15" t="n">
        <v>92</v>
      </c>
      <c r="I68" s="15" t="n">
        <v>3</v>
      </c>
      <c r="J68" s="15" t="n">
        <v>26</v>
      </c>
      <c r="K68" s="15" t="n">
        <v>24</v>
      </c>
      <c r="L68" s="15" t="n">
        <v>0</v>
      </c>
      <c r="M68" s="15" t="n">
        <v>3</v>
      </c>
      <c r="N68" s="14">
        <f>IF(COUNT(I68:M68)=0,"",SUM(I68:M68))</f>
        <v/>
      </c>
      <c r="O68" t="inlineStr"/>
    </row>
    <row r="69">
      <c r="A69" t="inlineStr">
        <is>
          <t>정관피올라유치원</t>
        </is>
      </c>
      <c r="B69" t="inlineStr">
        <is>
          <t>유치원</t>
        </is>
      </c>
      <c r="C69" t="inlineStr">
        <is>
          <t>사립(사인)</t>
        </is>
      </c>
      <c r="D69" t="inlineStr">
        <is>
          <t>기장군</t>
        </is>
      </c>
      <c r="E69" t="inlineStr">
        <is>
          <t>부산광역시 기장군 가동2길 5</t>
        </is>
      </c>
      <c r="F69" s="11" t="inlineStr">
        <is>
          <t>http://school.busanedu.net/piola-k</t>
        </is>
      </c>
      <c r="G69" t="inlineStr">
        <is>
          <t>051-728-6998</t>
        </is>
      </c>
      <c r="N69" s="14">
        <f>IF(COUNT(I69:M69)=0,"",SUM(I69:M69))</f>
        <v/>
      </c>
      <c r="O69" t="inlineStr">
        <is>
          <t>연령별 현원 미공시(휴원·신설 등)</t>
        </is>
      </c>
    </row>
    <row r="70">
      <c r="A70" t="inlineStr">
        <is>
          <t>정원초등학교병설유치원</t>
        </is>
      </c>
      <c r="B70" t="inlineStr">
        <is>
          <t>유치원</t>
        </is>
      </c>
      <c r="C70" t="inlineStr">
        <is>
          <t>공립(병설)</t>
        </is>
      </c>
      <c r="D70" t="inlineStr">
        <is>
          <t>기장군</t>
        </is>
      </c>
      <c r="E70" t="inlineStr">
        <is>
          <t>부산광역시 기장군 정관로 423</t>
        </is>
      </c>
      <c r="F70" s="11" t="inlineStr">
        <is>
          <t>http://school.busanedu.net/jeongwon-k</t>
        </is>
      </c>
      <c r="G70" t="inlineStr">
        <is>
          <t>051-750-9181</t>
        </is>
      </c>
      <c r="H70" s="15" t="n">
        <v>17</v>
      </c>
      <c r="I70" s="15" t="n">
        <v>0</v>
      </c>
      <c r="J70" s="15" t="n">
        <v>0</v>
      </c>
      <c r="K70" s="15" t="n">
        <v>0</v>
      </c>
      <c r="L70" s="15" t="n">
        <v>13</v>
      </c>
      <c r="M70" s="15" t="n">
        <v>0</v>
      </c>
      <c r="N70" s="14">
        <f>IF(COUNT(I70:M70)=0,"",SUM(I70:M70))</f>
        <v/>
      </c>
      <c r="O70" t="inlineStr"/>
    </row>
    <row r="71">
      <c r="A71" t="inlineStr">
        <is>
          <t>좌천초등학교병설유치원</t>
        </is>
      </c>
      <c r="B71" t="inlineStr">
        <is>
          <t>유치원</t>
        </is>
      </c>
      <c r="C71" t="inlineStr">
        <is>
          <t>공립(병설)</t>
        </is>
      </c>
      <c r="D71" t="inlineStr">
        <is>
          <t>기장군</t>
        </is>
      </c>
      <c r="E71" t="inlineStr">
        <is>
          <t>부산광역시 기장군 좌천로 13-66</t>
        </is>
      </c>
      <c r="F71" s="11" t="inlineStr">
        <is>
          <t>https://school.busanedu.net/jwacheon-k/main.do</t>
        </is>
      </c>
      <c r="G71" t="inlineStr">
        <is>
          <t>051-720-4150</t>
        </is>
      </c>
      <c r="H71" s="15" t="n">
        <v>17</v>
      </c>
      <c r="I71" s="15" t="n">
        <v>0</v>
      </c>
      <c r="J71" s="15" t="n">
        <v>0</v>
      </c>
      <c r="K71" s="15" t="n">
        <v>0</v>
      </c>
      <c r="L71" s="15" t="n">
        <v>5</v>
      </c>
      <c r="M71" s="15" t="n">
        <v>0</v>
      </c>
      <c r="N71" s="14">
        <f>IF(COUNT(I71:M71)=0,"",SUM(I71:M71))</f>
        <v/>
      </c>
      <c r="O71" t="inlineStr"/>
    </row>
    <row r="72">
      <c r="A72" t="inlineStr">
        <is>
          <t>죽성초등학교병설유치원</t>
        </is>
      </c>
      <c r="B72" t="inlineStr">
        <is>
          <t>유치원</t>
        </is>
      </c>
      <c r="C72" t="inlineStr">
        <is>
          <t>공립(병설)</t>
        </is>
      </c>
      <c r="D72" t="inlineStr">
        <is>
          <t>기장군</t>
        </is>
      </c>
      <c r="E72" t="inlineStr">
        <is>
          <t>부산광역시 기장군 죽성로 270</t>
        </is>
      </c>
      <c r="F72" s="11" t="inlineStr">
        <is>
          <t>http://jukseong.es.kr/</t>
        </is>
      </c>
      <c r="G72" t="inlineStr">
        <is>
          <t>051-721-6461</t>
        </is>
      </c>
      <c r="H72" s="15" t="n">
        <v>17</v>
      </c>
      <c r="I72" s="15" t="n">
        <v>0</v>
      </c>
      <c r="J72" s="15" t="n">
        <v>0</v>
      </c>
      <c r="K72" s="15" t="n">
        <v>0</v>
      </c>
      <c r="L72" s="15" t="n">
        <v>2</v>
      </c>
      <c r="M72" s="15" t="n">
        <v>0</v>
      </c>
      <c r="N72" s="14">
        <f>IF(COUNT(I72:M72)=0,"",SUM(I72:M72))</f>
        <v/>
      </c>
      <c r="O72" t="inlineStr"/>
    </row>
    <row r="73">
      <c r="A73" t="inlineStr">
        <is>
          <t>철마초등학교병설유치원</t>
        </is>
      </c>
      <c r="B73" t="inlineStr">
        <is>
          <t>유치원</t>
        </is>
      </c>
      <c r="C73" t="inlineStr">
        <is>
          <t>공립(병설)</t>
        </is>
      </c>
      <c r="D73" t="inlineStr">
        <is>
          <t>기장군</t>
        </is>
      </c>
      <c r="E73" t="inlineStr">
        <is>
          <t>부산광역시 기장군 철마로 493</t>
        </is>
      </c>
      <c r="F73" s="11" t="inlineStr">
        <is>
          <t>http://school.busanedu.net/chulma-k/main.do</t>
        </is>
      </c>
      <c r="G73" t="inlineStr">
        <is>
          <t>051-721-0631</t>
        </is>
      </c>
      <c r="H73" s="15" t="n">
        <v>17</v>
      </c>
      <c r="I73" s="15" t="n">
        <v>0</v>
      </c>
      <c r="J73" s="15" t="n">
        <v>0</v>
      </c>
      <c r="K73" s="15" t="n">
        <v>0</v>
      </c>
      <c r="L73" s="15" t="n">
        <v>5</v>
      </c>
      <c r="M73" s="15" t="n">
        <v>0</v>
      </c>
      <c r="N73" s="14">
        <f>IF(COUNT(I73:M73)=0,"",SUM(I73:M73))</f>
        <v/>
      </c>
      <c r="O73" t="inlineStr"/>
    </row>
    <row r="74">
      <c r="A74" t="inlineStr">
        <is>
          <t>칠암초등학교병설유치원</t>
        </is>
      </c>
      <c r="B74" t="inlineStr">
        <is>
          <t>유치원</t>
        </is>
      </c>
      <c r="C74" t="inlineStr">
        <is>
          <t>공립(병설)</t>
        </is>
      </c>
      <c r="D74" t="inlineStr">
        <is>
          <t>기장군</t>
        </is>
      </c>
      <c r="E74" t="inlineStr">
        <is>
          <t>부산광역시 기장군 박영준길 19</t>
        </is>
      </c>
      <c r="F74" s="11" t="inlineStr">
        <is>
          <t>http://www.chilam.es.kr</t>
        </is>
      </c>
      <c r="G74" t="inlineStr">
        <is>
          <t>051-727-4467</t>
        </is>
      </c>
      <c r="H74" s="15" t="n">
        <v>17</v>
      </c>
      <c r="I74" s="15" t="n">
        <v>0</v>
      </c>
      <c r="J74" s="15" t="n">
        <v>0</v>
      </c>
      <c r="K74" s="15" t="n">
        <v>0</v>
      </c>
      <c r="L74" s="15" t="n">
        <v>2</v>
      </c>
      <c r="M74" s="15" t="n">
        <v>0</v>
      </c>
      <c r="N74" s="14">
        <f>IF(COUNT(I74:M74)=0,"",SUM(I74:M74))</f>
        <v/>
      </c>
      <c r="O74" t="inlineStr"/>
    </row>
    <row r="75">
      <c r="A75" t="inlineStr">
        <is>
          <t>큰별샘유치원</t>
        </is>
      </c>
      <c r="B75" t="inlineStr">
        <is>
          <t>유치원</t>
        </is>
      </c>
      <c r="C75" t="inlineStr">
        <is>
          <t>사립(사인)</t>
        </is>
      </c>
      <c r="D75" t="inlineStr">
        <is>
          <t>기장군</t>
        </is>
      </c>
      <c r="E75" t="inlineStr">
        <is>
          <t>부산광역시 기장군 산막길 26-76</t>
        </is>
      </c>
      <c r="F75" t="inlineStr"/>
      <c r="G75" t="inlineStr">
        <is>
          <t>051-953-3737</t>
        </is>
      </c>
      <c r="N75" s="14">
        <f>IF(COUNT(I75:M75)=0,"",SUM(I75:M75))</f>
        <v/>
      </c>
      <c r="O75" t="inlineStr">
        <is>
          <t>연령별 현원 미공시(휴원·신설 등)</t>
        </is>
      </c>
    </row>
    <row r="76">
      <c r="A76" t="inlineStr">
        <is>
          <t>피터팬유치원</t>
        </is>
      </c>
      <c r="B76" t="inlineStr">
        <is>
          <t>유치원</t>
        </is>
      </c>
      <c r="C76" t="inlineStr">
        <is>
          <t>사립(사인)</t>
        </is>
      </c>
      <c r="D76" t="inlineStr">
        <is>
          <t>기장군</t>
        </is>
      </c>
      <c r="E76" t="inlineStr">
        <is>
          <t>부산광역시 기장군 가동옛길 37</t>
        </is>
      </c>
      <c r="F76" t="inlineStr"/>
      <c r="G76" t="inlineStr">
        <is>
          <t>051-728-1902</t>
        </is>
      </c>
      <c r="H76" s="15" t="n">
        <v>490</v>
      </c>
      <c r="I76" s="15" t="n">
        <v>111</v>
      </c>
      <c r="J76" s="15" t="n">
        <v>144</v>
      </c>
      <c r="K76" s="15" t="n">
        <v>130</v>
      </c>
      <c r="L76" s="15" t="n">
        <v>0</v>
      </c>
      <c r="M76" s="15" t="n">
        <v>0</v>
      </c>
      <c r="N76" s="14">
        <f>IF(COUNT(I76:M76)=0,"",SUM(I76:M76))</f>
        <v/>
      </c>
      <c r="O76" t="inlineStr"/>
    </row>
    <row r="77">
      <c r="A77" t="inlineStr">
        <is>
          <t>한솔기장유치원</t>
        </is>
      </c>
      <c r="B77" t="inlineStr">
        <is>
          <t>유치원</t>
        </is>
      </c>
      <c r="C77" t="inlineStr">
        <is>
          <t>사립(사인)</t>
        </is>
      </c>
      <c r="D77" t="inlineStr">
        <is>
          <t>기장군</t>
        </is>
      </c>
      <c r="E77" t="inlineStr">
        <is>
          <t>부산광역시 기장군 대청로45번길 6</t>
        </is>
      </c>
      <c r="F77" s="11" t="inlineStr">
        <is>
          <t>https://school.busanedu.net/hansol-k</t>
        </is>
      </c>
      <c r="G77" t="inlineStr">
        <is>
          <t>051-722-7489</t>
        </is>
      </c>
      <c r="H77" s="15" t="n">
        <v>130</v>
      </c>
      <c r="I77" s="15" t="n">
        <v>0</v>
      </c>
      <c r="J77" s="15" t="n">
        <v>36</v>
      </c>
      <c r="K77" s="15" t="n">
        <v>51</v>
      </c>
      <c r="L77" s="15" t="n">
        <v>0</v>
      </c>
      <c r="M77" s="15" t="n">
        <v>0</v>
      </c>
      <c r="N77" s="14">
        <f>IF(COUNT(I77:M77)=0,"",SUM(I77:M77))</f>
        <v/>
      </c>
      <c r="O77" t="inlineStr"/>
    </row>
    <row r="78">
      <c r="A78" t="inlineStr">
        <is>
          <t>해누리유치원</t>
        </is>
      </c>
      <c r="B78" t="inlineStr">
        <is>
          <t>유치원</t>
        </is>
      </c>
      <c r="C78" t="inlineStr">
        <is>
          <t>공립(단설)</t>
        </is>
      </c>
      <c r="D78" t="inlineStr">
        <is>
          <t>기장군</t>
        </is>
      </c>
      <c r="E78" t="inlineStr">
        <is>
          <t>부산광역시 기장군 용수로 109-33</t>
        </is>
      </c>
      <c r="F78" s="11" t="inlineStr">
        <is>
          <t>http://school.busanedu.net/heanuri-k/main.do</t>
        </is>
      </c>
      <c r="G78" t="inlineStr">
        <is>
          <t>051-982-7700</t>
        </is>
      </c>
      <c r="H78" s="15" t="n">
        <v>92</v>
      </c>
      <c r="I78" s="15" t="n">
        <v>9</v>
      </c>
      <c r="J78" s="15" t="n">
        <v>25</v>
      </c>
      <c r="K78" s="15" t="n">
        <v>25</v>
      </c>
      <c r="L78" s="15" t="n">
        <v>0</v>
      </c>
      <c r="M78" s="15" t="n">
        <v>3</v>
      </c>
      <c r="N78" s="14">
        <f>IF(COUNT(I78:M78)=0,"",SUM(I78:M78))</f>
        <v/>
      </c>
      <c r="O78" t="inlineStr"/>
    </row>
    <row r="79">
      <c r="A79" t="inlineStr">
        <is>
          <t>해빛유치원</t>
        </is>
      </c>
      <c r="B79" t="inlineStr">
        <is>
          <t>유치원</t>
        </is>
      </c>
      <c r="C79" t="inlineStr">
        <is>
          <t>공립(단설)</t>
        </is>
      </c>
      <c r="D79" t="inlineStr">
        <is>
          <t>기장군</t>
        </is>
      </c>
      <c r="E79" t="inlineStr">
        <is>
          <t>부산광역시 기장군 해빛6로 17</t>
        </is>
      </c>
      <c r="F79" s="11" t="inlineStr">
        <is>
          <t>http://school.busanedu.net/haebitkg-k/</t>
        </is>
      </c>
      <c r="G79" t="inlineStr">
        <is>
          <t>051-982-1400</t>
        </is>
      </c>
      <c r="H79" s="15" t="n">
        <v>212</v>
      </c>
      <c r="I79" s="15" t="n">
        <v>56</v>
      </c>
      <c r="J79" s="15" t="n">
        <v>76</v>
      </c>
      <c r="K79" s="15" t="n">
        <v>80</v>
      </c>
      <c r="L79" s="15" t="n">
        <v>0</v>
      </c>
      <c r="M79" s="15" t="n">
        <v>0</v>
      </c>
      <c r="N79" s="14">
        <f>IF(COUNT(I79:M79)=0,"",SUM(I79:M79))</f>
        <v/>
      </c>
      <c r="O79" t="inlineStr"/>
    </row>
    <row r="80">
      <c r="A80" t="inlineStr">
        <is>
          <t>해빛초등학교병설유치원</t>
        </is>
      </c>
      <c r="B80" t="inlineStr">
        <is>
          <t>유치원</t>
        </is>
      </c>
      <c r="C80" t="inlineStr">
        <is>
          <t>공립(병설)</t>
        </is>
      </c>
      <c r="D80" t="inlineStr">
        <is>
          <t>기장군</t>
        </is>
      </c>
      <c r="E80" t="inlineStr">
        <is>
          <t>부산광역시 기장군 해빛6로 9</t>
        </is>
      </c>
      <c r="F80" s="11" t="inlineStr">
        <is>
          <t>http://school.busanedu.net/haebit-k</t>
        </is>
      </c>
      <c r="G80" t="inlineStr">
        <is>
          <t>051-790-8382</t>
        </is>
      </c>
      <c r="H80" s="15" t="n">
        <v>37</v>
      </c>
      <c r="I80" s="15" t="n">
        <v>0</v>
      </c>
      <c r="J80" s="15" t="n">
        <v>0</v>
      </c>
      <c r="K80" s="15" t="n">
        <v>14</v>
      </c>
      <c r="L80" s="15" t="n">
        <v>17</v>
      </c>
      <c r="M80" s="15" t="n">
        <v>0</v>
      </c>
      <c r="N80" s="14">
        <f>IF(COUNT(I80:M80)=0,"",SUM(I80:M80))</f>
        <v/>
      </c>
      <c r="O80" t="inlineStr"/>
    </row>
    <row r="81">
      <c r="A81" t="inlineStr">
        <is>
          <t>행복엔젤유치원</t>
        </is>
      </c>
      <c r="B81" t="inlineStr">
        <is>
          <t>유치원</t>
        </is>
      </c>
      <c r="C81" t="inlineStr">
        <is>
          <t>사립(사인)</t>
        </is>
      </c>
      <c r="D81" t="inlineStr">
        <is>
          <t>기장군</t>
        </is>
      </c>
      <c r="E81" t="inlineStr">
        <is>
          <t>부산광역시 기장군 차성서로 44</t>
        </is>
      </c>
      <c r="F81" t="inlineStr"/>
      <c r="G81" t="inlineStr">
        <is>
          <t>051-502-4556</t>
        </is>
      </c>
      <c r="H81" s="15" t="n">
        <v>48</v>
      </c>
      <c r="I81" s="15" t="n">
        <v>0</v>
      </c>
      <c r="J81" s="15" t="n">
        <v>23</v>
      </c>
      <c r="K81" s="15" t="n">
        <v>14</v>
      </c>
      <c r="L81" s="15" t="n">
        <v>0</v>
      </c>
      <c r="M81" s="15" t="n">
        <v>0</v>
      </c>
      <c r="N81" s="14">
        <f>IF(COUNT(I81:M81)=0,"",SUM(I81:M81))</f>
        <v/>
      </c>
      <c r="O81" t="inlineStr"/>
    </row>
    <row r="82">
      <c r="A82" t="inlineStr">
        <is>
          <t>효성유치원</t>
        </is>
      </c>
      <c r="B82" t="inlineStr">
        <is>
          <t>유치원</t>
        </is>
      </c>
      <c r="C82" t="inlineStr">
        <is>
          <t>사립(사인)</t>
        </is>
      </c>
      <c r="D82" t="inlineStr">
        <is>
          <t>기장군</t>
        </is>
      </c>
      <c r="E82" t="inlineStr">
        <is>
          <t>부산광역시 기장군 차성로344번길 13</t>
        </is>
      </c>
      <c r="F82" t="inlineStr"/>
      <c r="G82" t="inlineStr">
        <is>
          <t>051-722-0402</t>
        </is>
      </c>
      <c r="H82" s="15" t="n">
        <v>140</v>
      </c>
      <c r="I82" s="15" t="n">
        <v>26</v>
      </c>
      <c r="J82" s="15" t="n">
        <v>26</v>
      </c>
      <c r="K82" s="15" t="n">
        <v>26</v>
      </c>
      <c r="L82" s="15" t="n">
        <v>26</v>
      </c>
      <c r="M82" s="15" t="n">
        <v>0</v>
      </c>
      <c r="N82" s="14">
        <f>IF(COUNT(I82:M82)=0,"",SUM(I82:M82))</f>
        <v/>
      </c>
      <c r="O82" t="inlineStr"/>
    </row>
    <row r="83">
      <c r="A83" t="inlineStr">
        <is>
          <t>LG메트로시티유치원</t>
        </is>
      </c>
      <c r="B83" t="inlineStr">
        <is>
          <t>유치원</t>
        </is>
      </c>
      <c r="C83" t="inlineStr">
        <is>
          <t>사립(사인)</t>
        </is>
      </c>
      <c r="D83" t="inlineStr">
        <is>
          <t>남구</t>
        </is>
      </c>
      <c r="E83" t="inlineStr">
        <is>
          <t>부산광역시 남구 분포로 111</t>
        </is>
      </c>
      <c r="F83" s="11" t="inlineStr">
        <is>
          <t>http://school.busanedu.net/lgmetrocity-k</t>
        </is>
      </c>
      <c r="G83" t="inlineStr">
        <is>
          <t>051-612-7111</t>
        </is>
      </c>
      <c r="H83" s="15" t="n">
        <v>280</v>
      </c>
      <c r="I83" s="15" t="n">
        <v>78</v>
      </c>
      <c r="J83" s="15" t="n">
        <v>52</v>
      </c>
      <c r="K83" s="15" t="n">
        <v>77</v>
      </c>
      <c r="L83" s="15" t="n">
        <v>0</v>
      </c>
      <c r="M83" s="15" t="n">
        <v>0</v>
      </c>
      <c r="N83" s="14">
        <f>IF(COUNT(I83:M83)=0,"",SUM(I83:M83))</f>
        <v/>
      </c>
      <c r="O83" t="inlineStr"/>
    </row>
    <row r="84">
      <c r="A84" t="inlineStr">
        <is>
          <t>계명유치원</t>
        </is>
      </c>
      <c r="B84" t="inlineStr">
        <is>
          <t>유치원</t>
        </is>
      </c>
      <c r="C84" t="inlineStr">
        <is>
          <t>사립(사인)</t>
        </is>
      </c>
      <c r="D84" t="inlineStr">
        <is>
          <t>남구</t>
        </is>
      </c>
      <c r="E84" t="inlineStr">
        <is>
          <t>부산광역시 남구 동명로145번다길 18</t>
        </is>
      </c>
      <c r="F84" t="inlineStr"/>
      <c r="G84" t="inlineStr">
        <is>
          <t>051-623-2637</t>
        </is>
      </c>
      <c r="H84" s="15" t="n">
        <v>226</v>
      </c>
      <c r="I84" s="15" t="n">
        <v>10</v>
      </c>
      <c r="J84" s="15" t="n">
        <v>14</v>
      </c>
      <c r="K84" s="15" t="n">
        <v>18</v>
      </c>
      <c r="L84" s="15" t="n">
        <v>0</v>
      </c>
      <c r="M84" s="15" t="n">
        <v>0</v>
      </c>
      <c r="N84" s="14">
        <f>IF(COUNT(I84:M84)=0,"",SUM(I84:M84))</f>
        <v/>
      </c>
      <c r="O84" t="inlineStr"/>
    </row>
    <row r="85">
      <c r="A85" t="inlineStr">
        <is>
          <t>대연자연유치원</t>
        </is>
      </c>
      <c r="B85" t="inlineStr">
        <is>
          <t>유치원</t>
        </is>
      </c>
      <c r="C85" t="inlineStr">
        <is>
          <t>사립(사인)</t>
        </is>
      </c>
      <c r="D85" t="inlineStr">
        <is>
          <t>남구</t>
        </is>
      </c>
      <c r="E85" t="inlineStr">
        <is>
          <t>부산광역시 남구 수영로 345</t>
        </is>
      </c>
      <c r="F85" t="inlineStr"/>
      <c r="G85" t="inlineStr">
        <is>
          <t>051-894-6677</t>
        </is>
      </c>
      <c r="H85" s="15" t="n">
        <v>298</v>
      </c>
      <c r="I85" s="15" t="n">
        <v>0</v>
      </c>
      <c r="J85" s="15" t="n">
        <v>96</v>
      </c>
      <c r="K85" s="15" t="n">
        <v>100</v>
      </c>
      <c r="L85" s="15" t="n">
        <v>88</v>
      </c>
      <c r="M85" s="15" t="n">
        <v>0</v>
      </c>
      <c r="N85" s="14">
        <f>IF(COUNT(I85:M85)=0,"",SUM(I85:M85))</f>
        <v/>
      </c>
      <c r="O85" t="inlineStr"/>
    </row>
    <row r="86">
      <c r="A86" t="inlineStr">
        <is>
          <t>대천유치원</t>
        </is>
      </c>
      <c r="B86" t="inlineStr">
        <is>
          <t>유치원</t>
        </is>
      </c>
      <c r="C86" t="inlineStr">
        <is>
          <t>사립(사인)</t>
        </is>
      </c>
      <c r="D86" t="inlineStr">
        <is>
          <t>남구</t>
        </is>
      </c>
      <c r="E86" t="inlineStr">
        <is>
          <t>부산광역시 남구 유엔평화로47번길 125</t>
        </is>
      </c>
      <c r="F86" t="inlineStr"/>
      <c r="G86" t="inlineStr">
        <is>
          <t>051-627-5622</t>
        </is>
      </c>
      <c r="H86" s="15" t="n">
        <v>174</v>
      </c>
      <c r="I86" s="15" t="n">
        <v>33</v>
      </c>
      <c r="J86" s="15" t="n">
        <v>34</v>
      </c>
      <c r="K86" s="15" t="n">
        <v>29</v>
      </c>
      <c r="L86" s="15" t="n">
        <v>0</v>
      </c>
      <c r="M86" s="15" t="n">
        <v>0</v>
      </c>
      <c r="N86" s="14">
        <f>IF(COUNT(I86:M86)=0,"",SUM(I86:M86))</f>
        <v/>
      </c>
      <c r="O86" t="inlineStr"/>
    </row>
    <row r="87">
      <c r="A87" t="inlineStr">
        <is>
          <t>롯데캐슬레전드유치원</t>
        </is>
      </c>
      <c r="B87" t="inlineStr">
        <is>
          <t>유치원</t>
        </is>
      </c>
      <c r="C87" t="inlineStr">
        <is>
          <t>사립(사인)</t>
        </is>
      </c>
      <c r="D87" t="inlineStr">
        <is>
          <t>남구</t>
        </is>
      </c>
      <c r="E87" t="inlineStr">
        <is>
          <t>부산광역시 남구 수영로 135</t>
        </is>
      </c>
      <c r="F87" t="inlineStr"/>
      <c r="G87" t="inlineStr">
        <is>
          <t>051-714-6757</t>
        </is>
      </c>
      <c r="H87" s="15" t="n">
        <v>252</v>
      </c>
      <c r="I87" s="15" t="n">
        <v>0</v>
      </c>
      <c r="J87" s="15" t="n">
        <v>94</v>
      </c>
      <c r="K87" s="15" t="n">
        <v>78</v>
      </c>
      <c r="L87" s="15" t="n">
        <v>66</v>
      </c>
      <c r="M87" s="15" t="n">
        <v>0</v>
      </c>
      <c r="N87" s="14">
        <f>IF(COUNT(I87:M87)=0,"",SUM(I87:M87))</f>
        <v/>
      </c>
      <c r="O87" t="inlineStr"/>
    </row>
    <row r="88">
      <c r="A88" t="inlineStr">
        <is>
          <t>마루유치원</t>
        </is>
      </c>
      <c r="B88" t="inlineStr">
        <is>
          <t>유치원</t>
        </is>
      </c>
      <c r="C88" t="inlineStr">
        <is>
          <t>사립(사인)</t>
        </is>
      </c>
      <c r="D88" t="inlineStr">
        <is>
          <t>남구</t>
        </is>
      </c>
      <c r="E88" t="inlineStr">
        <is>
          <t>부산광역시 남구 용주로30번길 69</t>
        </is>
      </c>
      <c r="F88" t="inlineStr"/>
      <c r="G88" t="inlineStr">
        <is>
          <t>051-714-7272</t>
        </is>
      </c>
      <c r="H88" s="15" t="n">
        <v>184</v>
      </c>
      <c r="I88" s="15" t="n">
        <v>0</v>
      </c>
      <c r="J88" s="15" t="n">
        <v>0</v>
      </c>
      <c r="K88" s="15" t="n">
        <v>52</v>
      </c>
      <c r="L88" s="15" t="n">
        <v>124</v>
      </c>
      <c r="M88" s="15" t="n">
        <v>0</v>
      </c>
      <c r="N88" s="14">
        <f>IF(COUNT(I88:M88)=0,"",SUM(I88:M88))</f>
        <v/>
      </c>
      <c r="O88" t="inlineStr"/>
    </row>
    <row r="89">
      <c r="A89" t="inlineStr">
        <is>
          <t>메트로자연유치원</t>
        </is>
      </c>
      <c r="B89" t="inlineStr">
        <is>
          <t>유치원</t>
        </is>
      </c>
      <c r="C89" t="inlineStr">
        <is>
          <t>사립(사인)</t>
        </is>
      </c>
      <c r="D89" t="inlineStr">
        <is>
          <t>남구</t>
        </is>
      </c>
      <c r="E89" t="inlineStr">
        <is>
          <t>부산광역시 남구 분포로 113</t>
        </is>
      </c>
      <c r="F89" t="inlineStr"/>
      <c r="G89" t="inlineStr">
        <is>
          <t>051-612-6677</t>
        </is>
      </c>
      <c r="H89" s="15" t="n">
        <v>216</v>
      </c>
      <c r="I89" s="15" t="n">
        <v>0</v>
      </c>
      <c r="J89" s="15" t="n">
        <v>0</v>
      </c>
      <c r="K89" s="15" t="n">
        <v>0</v>
      </c>
      <c r="L89" s="15" t="n">
        <v>156</v>
      </c>
      <c r="M89" s="15" t="n">
        <v>0</v>
      </c>
      <c r="N89" s="14">
        <f>IF(COUNT(I89:M89)=0,"",SUM(I89:M89))</f>
        <v/>
      </c>
      <c r="O89" t="inlineStr"/>
    </row>
    <row r="90">
      <c r="A90" t="inlineStr">
        <is>
          <t>명문글로벌유치원</t>
        </is>
      </c>
      <c r="B90" t="inlineStr">
        <is>
          <t>유치원</t>
        </is>
      </c>
      <c r="C90" t="inlineStr">
        <is>
          <t>사립(사인)</t>
        </is>
      </c>
      <c r="D90" t="inlineStr">
        <is>
          <t>남구</t>
        </is>
      </c>
      <c r="E90" t="inlineStr">
        <is>
          <t>부산광역시 남구 진남로232번길 51</t>
        </is>
      </c>
      <c r="F90" t="inlineStr"/>
      <c r="G90" t="inlineStr">
        <is>
          <t>051-636-0086</t>
        </is>
      </c>
      <c r="H90" s="15" t="n">
        <v>100</v>
      </c>
      <c r="I90" s="15" t="n">
        <v>0</v>
      </c>
      <c r="J90" s="15" t="n">
        <v>0</v>
      </c>
      <c r="K90" s="15" t="n">
        <v>0</v>
      </c>
      <c r="L90" s="15" t="n">
        <v>100</v>
      </c>
      <c r="M90" s="15" t="n">
        <v>0</v>
      </c>
      <c r="N90" s="14">
        <f>IF(COUNT(I90:M90)=0,"",SUM(I90:M90))</f>
        <v/>
      </c>
      <c r="O90" t="inlineStr"/>
    </row>
    <row r="91">
      <c r="A91" t="inlineStr">
        <is>
          <t>무지개유치원</t>
        </is>
      </c>
      <c r="B91" t="inlineStr">
        <is>
          <t>유치원</t>
        </is>
      </c>
      <c r="C91" t="inlineStr">
        <is>
          <t>사립(사인)</t>
        </is>
      </c>
      <c r="D91" t="inlineStr">
        <is>
          <t>남구</t>
        </is>
      </c>
      <c r="E91" t="inlineStr">
        <is>
          <t>부산광역시 남구 못골번영로 72</t>
        </is>
      </c>
      <c r="F91" t="inlineStr"/>
      <c r="G91" t="inlineStr">
        <is>
          <t>051-628-2878</t>
        </is>
      </c>
      <c r="H91" s="15" t="n">
        <v>160</v>
      </c>
      <c r="I91" s="15" t="n">
        <v>52</v>
      </c>
      <c r="J91" s="15" t="n">
        <v>52</v>
      </c>
      <c r="K91" s="15" t="n">
        <v>52</v>
      </c>
      <c r="L91" s="15" t="n">
        <v>0</v>
      </c>
      <c r="M91" s="15" t="n">
        <v>0</v>
      </c>
      <c r="N91" s="14">
        <f>IF(COUNT(I91:M91)=0,"",SUM(I91:M91))</f>
        <v/>
      </c>
      <c r="O91" t="inlineStr"/>
    </row>
    <row r="92">
      <c r="A92" t="inlineStr">
        <is>
          <t>문현초등학교병설유치원</t>
        </is>
      </c>
      <c r="B92" t="inlineStr">
        <is>
          <t>유치원</t>
        </is>
      </c>
      <c r="C92" t="inlineStr">
        <is>
          <t>공립(병설)</t>
        </is>
      </c>
      <c r="D92" t="inlineStr">
        <is>
          <t>남구</t>
        </is>
      </c>
      <c r="E92" t="inlineStr">
        <is>
          <t>부산광역시 남구 고동골로 86-13</t>
        </is>
      </c>
      <c r="F92" s="11" t="inlineStr">
        <is>
          <t>http://moonhyun.es.kr/</t>
        </is>
      </c>
      <c r="G92" t="inlineStr">
        <is>
          <t>051-946-2122</t>
        </is>
      </c>
      <c r="H92" s="15" t="n">
        <v>53</v>
      </c>
      <c r="I92" s="15" t="n">
        <v>4</v>
      </c>
      <c r="J92" s="15" t="n">
        <v>8</v>
      </c>
      <c r="K92" s="15" t="n">
        <v>7</v>
      </c>
      <c r="L92" s="15" t="n">
        <v>0</v>
      </c>
      <c r="M92" s="15" t="n">
        <v>2</v>
      </c>
      <c r="N92" s="14">
        <f>IF(COUNT(I92:M92)=0,"",SUM(I92:M92))</f>
        <v/>
      </c>
      <c r="O92" t="inlineStr"/>
    </row>
    <row r="93">
      <c r="A93" t="inlineStr">
        <is>
          <t>백합유치원</t>
        </is>
      </c>
      <c r="B93" t="inlineStr">
        <is>
          <t>유치원</t>
        </is>
      </c>
      <c r="C93" t="inlineStr">
        <is>
          <t>사립(사인)</t>
        </is>
      </c>
      <c r="D93" t="inlineStr">
        <is>
          <t>남구</t>
        </is>
      </c>
      <c r="E93" t="inlineStr">
        <is>
          <t>부산광역시 남구 석포로73번나길 13</t>
        </is>
      </c>
      <c r="F93" t="inlineStr"/>
      <c r="G93" t="inlineStr">
        <is>
          <t>051-624-2980</t>
        </is>
      </c>
      <c r="H93" s="15" t="n">
        <v>189</v>
      </c>
      <c r="I93" s="15" t="n">
        <v>25</v>
      </c>
      <c r="J93" s="15" t="n">
        <v>14</v>
      </c>
      <c r="K93" s="15" t="n">
        <v>16</v>
      </c>
      <c r="L93" s="15" t="n">
        <v>0</v>
      </c>
      <c r="M93" s="15" t="n">
        <v>0</v>
      </c>
      <c r="N93" s="14">
        <f>IF(COUNT(I93:M93)=0,"",SUM(I93:M93))</f>
        <v/>
      </c>
      <c r="O93" t="inlineStr"/>
    </row>
    <row r="94">
      <c r="A94" t="inlineStr">
        <is>
          <t>부산대연유치원</t>
        </is>
      </c>
      <c r="B94" t="inlineStr">
        <is>
          <t>유치원</t>
        </is>
      </c>
      <c r="C94" t="inlineStr">
        <is>
          <t>사립(사인)</t>
        </is>
      </c>
      <c r="D94" t="inlineStr">
        <is>
          <t>남구</t>
        </is>
      </c>
      <c r="E94" t="inlineStr">
        <is>
          <t>부산광역시 남구 진남로165번길 4</t>
        </is>
      </c>
      <c r="F94" s="11" t="inlineStr">
        <is>
          <t>https://school.busanedu.net/daeyeon-k</t>
        </is>
      </c>
      <c r="G94" t="inlineStr">
        <is>
          <t>051-633-7755</t>
        </is>
      </c>
      <c r="H94" s="15" t="n">
        <v>238</v>
      </c>
      <c r="I94" s="15" t="n">
        <v>0</v>
      </c>
      <c r="J94" s="15" t="n">
        <v>70</v>
      </c>
      <c r="K94" s="15" t="n">
        <v>77</v>
      </c>
      <c r="L94" s="15" t="n">
        <v>60</v>
      </c>
      <c r="M94" s="15" t="n">
        <v>0</v>
      </c>
      <c r="N94" s="14">
        <f>IF(COUNT(I94:M94)=0,"",SUM(I94:M94))</f>
        <v/>
      </c>
      <c r="O94" t="inlineStr"/>
    </row>
    <row r="95">
      <c r="A95" t="inlineStr">
        <is>
          <t>새부산유치원</t>
        </is>
      </c>
      <c r="B95" t="inlineStr">
        <is>
          <t>유치원</t>
        </is>
      </c>
      <c r="C95" t="inlineStr">
        <is>
          <t>사립(사인)</t>
        </is>
      </c>
      <c r="D95" t="inlineStr">
        <is>
          <t>남구</t>
        </is>
      </c>
      <c r="E95" t="inlineStr">
        <is>
          <t>부산광역시 남구 황령대로319번나길 14</t>
        </is>
      </c>
      <c r="F95" s="11" t="inlineStr">
        <is>
          <t>http://home.saebusan.modukids.com</t>
        </is>
      </c>
      <c r="G95" t="inlineStr">
        <is>
          <t>051-611-2277</t>
        </is>
      </c>
      <c r="H95" s="15" t="n">
        <v>306</v>
      </c>
      <c r="I95" s="15" t="n">
        <v>48</v>
      </c>
      <c r="J95" s="15" t="n">
        <v>61</v>
      </c>
      <c r="K95" s="15" t="n">
        <v>57</v>
      </c>
      <c r="L95" s="15" t="n">
        <v>33</v>
      </c>
      <c r="M95" s="15" t="n">
        <v>0</v>
      </c>
      <c r="N95" s="14">
        <f>IF(COUNT(I95:M95)=0,"",SUM(I95:M95))</f>
        <v/>
      </c>
      <c r="O95" t="inlineStr"/>
    </row>
    <row r="96">
      <c r="A96" t="inlineStr">
        <is>
          <t>색동유치원</t>
        </is>
      </c>
      <c r="B96" t="inlineStr">
        <is>
          <t>유치원</t>
        </is>
      </c>
      <c r="C96" t="inlineStr">
        <is>
          <t>사립(사인)</t>
        </is>
      </c>
      <c r="D96" t="inlineStr">
        <is>
          <t>남구</t>
        </is>
      </c>
      <c r="E96" t="inlineStr">
        <is>
          <t>부산광역시 남구 유엔로120번가길 121</t>
        </is>
      </c>
      <c r="F96" t="inlineStr"/>
      <c r="G96" t="inlineStr">
        <is>
          <t>051-647-6033</t>
        </is>
      </c>
      <c r="H96" s="15" t="n">
        <v>200</v>
      </c>
      <c r="I96" s="15" t="n">
        <v>0</v>
      </c>
      <c r="J96" s="15" t="n">
        <v>69</v>
      </c>
      <c r="K96" s="15" t="n">
        <v>52</v>
      </c>
      <c r="L96" s="15" t="n">
        <v>44</v>
      </c>
      <c r="M96" s="15" t="n">
        <v>0</v>
      </c>
      <c r="N96" s="14">
        <f>IF(COUNT(I96:M96)=0,"",SUM(I96:M96))</f>
        <v/>
      </c>
      <c r="O96" t="inlineStr"/>
    </row>
    <row r="97">
      <c r="A97" t="inlineStr">
        <is>
          <t>선화유치원</t>
        </is>
      </c>
      <c r="B97" t="inlineStr">
        <is>
          <t>유치원</t>
        </is>
      </c>
      <c r="C97" t="inlineStr">
        <is>
          <t>사립(사인)</t>
        </is>
      </c>
      <c r="D97" t="inlineStr">
        <is>
          <t>남구</t>
        </is>
      </c>
      <c r="E97" t="inlineStr">
        <is>
          <t>부산광역시 남구 우암로2번길 5</t>
        </is>
      </c>
      <c r="F97" t="inlineStr"/>
      <c r="G97" t="inlineStr">
        <is>
          <t>051-636-7886</t>
        </is>
      </c>
      <c r="N97" s="14">
        <f>IF(COUNT(I97:M97)=0,"",SUM(I97:M97))</f>
        <v/>
      </c>
      <c r="O97" t="inlineStr">
        <is>
          <t>연령별 현원 미공시(휴원·신설 등)</t>
        </is>
      </c>
    </row>
    <row r="98">
      <c r="A98" t="inlineStr">
        <is>
          <t>성동초등학교병설유치원</t>
        </is>
      </c>
      <c r="B98" t="inlineStr">
        <is>
          <t>유치원</t>
        </is>
      </c>
      <c r="C98" t="inlineStr">
        <is>
          <t>공립(병설)</t>
        </is>
      </c>
      <c r="D98" t="inlineStr">
        <is>
          <t>남구</t>
        </is>
      </c>
      <c r="E98" t="inlineStr">
        <is>
          <t>부산광역시 남구 전포대로68번길 27</t>
        </is>
      </c>
      <c r="F98" s="11" t="inlineStr">
        <is>
          <t>http://school.busanedu.net/esungdong-k/main.do</t>
        </is>
      </c>
      <c r="G98" t="inlineStr">
        <is>
          <t>051-950-1100</t>
        </is>
      </c>
      <c r="H98" s="15" t="n">
        <v>73</v>
      </c>
      <c r="I98" s="15" t="n">
        <v>11</v>
      </c>
      <c r="J98" s="15" t="n">
        <v>14</v>
      </c>
      <c r="K98" s="15" t="n">
        <v>21</v>
      </c>
      <c r="L98" s="15" t="n">
        <v>0</v>
      </c>
      <c r="M98" s="15" t="n">
        <v>1</v>
      </c>
      <c r="N98" s="14">
        <f>IF(COUNT(I98:M98)=0,"",SUM(I98:M98))</f>
        <v/>
      </c>
      <c r="O98" t="inlineStr"/>
    </row>
    <row r="99">
      <c r="A99" t="inlineStr">
        <is>
          <t>성신유치원</t>
        </is>
      </c>
      <c r="B99" t="inlineStr">
        <is>
          <t>유치원</t>
        </is>
      </c>
      <c r="C99" t="inlineStr">
        <is>
          <t>사립(법인)</t>
        </is>
      </c>
      <c r="D99" t="inlineStr">
        <is>
          <t>남구</t>
        </is>
      </c>
      <c r="E99" t="inlineStr">
        <is>
          <t>부산광역시 남구 수영로49번길 5</t>
        </is>
      </c>
      <c r="F99" s="11" t="inlineStr">
        <is>
          <t>http://school.busanedu.net/sungsin-k</t>
        </is>
      </c>
      <c r="G99" t="inlineStr">
        <is>
          <t>051-647-5654</t>
        </is>
      </c>
      <c r="H99" s="15" t="n">
        <v>110</v>
      </c>
      <c r="I99" s="15" t="n">
        <v>14</v>
      </c>
      <c r="J99" s="15" t="n">
        <v>16</v>
      </c>
      <c r="K99" s="15" t="n">
        <v>21</v>
      </c>
      <c r="L99" s="15" t="n">
        <v>0</v>
      </c>
      <c r="M99" s="15" t="n">
        <v>0</v>
      </c>
      <c r="N99" s="14">
        <f>IF(COUNT(I99:M99)=0,"",SUM(I99:M99))</f>
        <v/>
      </c>
      <c r="O99" t="inlineStr"/>
    </row>
    <row r="100">
      <c r="A100" t="inlineStr">
        <is>
          <t>솔유치원</t>
        </is>
      </c>
      <c r="B100" t="inlineStr">
        <is>
          <t>유치원</t>
        </is>
      </c>
      <c r="C100" t="inlineStr">
        <is>
          <t>사립(사인)</t>
        </is>
      </c>
      <c r="D100" t="inlineStr">
        <is>
          <t>남구</t>
        </is>
      </c>
      <c r="E100" t="inlineStr">
        <is>
          <t>부산광역시 남구 용호로231번길 128</t>
        </is>
      </c>
      <c r="F100" s="11" t="inlineStr">
        <is>
          <t>http://school.busanedu.net/sol-k</t>
        </is>
      </c>
      <c r="G100" t="inlineStr">
        <is>
          <t>051-611-1955</t>
        </is>
      </c>
      <c r="H100" s="15" t="n">
        <v>98</v>
      </c>
      <c r="I100" s="15" t="n">
        <v>14</v>
      </c>
      <c r="J100" s="15" t="n">
        <v>8</v>
      </c>
      <c r="K100" s="15" t="n">
        <v>7</v>
      </c>
      <c r="L100" s="15" t="n">
        <v>0</v>
      </c>
      <c r="M100" s="15" t="n">
        <v>0</v>
      </c>
      <c r="N100" s="14">
        <f>IF(COUNT(I100:M100)=0,"",SUM(I100:M100))</f>
        <v/>
      </c>
      <c r="O100" t="inlineStr"/>
    </row>
    <row r="101">
      <c r="A101" t="inlineStr">
        <is>
          <t>연포초등학교병설유치원</t>
        </is>
      </c>
      <c r="B101" t="inlineStr">
        <is>
          <t>유치원</t>
        </is>
      </c>
      <c r="C101" t="inlineStr">
        <is>
          <t>공립(병설)</t>
        </is>
      </c>
      <c r="D101" t="inlineStr">
        <is>
          <t>남구</t>
        </is>
      </c>
      <c r="E101" t="inlineStr">
        <is>
          <t>부산광역시 남구 못골로 17</t>
        </is>
      </c>
      <c r="F101" s="11" t="inlineStr">
        <is>
          <t>http://school.busanedu.net/yonpo-k/main.do</t>
        </is>
      </c>
      <c r="G101" t="inlineStr">
        <is>
          <t>051-630-1090</t>
        </is>
      </c>
      <c r="H101" s="15" t="n">
        <v>73</v>
      </c>
      <c r="I101" s="15" t="n">
        <v>13</v>
      </c>
      <c r="J101" s="15" t="n">
        <v>19</v>
      </c>
      <c r="K101" s="15" t="n">
        <v>26</v>
      </c>
      <c r="L101" s="15" t="n">
        <v>0</v>
      </c>
      <c r="M101" s="15" t="n">
        <v>5</v>
      </c>
      <c r="N101" s="14">
        <f>IF(COUNT(I101:M101)=0,"",SUM(I101:M101))</f>
        <v/>
      </c>
      <c r="O101" t="inlineStr"/>
    </row>
    <row r="102">
      <c r="A102" t="inlineStr">
        <is>
          <t>용산초등학교병설유치원</t>
        </is>
      </c>
      <c r="B102" t="inlineStr">
        <is>
          <t>유치원</t>
        </is>
      </c>
      <c r="C102" t="inlineStr">
        <is>
          <t>공립(병설)</t>
        </is>
      </c>
      <c r="D102" t="inlineStr">
        <is>
          <t>남구</t>
        </is>
      </c>
      <c r="E102" t="inlineStr">
        <is>
          <t>부산광역시 남구 동명로176번길 55</t>
        </is>
      </c>
      <c r="F102" s="11" t="inlineStr">
        <is>
          <t>http://school.busanedu.net/yong-san-k/main.do</t>
        </is>
      </c>
      <c r="G102" t="inlineStr">
        <is>
          <t>051-610-7326</t>
        </is>
      </c>
      <c r="H102" s="15" t="n">
        <v>37</v>
      </c>
      <c r="I102" s="15" t="n">
        <v>0</v>
      </c>
      <c r="J102" s="15" t="n">
        <v>0</v>
      </c>
      <c r="K102" s="15" t="n">
        <v>8</v>
      </c>
      <c r="L102" s="15" t="n">
        <v>8</v>
      </c>
      <c r="M102" s="15" t="n">
        <v>1</v>
      </c>
      <c r="N102" s="14">
        <f>IF(COUNT(I102:M102)=0,"",SUM(I102:M102))</f>
        <v/>
      </c>
      <c r="O102" t="inlineStr"/>
    </row>
    <row r="103">
      <c r="A103" t="inlineStr">
        <is>
          <t>용소초등학교병설유치원</t>
        </is>
      </c>
      <c r="B103" t="inlineStr">
        <is>
          <t>유치원</t>
        </is>
      </c>
      <c r="C103" t="inlineStr">
        <is>
          <t>공립(병설)</t>
        </is>
      </c>
      <c r="D103" t="inlineStr">
        <is>
          <t>남구</t>
        </is>
      </c>
      <c r="E103" t="inlineStr">
        <is>
          <t>부산광역시 남구 수영로325번길 114</t>
        </is>
      </c>
      <c r="F103" s="11" t="inlineStr">
        <is>
          <t>http://school.busanedu.net/yong-so-k/main.do</t>
        </is>
      </c>
      <c r="G103" t="inlineStr">
        <is>
          <t>051-750-9780</t>
        </is>
      </c>
      <c r="H103" s="15" t="n">
        <v>72</v>
      </c>
      <c r="I103" s="15" t="n">
        <v>13</v>
      </c>
      <c r="J103" s="15" t="n">
        <v>22</v>
      </c>
      <c r="K103" s="15" t="n">
        <v>17</v>
      </c>
      <c r="L103" s="15" t="n">
        <v>0</v>
      </c>
      <c r="M103" s="15" t="n">
        <v>0</v>
      </c>
      <c r="N103" s="14">
        <f>IF(COUNT(I103:M103)=0,"",SUM(I103:M103))</f>
        <v/>
      </c>
      <c r="O103" t="inlineStr"/>
    </row>
    <row r="104">
      <c r="A104" t="inlineStr">
        <is>
          <t>우암초등학교병설유치원</t>
        </is>
      </c>
      <c r="B104" t="inlineStr">
        <is>
          <t>유치원</t>
        </is>
      </c>
      <c r="C104" t="inlineStr">
        <is>
          <t>공립(병설)</t>
        </is>
      </c>
      <c r="D104" t="inlineStr">
        <is>
          <t>남구</t>
        </is>
      </c>
      <c r="E104" t="inlineStr">
        <is>
          <t>부산광역시 남구 우암로 190-19</t>
        </is>
      </c>
      <c r="F104" s="11" t="inlineStr">
        <is>
          <t>http://school.busanedu.net/uambusan-k</t>
        </is>
      </c>
      <c r="G104" t="inlineStr">
        <is>
          <t>070-8709-2117</t>
        </is>
      </c>
      <c r="H104" s="15" t="n">
        <v>17</v>
      </c>
      <c r="I104" s="15" t="n">
        <v>0</v>
      </c>
      <c r="J104" s="15" t="n">
        <v>0</v>
      </c>
      <c r="K104" s="15" t="n">
        <v>0</v>
      </c>
      <c r="L104" s="15" t="n">
        <v>9</v>
      </c>
      <c r="M104" s="15" t="n">
        <v>0</v>
      </c>
      <c r="N104" s="14">
        <f>IF(COUNT(I104:M104)=0,"",SUM(I104:M104))</f>
        <v/>
      </c>
      <c r="O104" t="inlineStr"/>
    </row>
    <row r="105">
      <c r="A105" t="inlineStr">
        <is>
          <t>은하유치원</t>
        </is>
      </c>
      <c r="B105" t="inlineStr">
        <is>
          <t>유치원</t>
        </is>
      </c>
      <c r="C105" t="inlineStr">
        <is>
          <t>사립(법인)</t>
        </is>
      </c>
      <c r="D105" t="inlineStr">
        <is>
          <t>남구</t>
        </is>
      </c>
      <c r="E105" t="inlineStr">
        <is>
          <t>부산광역시 남구 수영로266번길 54</t>
        </is>
      </c>
      <c r="F105" s="11" t="inlineStr">
        <is>
          <t>http://school.busanedu.net/eunha-k/main.do</t>
        </is>
      </c>
      <c r="G105" t="inlineStr">
        <is>
          <t>051-627-0635</t>
        </is>
      </c>
      <c r="H105" s="15" t="n">
        <v>180</v>
      </c>
      <c r="I105" s="15" t="n">
        <v>16</v>
      </c>
      <c r="J105" s="15" t="n">
        <v>18</v>
      </c>
      <c r="K105" s="15" t="n">
        <v>23</v>
      </c>
      <c r="L105" s="15" t="n">
        <v>0</v>
      </c>
      <c r="M105" s="15" t="n">
        <v>0</v>
      </c>
      <c r="N105" s="14">
        <f>IF(COUNT(I105:M105)=0,"",SUM(I105:M105))</f>
        <v/>
      </c>
      <c r="O105" t="inlineStr"/>
    </row>
    <row r="106">
      <c r="A106" t="inlineStr">
        <is>
          <t>키즈포레유치원</t>
        </is>
      </c>
      <c r="B106" t="inlineStr">
        <is>
          <t>유치원</t>
        </is>
      </c>
      <c r="C106" t="inlineStr">
        <is>
          <t>사립(사인)</t>
        </is>
      </c>
      <c r="D106" t="inlineStr">
        <is>
          <t>남구</t>
        </is>
      </c>
      <c r="E106" t="inlineStr">
        <is>
          <t>부산광역시 남구 유엔평화로47번길 98</t>
        </is>
      </c>
      <c r="F106" t="inlineStr"/>
      <c r="G106" t="inlineStr">
        <is>
          <t>051-621-1331</t>
        </is>
      </c>
      <c r="H106" s="15" t="n">
        <v>140</v>
      </c>
      <c r="I106" s="15" t="n">
        <v>0</v>
      </c>
      <c r="J106" s="15" t="n">
        <v>48</v>
      </c>
      <c r="K106" s="15" t="n">
        <v>42</v>
      </c>
      <c r="L106" s="15" t="n">
        <v>44</v>
      </c>
      <c r="M106" s="15" t="n">
        <v>0</v>
      </c>
      <c r="N106" s="14">
        <f>IF(COUNT(I106:M106)=0,"",SUM(I106:M106))</f>
        <v/>
      </c>
      <c r="O106" t="inlineStr"/>
    </row>
    <row r="107">
      <c r="A107" t="inlineStr">
        <is>
          <t>해맑은유치원</t>
        </is>
      </c>
      <c r="B107" t="inlineStr">
        <is>
          <t>유치원</t>
        </is>
      </c>
      <c r="C107" t="inlineStr">
        <is>
          <t>사립(사인)</t>
        </is>
      </c>
      <c r="D107" t="inlineStr">
        <is>
          <t>남구</t>
        </is>
      </c>
      <c r="E107" t="inlineStr">
        <is>
          <t>부산광역시 남구 동명로118번길 63</t>
        </is>
      </c>
      <c r="F107" s="11" t="inlineStr">
        <is>
          <t>https://school.busanedu.net/haemalkeun-k</t>
        </is>
      </c>
      <c r="G107" t="inlineStr">
        <is>
          <t>051-624-0630</t>
        </is>
      </c>
      <c r="H107" s="15" t="n">
        <v>130</v>
      </c>
      <c r="I107" s="15" t="n">
        <v>12</v>
      </c>
      <c r="J107" s="15" t="n">
        <v>24</v>
      </c>
      <c r="K107" s="15" t="n">
        <v>24</v>
      </c>
      <c r="L107" s="15" t="n">
        <v>0</v>
      </c>
      <c r="M107" s="15" t="n">
        <v>0</v>
      </c>
      <c r="N107" s="14">
        <f>IF(COUNT(I107:M107)=0,"",SUM(I107:M107))</f>
        <v/>
      </c>
      <c r="O107" t="inlineStr"/>
    </row>
    <row r="108">
      <c r="A108" t="inlineStr">
        <is>
          <t>동일유치원</t>
        </is>
      </c>
      <c r="B108" t="inlineStr">
        <is>
          <t>유치원</t>
        </is>
      </c>
      <c r="C108" t="inlineStr">
        <is>
          <t>공립(단설)</t>
        </is>
      </c>
      <c r="D108" t="inlineStr">
        <is>
          <t>동구</t>
        </is>
      </c>
      <c r="E108" t="inlineStr">
        <is>
          <t>부산광역시 동구 구봉로 46</t>
        </is>
      </c>
      <c r="F108" s="11" t="inlineStr">
        <is>
          <t>http://school.busanedu.net/dongilkid-k</t>
        </is>
      </c>
      <c r="G108" t="inlineStr">
        <is>
          <t>051-468-9882</t>
        </is>
      </c>
      <c r="H108" s="15" t="n">
        <v>106</v>
      </c>
      <c r="I108" s="15" t="n">
        <v>28</v>
      </c>
      <c r="J108" s="15" t="n">
        <v>36</v>
      </c>
      <c r="K108" s="15" t="n">
        <v>33</v>
      </c>
      <c r="L108" s="15" t="n">
        <v>0</v>
      </c>
      <c r="M108" s="15" t="n">
        <v>4</v>
      </c>
      <c r="N108" s="14">
        <f>IF(COUNT(I108:M108)=0,"",SUM(I108:M108))</f>
        <v/>
      </c>
      <c r="O108" t="inlineStr"/>
    </row>
    <row r="109">
      <c r="A109" t="inlineStr">
        <is>
          <t>묘음유치원</t>
        </is>
      </c>
      <c r="B109" t="inlineStr">
        <is>
          <t>유치원</t>
        </is>
      </c>
      <c r="C109" t="inlineStr">
        <is>
          <t>사립(사인)</t>
        </is>
      </c>
      <c r="D109" t="inlineStr">
        <is>
          <t>동구</t>
        </is>
      </c>
      <c r="E109" t="inlineStr">
        <is>
          <t>부산광역시 동구 홍곡남로53번길 19-6</t>
        </is>
      </c>
      <c r="F109" t="inlineStr"/>
      <c r="G109" t="inlineStr">
        <is>
          <t>051-465-2277</t>
        </is>
      </c>
      <c r="H109" s="15" t="n">
        <v>154</v>
      </c>
      <c r="I109" s="15" t="n">
        <v>28</v>
      </c>
      <c r="J109" s="15" t="n">
        <v>39</v>
      </c>
      <c r="K109" s="15" t="n">
        <v>42</v>
      </c>
      <c r="L109" s="15" t="n">
        <v>0</v>
      </c>
      <c r="M109" s="15" t="n">
        <v>0</v>
      </c>
      <c r="N109" s="14">
        <f>IF(COUNT(I109:M109)=0,"",SUM(I109:M109))</f>
        <v/>
      </c>
      <c r="O109" t="inlineStr"/>
    </row>
    <row r="110">
      <c r="A110" t="inlineStr">
        <is>
          <t>범일초등학교병설유치원</t>
        </is>
      </c>
      <c r="B110" t="inlineStr">
        <is>
          <t>유치원</t>
        </is>
      </c>
      <c r="C110" t="inlineStr">
        <is>
          <t>공립(병설)</t>
        </is>
      </c>
      <c r="D110" t="inlineStr">
        <is>
          <t>동구</t>
        </is>
      </c>
      <c r="E110" t="inlineStr">
        <is>
          <t>부산광역시 동구 증산서로 55</t>
        </is>
      </c>
      <c r="F110" s="11" t="inlineStr">
        <is>
          <t>http://beom-il.es.kr</t>
        </is>
      </c>
      <c r="G110" t="inlineStr">
        <is>
          <t>051-630-6070</t>
        </is>
      </c>
      <c r="H110" s="15" t="n">
        <v>17</v>
      </c>
      <c r="I110" s="15" t="n">
        <v>0</v>
      </c>
      <c r="J110" s="15" t="n">
        <v>0</v>
      </c>
      <c r="K110" s="15" t="n">
        <v>0</v>
      </c>
      <c r="L110" s="15" t="n">
        <v>8</v>
      </c>
      <c r="M110" s="15" t="n">
        <v>0</v>
      </c>
      <c r="N110" s="14">
        <f>IF(COUNT(I110:M110)=0,"",SUM(I110:M110))</f>
        <v/>
      </c>
      <c r="O110" t="inlineStr"/>
    </row>
    <row r="111">
      <c r="A111" t="inlineStr">
        <is>
          <t>성남초등학교병설유치원</t>
        </is>
      </c>
      <c r="B111" t="inlineStr">
        <is>
          <t>유치원</t>
        </is>
      </c>
      <c r="C111" t="inlineStr">
        <is>
          <t>공립(병설)</t>
        </is>
      </c>
      <c r="D111" t="inlineStr">
        <is>
          <t>동구</t>
        </is>
      </c>
      <c r="E111" t="inlineStr">
        <is>
          <t>부산광역시 동구 범일로53번길 14</t>
        </is>
      </c>
      <c r="F111" s="11" t="inlineStr">
        <is>
          <t>http://school.busanedu.net/pusansungnam-k</t>
        </is>
      </c>
      <c r="G111" t="inlineStr">
        <is>
          <t>051-646-9754</t>
        </is>
      </c>
      <c r="H111" s="15" t="n">
        <v>73</v>
      </c>
      <c r="I111" s="15" t="n">
        <v>14</v>
      </c>
      <c r="J111" s="15" t="n">
        <v>16</v>
      </c>
      <c r="K111" s="15" t="n">
        <v>21</v>
      </c>
      <c r="L111" s="15" t="n">
        <v>0</v>
      </c>
      <c r="M111" s="15" t="n">
        <v>0</v>
      </c>
      <c r="N111" s="14">
        <f>IF(COUNT(I111:M111)=0,"",SUM(I111:M111))</f>
        <v/>
      </c>
      <c r="O111" t="inlineStr"/>
    </row>
    <row r="112">
      <c r="A112" t="inlineStr">
        <is>
          <t>수성초등학교병설유치원</t>
        </is>
      </c>
      <c r="B112" t="inlineStr">
        <is>
          <t>유치원</t>
        </is>
      </c>
      <c r="C112" t="inlineStr">
        <is>
          <t>공립(병설)</t>
        </is>
      </c>
      <c r="D112" t="inlineStr">
        <is>
          <t>동구</t>
        </is>
      </c>
      <c r="E112" t="inlineStr">
        <is>
          <t>부산광역시 동구 망양로 807</t>
        </is>
      </c>
      <c r="F112" s="11" t="inlineStr">
        <is>
          <t>http://suseong.es.kr</t>
        </is>
      </c>
      <c r="G112" t="inlineStr">
        <is>
          <t>051-466-1838</t>
        </is>
      </c>
      <c r="H112" s="15" t="n">
        <v>31</v>
      </c>
      <c r="I112" s="15" t="n">
        <v>4</v>
      </c>
      <c r="J112" s="15" t="n">
        <v>0</v>
      </c>
      <c r="K112" s="15" t="n">
        <v>0</v>
      </c>
      <c r="L112" s="15" t="n">
        <v>5</v>
      </c>
      <c r="M112" s="15" t="n">
        <v>0</v>
      </c>
      <c r="N112" s="14">
        <f>IF(COUNT(I112:M112)=0,"",SUM(I112:M112))</f>
        <v/>
      </c>
      <c r="O112" t="inlineStr"/>
    </row>
    <row r="113">
      <c r="A113" t="inlineStr">
        <is>
          <t>일신유치원</t>
        </is>
      </c>
      <c r="B113" t="inlineStr">
        <is>
          <t>유치원</t>
        </is>
      </c>
      <c r="C113" t="inlineStr">
        <is>
          <t>사립(사인)</t>
        </is>
      </c>
      <c r="D113" t="inlineStr">
        <is>
          <t>동구</t>
        </is>
      </c>
      <c r="E113" t="inlineStr">
        <is>
          <t>부산광역시 동구 정공단로 17</t>
        </is>
      </c>
      <c r="F113" t="inlineStr"/>
      <c r="G113" t="inlineStr">
        <is>
          <t>051-632-3371</t>
        </is>
      </c>
      <c r="H113" s="15" t="n">
        <v>110</v>
      </c>
      <c r="I113" s="15" t="n">
        <v>8</v>
      </c>
      <c r="J113" s="15" t="n">
        <v>7</v>
      </c>
      <c r="K113" s="15" t="n">
        <v>19</v>
      </c>
      <c r="L113" s="15" t="n">
        <v>0</v>
      </c>
      <c r="M113" s="15" t="n">
        <v>0</v>
      </c>
      <c r="N113" s="14">
        <f>IF(COUNT(I113:M113)=0,"",SUM(I113:M113))</f>
        <v/>
      </c>
      <c r="O113" t="inlineStr"/>
    </row>
    <row r="114">
      <c r="A114" t="inlineStr">
        <is>
          <t>한림유치원</t>
        </is>
      </c>
      <c r="B114" t="inlineStr">
        <is>
          <t>유치원</t>
        </is>
      </c>
      <c r="C114" t="inlineStr">
        <is>
          <t>사립(사인)</t>
        </is>
      </c>
      <c r="D114" t="inlineStr">
        <is>
          <t>동구</t>
        </is>
      </c>
      <c r="E114" t="inlineStr">
        <is>
          <t>부산광역시 동구 홍곡남로 3</t>
        </is>
      </c>
      <c r="F114" s="11" t="inlineStr">
        <is>
          <t>http://school.busanedu.net/hanlim-k</t>
        </is>
      </c>
      <c r="G114" t="inlineStr">
        <is>
          <t>051-464-1224</t>
        </is>
      </c>
      <c r="H114" s="15" t="n">
        <v>270</v>
      </c>
      <c r="I114" s="15" t="n">
        <v>76</v>
      </c>
      <c r="J114" s="15" t="n">
        <v>78</v>
      </c>
      <c r="K114" s="15" t="n">
        <v>75</v>
      </c>
      <c r="L114" s="15" t="n">
        <v>0</v>
      </c>
      <c r="M114" s="15" t="n">
        <v>0</v>
      </c>
      <c r="N114" s="14">
        <f>IF(COUNT(I114:M114)=0,"",SUM(I114:M114))</f>
        <v/>
      </c>
      <c r="O114" t="inlineStr"/>
    </row>
    <row r="115">
      <c r="A115" t="inlineStr">
        <is>
          <t>교동초등학교병설유치원</t>
        </is>
      </c>
      <c r="B115" t="inlineStr">
        <is>
          <t>유치원</t>
        </is>
      </c>
      <c r="C115" t="inlineStr">
        <is>
          <t>공립(병설)</t>
        </is>
      </c>
      <c r="D115" t="inlineStr">
        <is>
          <t>동래구</t>
        </is>
      </c>
      <c r="E115" t="inlineStr">
        <is>
          <t>부산광역시 동래구 시실로 73-13</t>
        </is>
      </c>
      <c r="F115" s="11" t="inlineStr">
        <is>
          <t>http://school.busanedu.net/kd-k/main.do</t>
        </is>
      </c>
      <c r="G115" t="inlineStr">
        <is>
          <t>051-620-0191</t>
        </is>
      </c>
      <c r="H115" s="15" t="n">
        <v>17</v>
      </c>
      <c r="I115" s="15" t="n">
        <v>0</v>
      </c>
      <c r="J115" s="15" t="n">
        <v>0</v>
      </c>
      <c r="K115" s="15" t="n">
        <v>0</v>
      </c>
      <c r="L115" s="15" t="n">
        <v>4</v>
      </c>
      <c r="M115" s="15" t="n">
        <v>0</v>
      </c>
      <c r="N115" s="14">
        <f>IF(COUNT(I115:M115)=0,"",SUM(I115:M115))</f>
        <v/>
      </c>
      <c r="O115" t="inlineStr"/>
    </row>
    <row r="116">
      <c r="A116" t="inlineStr">
        <is>
          <t>낙민초등학교병설유치원</t>
        </is>
      </c>
      <c r="B116" t="inlineStr">
        <is>
          <t>유치원</t>
        </is>
      </c>
      <c r="C116" t="inlineStr">
        <is>
          <t>공립(병설)</t>
        </is>
      </c>
      <c r="D116" t="inlineStr">
        <is>
          <t>동래구</t>
        </is>
      </c>
      <c r="E116" t="inlineStr">
        <is>
          <t>부산광역시 동래구 충렬대로272번길 34</t>
        </is>
      </c>
      <c r="F116" s="11" t="inlineStr">
        <is>
          <t>http://school.busanedu.net/nakmin-k/main.do</t>
        </is>
      </c>
      <c r="G116" t="inlineStr">
        <is>
          <t>051-712-5270</t>
        </is>
      </c>
      <c r="H116" s="15" t="n">
        <v>53</v>
      </c>
      <c r="I116" s="15" t="n">
        <v>10</v>
      </c>
      <c r="J116" s="15" t="n">
        <v>9</v>
      </c>
      <c r="K116" s="15" t="n">
        <v>19</v>
      </c>
      <c r="L116" s="15" t="n">
        <v>0</v>
      </c>
      <c r="M116" s="15" t="n">
        <v>0</v>
      </c>
      <c r="N116" s="14">
        <f>IF(COUNT(I116:M116)=0,"",SUM(I116:M116))</f>
        <v/>
      </c>
      <c r="O116" t="inlineStr"/>
    </row>
    <row r="117">
      <c r="A117" t="inlineStr">
        <is>
          <t>내성초등학교병설유치원</t>
        </is>
      </c>
      <c r="B117" t="inlineStr">
        <is>
          <t>유치원</t>
        </is>
      </c>
      <c r="C117" t="inlineStr">
        <is>
          <t>공립(병설)</t>
        </is>
      </c>
      <c r="D117" t="inlineStr">
        <is>
          <t>동래구</t>
        </is>
      </c>
      <c r="E117" t="inlineStr">
        <is>
          <t>부산광역시 동래구 동래로 173</t>
        </is>
      </c>
      <c r="F117" s="11" t="inlineStr">
        <is>
          <t>https://school.busanedu.net/naesung-k</t>
        </is>
      </c>
      <c r="G117" t="inlineStr">
        <is>
          <t>051-550-8695</t>
        </is>
      </c>
      <c r="H117" s="15" t="n">
        <v>92</v>
      </c>
      <c r="I117" s="15" t="n">
        <v>11</v>
      </c>
      <c r="J117" s="15" t="n">
        <v>24</v>
      </c>
      <c r="K117" s="15" t="n">
        <v>31</v>
      </c>
      <c r="L117" s="15" t="n">
        <v>0</v>
      </c>
      <c r="M117" s="15" t="n">
        <v>4</v>
      </c>
      <c r="N117" s="14">
        <f>IF(COUNT(I117:M117)=0,"",SUM(I117:M117))</f>
        <v/>
      </c>
      <c r="O117" t="inlineStr"/>
    </row>
    <row r="118">
      <c r="A118" t="inlineStr">
        <is>
          <t>느티나무유치원</t>
        </is>
      </c>
      <c r="B118" t="inlineStr">
        <is>
          <t>유치원</t>
        </is>
      </c>
      <c r="C118" t="inlineStr">
        <is>
          <t>사립(사인)</t>
        </is>
      </c>
      <c r="D118" t="inlineStr">
        <is>
          <t>동래구</t>
        </is>
      </c>
      <c r="E118" t="inlineStr">
        <is>
          <t>부산광역시 동래구 온천천로453번길 6</t>
        </is>
      </c>
      <c r="F118" t="inlineStr"/>
      <c r="G118" t="inlineStr">
        <is>
          <t>051-523-3970</t>
        </is>
      </c>
      <c r="H118" s="15" t="n">
        <v>140</v>
      </c>
      <c r="I118" s="15" t="n">
        <v>33</v>
      </c>
      <c r="J118" s="15" t="n">
        <v>24</v>
      </c>
      <c r="K118" s="15" t="n">
        <v>25</v>
      </c>
      <c r="L118" s="15" t="n">
        <v>0</v>
      </c>
      <c r="M118" s="15" t="n">
        <v>0</v>
      </c>
      <c r="N118" s="14">
        <f>IF(COUNT(I118:M118)=0,"",SUM(I118:M118))</f>
        <v/>
      </c>
      <c r="O118" t="inlineStr"/>
    </row>
    <row r="119">
      <c r="A119" t="inlineStr">
        <is>
          <t>동래유치원</t>
        </is>
      </c>
      <c r="B119" t="inlineStr">
        <is>
          <t>유치원</t>
        </is>
      </c>
      <c r="C119" t="inlineStr">
        <is>
          <t>사립(법인)</t>
        </is>
      </c>
      <c r="D119" t="inlineStr">
        <is>
          <t>동래구</t>
        </is>
      </c>
      <c r="E119" t="inlineStr">
        <is>
          <t>부산광역시 동래구 동래로152번가길 21-9</t>
        </is>
      </c>
      <c r="F119" s="11" t="inlineStr">
        <is>
          <t>https://school.busanedu.net/dongnae-k/main.do</t>
        </is>
      </c>
      <c r="G119" t="inlineStr">
        <is>
          <t>051-552-4539</t>
        </is>
      </c>
      <c r="H119" s="15" t="n">
        <v>160</v>
      </c>
      <c r="I119" s="15" t="n">
        <v>11</v>
      </c>
      <c r="J119" s="15" t="n">
        <v>11</v>
      </c>
      <c r="K119" s="15" t="n">
        <v>15</v>
      </c>
      <c r="L119" s="15" t="n">
        <v>0</v>
      </c>
      <c r="M119" s="15" t="n">
        <v>0</v>
      </c>
      <c r="N119" s="14">
        <f>IF(COUNT(I119:M119)=0,"",SUM(I119:M119))</f>
        <v/>
      </c>
      <c r="O119" t="inlineStr"/>
    </row>
    <row r="120">
      <c r="A120" t="inlineStr">
        <is>
          <t>럭키동래유치원</t>
        </is>
      </c>
      <c r="B120" t="inlineStr">
        <is>
          <t>유치원</t>
        </is>
      </c>
      <c r="C120" t="inlineStr">
        <is>
          <t>사립(사인)</t>
        </is>
      </c>
      <c r="D120" t="inlineStr">
        <is>
          <t>동래구</t>
        </is>
      </c>
      <c r="E120" t="inlineStr">
        <is>
          <t>부산광역시 동래구 중앙대로1367번길 85</t>
        </is>
      </c>
      <c r="F120" t="inlineStr"/>
      <c r="G120" t="inlineStr">
        <is>
          <t>051-554-6666</t>
        </is>
      </c>
      <c r="H120" s="15" t="n">
        <v>170</v>
      </c>
      <c r="I120" s="15" t="n">
        <v>0</v>
      </c>
      <c r="J120" s="15" t="n">
        <v>24</v>
      </c>
      <c r="K120" s="15" t="n">
        <v>51</v>
      </c>
      <c r="L120" s="15" t="n">
        <v>84</v>
      </c>
      <c r="M120" s="15" t="n">
        <v>0</v>
      </c>
      <c r="N120" s="14">
        <f>IF(COUNT(I120:M120)=0,"",SUM(I120:M120))</f>
        <v/>
      </c>
      <c r="O120" t="inlineStr"/>
    </row>
    <row r="121">
      <c r="A121" t="inlineStr">
        <is>
          <t>명륜자연유치원</t>
        </is>
      </c>
      <c r="B121" t="inlineStr">
        <is>
          <t>유치원</t>
        </is>
      </c>
      <c r="C121" t="inlineStr">
        <is>
          <t>사립(사인)</t>
        </is>
      </c>
      <c r="D121" t="inlineStr">
        <is>
          <t>동래구</t>
        </is>
      </c>
      <c r="E121" t="inlineStr">
        <is>
          <t>부산광역시 동래구 명륜로250번길 43</t>
        </is>
      </c>
      <c r="F121" t="inlineStr"/>
      <c r="G121" t="inlineStr">
        <is>
          <t>051-555-7650</t>
        </is>
      </c>
      <c r="H121" s="15" t="n">
        <v>300</v>
      </c>
      <c r="I121" s="15" t="n">
        <v>34</v>
      </c>
      <c r="J121" s="15" t="n">
        <v>57</v>
      </c>
      <c r="K121" s="15" t="n">
        <v>68</v>
      </c>
      <c r="L121" s="15" t="n">
        <v>0</v>
      </c>
      <c r="M121" s="15" t="n">
        <v>0</v>
      </c>
      <c r="N121" s="14">
        <f>IF(COUNT(I121:M121)=0,"",SUM(I121:M121))</f>
        <v/>
      </c>
      <c r="O121" t="inlineStr"/>
    </row>
    <row r="122">
      <c r="A122" t="inlineStr">
        <is>
          <t>민들레유치원</t>
        </is>
      </c>
      <c r="B122" t="inlineStr">
        <is>
          <t>유치원</t>
        </is>
      </c>
      <c r="C122" t="inlineStr">
        <is>
          <t>사립(사인)</t>
        </is>
      </c>
      <c r="D122" t="inlineStr">
        <is>
          <t>동래구</t>
        </is>
      </c>
      <c r="E122" t="inlineStr">
        <is>
          <t>부산광역시 동래구 차밭골로49번길 41</t>
        </is>
      </c>
      <c r="F122" s="11" t="inlineStr">
        <is>
          <t>http://cafe.daum.net/mindulekids</t>
        </is>
      </c>
      <c r="G122" t="inlineStr">
        <is>
          <t>051-505-6116</t>
        </is>
      </c>
      <c r="H122" s="15" t="n">
        <v>220</v>
      </c>
      <c r="I122" s="15" t="n">
        <v>0</v>
      </c>
      <c r="J122" s="15" t="n">
        <v>72</v>
      </c>
      <c r="K122" s="15" t="n">
        <v>78</v>
      </c>
      <c r="L122" s="15" t="n">
        <v>66</v>
      </c>
      <c r="M122" s="15" t="n">
        <v>0</v>
      </c>
      <c r="N122" s="14">
        <f>IF(COUNT(I122:M122)=0,"",SUM(I122:M122))</f>
        <v/>
      </c>
      <c r="O122" t="inlineStr"/>
    </row>
    <row r="123">
      <c r="A123" t="inlineStr">
        <is>
          <t>법륜유치원</t>
        </is>
      </c>
      <c r="B123" t="inlineStr">
        <is>
          <t>유치원</t>
        </is>
      </c>
      <c r="C123" t="inlineStr">
        <is>
          <t>사립(사인)</t>
        </is>
      </c>
      <c r="D123" t="inlineStr">
        <is>
          <t>동래구</t>
        </is>
      </c>
      <c r="E123" t="inlineStr">
        <is>
          <t>부산광역시 동래구 동래로 160</t>
        </is>
      </c>
      <c r="F123" s="11" t="inlineStr">
        <is>
          <t>https://school.busanedu.net/pupryun-k</t>
        </is>
      </c>
      <c r="G123" t="inlineStr">
        <is>
          <t>051-553-7773</t>
        </is>
      </c>
      <c r="H123" s="15" t="n">
        <v>210</v>
      </c>
      <c r="I123" s="15" t="n">
        <v>27</v>
      </c>
      <c r="J123" s="15" t="n">
        <v>21</v>
      </c>
      <c r="K123" s="15" t="n">
        <v>16</v>
      </c>
      <c r="L123" s="15" t="n">
        <v>0</v>
      </c>
      <c r="M123" s="15" t="n">
        <v>0</v>
      </c>
      <c r="N123" s="14">
        <f>IF(COUNT(I123:M123)=0,"",SUM(I123:M123))</f>
        <v/>
      </c>
      <c r="O123" t="inlineStr"/>
    </row>
    <row r="124">
      <c r="A124" t="inlineStr">
        <is>
          <t>쁘띠쁘아유치원</t>
        </is>
      </c>
      <c r="B124" t="inlineStr">
        <is>
          <t>유치원</t>
        </is>
      </c>
      <c r="C124" t="inlineStr">
        <is>
          <t>사립(사인)</t>
        </is>
      </c>
      <c r="D124" t="inlineStr">
        <is>
          <t>동래구</t>
        </is>
      </c>
      <c r="E124" t="inlineStr">
        <is>
          <t>부산광역시 동래구 쇠미로129번길 102-13</t>
        </is>
      </c>
      <c r="F124" t="inlineStr"/>
      <c r="G124" t="inlineStr">
        <is>
          <t>051-710-7179</t>
        </is>
      </c>
      <c r="H124" s="15" t="n">
        <v>218</v>
      </c>
      <c r="I124" s="15" t="n">
        <v>48</v>
      </c>
      <c r="J124" s="15" t="n">
        <v>66</v>
      </c>
      <c r="K124" s="15" t="n">
        <v>51</v>
      </c>
      <c r="L124" s="15" t="n">
        <v>25</v>
      </c>
      <c r="M124" s="15" t="n">
        <v>0</v>
      </c>
      <c r="N124" s="14">
        <f>IF(COUNT(I124:M124)=0,"",SUM(I124:M124))</f>
        <v/>
      </c>
      <c r="O124" t="inlineStr"/>
    </row>
    <row r="125">
      <c r="A125" t="inlineStr">
        <is>
          <t>사직유치원</t>
        </is>
      </c>
      <c r="B125" t="inlineStr">
        <is>
          <t>유치원</t>
        </is>
      </c>
      <c r="C125" t="inlineStr">
        <is>
          <t>사립(사인)</t>
        </is>
      </c>
      <c r="D125" t="inlineStr">
        <is>
          <t>동래구</t>
        </is>
      </c>
      <c r="E125" t="inlineStr">
        <is>
          <t>부산광역시 동래구 사직북로34번길 62</t>
        </is>
      </c>
      <c r="F125" s="11" t="inlineStr">
        <is>
          <t>https://school.busanedu.net/sajik-k</t>
        </is>
      </c>
      <c r="G125" t="inlineStr">
        <is>
          <t>051-502-4707</t>
        </is>
      </c>
      <c r="H125" s="15" t="n">
        <v>100</v>
      </c>
      <c r="I125" s="15" t="n">
        <v>16</v>
      </c>
      <c r="J125" s="15" t="n">
        <v>37</v>
      </c>
      <c r="K125" s="15" t="n">
        <v>24</v>
      </c>
      <c r="L125" s="15" t="n">
        <v>0</v>
      </c>
      <c r="M125" s="15" t="n">
        <v>0</v>
      </c>
      <c r="N125" s="14">
        <f>IF(COUNT(I125:M125)=0,"",SUM(I125:M125))</f>
        <v/>
      </c>
      <c r="O125" t="inlineStr"/>
    </row>
    <row r="126">
      <c r="A126" t="inlineStr">
        <is>
          <t>사직자연유치원</t>
        </is>
      </c>
      <c r="B126" t="inlineStr">
        <is>
          <t>유치원</t>
        </is>
      </c>
      <c r="C126" t="inlineStr">
        <is>
          <t>사립(사인)</t>
        </is>
      </c>
      <c r="D126" t="inlineStr">
        <is>
          <t>동래구</t>
        </is>
      </c>
      <c r="E126" t="inlineStr">
        <is>
          <t>부산광역시 동래구 사직로 80</t>
        </is>
      </c>
      <c r="F126" s="11" t="inlineStr">
        <is>
          <t>http://school.busanedu.net/sajik6677-k/main.do</t>
        </is>
      </c>
      <c r="G126" t="inlineStr">
        <is>
          <t>051-517-6677</t>
        </is>
      </c>
      <c r="H126" s="15" t="n">
        <v>298</v>
      </c>
      <c r="I126" s="15" t="n">
        <v>0</v>
      </c>
      <c r="J126" s="15" t="n">
        <v>0</v>
      </c>
      <c r="K126" s="15" t="n">
        <v>104</v>
      </c>
      <c r="L126" s="15" t="n">
        <v>159</v>
      </c>
      <c r="M126" s="15" t="n">
        <v>0</v>
      </c>
      <c r="N126" s="14">
        <f>IF(COUNT(I126:M126)=0,"",SUM(I126:M126))</f>
        <v/>
      </c>
      <c r="O126" t="inlineStr"/>
    </row>
    <row r="127">
      <c r="A127" t="inlineStr">
        <is>
          <t>수안유치원</t>
        </is>
      </c>
      <c r="B127" t="inlineStr">
        <is>
          <t>유치원</t>
        </is>
      </c>
      <c r="C127" t="inlineStr">
        <is>
          <t>사립(법인)</t>
        </is>
      </c>
      <c r="D127" t="inlineStr">
        <is>
          <t>동래구</t>
        </is>
      </c>
      <c r="E127" t="inlineStr">
        <is>
          <t>부산광역시 동래구 충렬대로237번길 57</t>
        </is>
      </c>
      <c r="F127" s="11" t="inlineStr">
        <is>
          <t>http://school.busanedu.net/suan-k</t>
        </is>
      </c>
      <c r="G127" t="inlineStr">
        <is>
          <t>051-552-6992</t>
        </is>
      </c>
      <c r="H127" s="15" t="n">
        <v>120</v>
      </c>
      <c r="I127" s="15" t="n">
        <v>0</v>
      </c>
      <c r="J127" s="15" t="n">
        <v>0</v>
      </c>
      <c r="K127" s="15" t="n">
        <v>6</v>
      </c>
      <c r="L127" s="15" t="n">
        <v>14</v>
      </c>
      <c r="M127" s="15" t="n">
        <v>0</v>
      </c>
      <c r="N127" s="14">
        <f>IF(COUNT(I127:M127)=0,"",SUM(I127:M127))</f>
        <v/>
      </c>
      <c r="O127" t="inlineStr"/>
    </row>
    <row r="128">
      <c r="A128" t="inlineStr">
        <is>
          <t>스펀지유치원</t>
        </is>
      </c>
      <c r="B128" t="inlineStr">
        <is>
          <t>유치원</t>
        </is>
      </c>
      <c r="C128" t="inlineStr">
        <is>
          <t>사립(사인)</t>
        </is>
      </c>
      <c r="D128" t="inlineStr">
        <is>
          <t>동래구</t>
        </is>
      </c>
      <c r="E128" t="inlineStr">
        <is>
          <t>부산광역시 동래구 안남로 36</t>
        </is>
      </c>
      <c r="F128" t="inlineStr"/>
      <c r="G128" t="inlineStr">
        <is>
          <t>051-523-7050</t>
        </is>
      </c>
      <c r="H128" s="15" t="n">
        <v>107</v>
      </c>
      <c r="I128" s="15" t="n">
        <v>31</v>
      </c>
      <c r="J128" s="15" t="n">
        <v>24</v>
      </c>
      <c r="K128" s="15" t="n">
        <v>23</v>
      </c>
      <c r="L128" s="15" t="n">
        <v>22</v>
      </c>
      <c r="M128" s="15" t="n">
        <v>0</v>
      </c>
      <c r="N128" s="14">
        <f>IF(COUNT(I128:M128)=0,"",SUM(I128:M128))</f>
        <v/>
      </c>
      <c r="O128" t="inlineStr"/>
    </row>
    <row r="129">
      <c r="A129" t="inlineStr">
        <is>
          <t>승원유치원</t>
        </is>
      </c>
      <c r="B129" t="inlineStr">
        <is>
          <t>유치원</t>
        </is>
      </c>
      <c r="C129" t="inlineStr">
        <is>
          <t>사립(사인)</t>
        </is>
      </c>
      <c r="D129" t="inlineStr">
        <is>
          <t>동래구</t>
        </is>
      </c>
      <c r="E129" t="inlineStr">
        <is>
          <t>부산광역시 동래구 아시아드대로108번길 85</t>
        </is>
      </c>
      <c r="F129" t="inlineStr"/>
      <c r="G129" t="inlineStr">
        <is>
          <t>051-502-4007</t>
        </is>
      </c>
      <c r="H129" s="15" t="n">
        <v>252</v>
      </c>
      <c r="I129" s="15" t="n">
        <v>0</v>
      </c>
      <c r="J129" s="15" t="n">
        <v>0</v>
      </c>
      <c r="K129" s="15" t="n">
        <v>78</v>
      </c>
      <c r="L129" s="15" t="n">
        <v>130</v>
      </c>
      <c r="M129" s="15" t="n">
        <v>0</v>
      </c>
      <c r="N129" s="14">
        <f>IF(COUNT(I129:M129)=0,"",SUM(I129:M129))</f>
        <v/>
      </c>
      <c r="O129" t="inlineStr"/>
    </row>
    <row r="130">
      <c r="A130" t="inlineStr">
        <is>
          <t>아이숲유치원</t>
        </is>
      </c>
      <c r="B130" t="inlineStr">
        <is>
          <t>유치원</t>
        </is>
      </c>
      <c r="C130" t="inlineStr">
        <is>
          <t>사립(사인)</t>
        </is>
      </c>
      <c r="D130" t="inlineStr">
        <is>
          <t>동래구</t>
        </is>
      </c>
      <c r="E130" t="inlineStr">
        <is>
          <t>부산광역시 동래구 옥봉로14번길 25</t>
        </is>
      </c>
      <c r="F130" t="inlineStr"/>
      <c r="G130" t="inlineStr">
        <is>
          <t>051-524-5279</t>
        </is>
      </c>
      <c r="H130" s="15" t="n">
        <v>116</v>
      </c>
      <c r="I130" s="15" t="n">
        <v>29</v>
      </c>
      <c r="J130" s="15" t="n">
        <v>38</v>
      </c>
      <c r="K130" s="15" t="n">
        <v>25</v>
      </c>
      <c r="L130" s="15" t="n">
        <v>0</v>
      </c>
      <c r="M130" s="15" t="n">
        <v>0</v>
      </c>
      <c r="N130" s="14">
        <f>IF(COUNT(I130:M130)=0,"",SUM(I130:M130))</f>
        <v/>
      </c>
      <c r="O130" t="inlineStr"/>
    </row>
    <row r="131">
      <c r="A131" t="inlineStr">
        <is>
          <t>안락초등학교병설유치원</t>
        </is>
      </c>
      <c r="B131" t="inlineStr">
        <is>
          <t>유치원</t>
        </is>
      </c>
      <c r="C131" t="inlineStr">
        <is>
          <t>공립(병설)</t>
        </is>
      </c>
      <c r="D131" t="inlineStr">
        <is>
          <t>동래구</t>
        </is>
      </c>
      <c r="E131" t="inlineStr">
        <is>
          <t>부산광역시 동래구 명안로53번길 22</t>
        </is>
      </c>
      <c r="F131" s="11" t="inlineStr">
        <is>
          <t>http://anrak.es.kr/</t>
        </is>
      </c>
      <c r="G131" t="inlineStr">
        <is>
          <t>051-713-8515</t>
        </is>
      </c>
      <c r="H131" s="15" t="n">
        <v>53</v>
      </c>
      <c r="I131" s="15" t="n">
        <v>7</v>
      </c>
      <c r="J131" s="15" t="n">
        <v>10</v>
      </c>
      <c r="K131" s="15" t="n">
        <v>9</v>
      </c>
      <c r="L131" s="15" t="n">
        <v>0</v>
      </c>
      <c r="M131" s="15" t="n">
        <v>0</v>
      </c>
      <c r="N131" s="14">
        <f>IF(COUNT(I131:M131)=0,"",SUM(I131:M131))</f>
        <v/>
      </c>
      <c r="O131" t="inlineStr"/>
    </row>
    <row r="132">
      <c r="A132" t="inlineStr">
        <is>
          <t>안성자연유치원</t>
        </is>
      </c>
      <c r="B132" t="inlineStr">
        <is>
          <t>유치원</t>
        </is>
      </c>
      <c r="C132" t="inlineStr">
        <is>
          <t>사립(사인)</t>
        </is>
      </c>
      <c r="D132" t="inlineStr">
        <is>
          <t>동래구</t>
        </is>
      </c>
      <c r="E132" t="inlineStr">
        <is>
          <t>부산광역시 동래구 명안로77번길 35</t>
        </is>
      </c>
      <c r="F132" t="inlineStr"/>
      <c r="G132" t="inlineStr">
        <is>
          <t>051-523-9785</t>
        </is>
      </c>
      <c r="H132" s="15" t="n">
        <v>124</v>
      </c>
      <c r="I132" s="15" t="n">
        <v>16</v>
      </c>
      <c r="J132" s="15" t="n">
        <v>44</v>
      </c>
      <c r="K132" s="15" t="n">
        <v>39</v>
      </c>
      <c r="L132" s="15" t="n">
        <v>0</v>
      </c>
      <c r="M132" s="15" t="n">
        <v>0</v>
      </c>
      <c r="N132" s="14">
        <f>IF(COUNT(I132:M132)=0,"",SUM(I132:M132))</f>
        <v/>
      </c>
      <c r="O132" t="inlineStr"/>
    </row>
    <row r="133">
      <c r="A133" t="inlineStr">
        <is>
          <t>안진초등학교병설유치원</t>
        </is>
      </c>
      <c r="B133" t="inlineStr">
        <is>
          <t>유치원</t>
        </is>
      </c>
      <c r="C133" t="inlineStr">
        <is>
          <t>공립(병설)</t>
        </is>
      </c>
      <c r="D133" t="inlineStr">
        <is>
          <t>동래구</t>
        </is>
      </c>
      <c r="E133" t="inlineStr">
        <is>
          <t>부산광역시 동래구 안남로 63</t>
        </is>
      </c>
      <c r="F133" s="11" t="inlineStr">
        <is>
          <t>https://school.busanedu.net/anjin-k/main.do</t>
        </is>
      </c>
      <c r="G133" t="inlineStr">
        <is>
          <t>051-520-1646</t>
        </is>
      </c>
      <c r="H133" s="15" t="n">
        <v>53</v>
      </c>
      <c r="I133" s="15" t="n">
        <v>8</v>
      </c>
      <c r="J133" s="15" t="n">
        <v>19</v>
      </c>
      <c r="K133" s="15" t="n">
        <v>19</v>
      </c>
      <c r="L133" s="15" t="n">
        <v>0</v>
      </c>
      <c r="M133" s="15" t="n">
        <v>0</v>
      </c>
      <c r="N133" s="14">
        <f>IF(COUNT(I133:M133)=0,"",SUM(I133:M133))</f>
        <v/>
      </c>
      <c r="O133" t="inlineStr"/>
    </row>
    <row r="134">
      <c r="A134" t="inlineStr">
        <is>
          <t>여고유치원</t>
        </is>
      </c>
      <c r="B134" t="inlineStr">
        <is>
          <t>유치원</t>
        </is>
      </c>
      <c r="C134" t="inlineStr">
        <is>
          <t>사립(사인)</t>
        </is>
      </c>
      <c r="D134" t="inlineStr">
        <is>
          <t>동래구</t>
        </is>
      </c>
      <c r="E134" t="inlineStr">
        <is>
          <t>부산광역시 동래구 여고북로60번길 18</t>
        </is>
      </c>
      <c r="F134" s="11" t="inlineStr">
        <is>
          <t>https://www.yeogo.co.kr</t>
        </is>
      </c>
      <c r="G134" t="inlineStr">
        <is>
          <t>051-502-9479</t>
        </is>
      </c>
      <c r="H134" s="15" t="n">
        <v>168</v>
      </c>
      <c r="I134" s="15" t="n">
        <v>16</v>
      </c>
      <c r="J134" s="15" t="n">
        <v>48</v>
      </c>
      <c r="K134" s="15" t="n">
        <v>78</v>
      </c>
      <c r="L134" s="15" t="n">
        <v>0</v>
      </c>
      <c r="M134" s="15" t="n">
        <v>0</v>
      </c>
      <c r="N134" s="14">
        <f>IF(COUNT(I134:M134)=0,"",SUM(I134:M134))</f>
        <v/>
      </c>
      <c r="O134" t="inlineStr"/>
    </row>
    <row r="135">
      <c r="A135" t="inlineStr">
        <is>
          <t>예람유치원</t>
        </is>
      </c>
      <c r="B135" t="inlineStr">
        <is>
          <t>유치원</t>
        </is>
      </c>
      <c r="C135" t="inlineStr">
        <is>
          <t>사립(법인)</t>
        </is>
      </c>
      <c r="D135" t="inlineStr">
        <is>
          <t>동래구</t>
        </is>
      </c>
      <c r="E135" t="inlineStr">
        <is>
          <t>부산광역시 동래구 충렬대로202번가길 24</t>
        </is>
      </c>
      <c r="F135" t="inlineStr"/>
      <c r="G135" t="inlineStr">
        <is>
          <t>051-555-7537</t>
        </is>
      </c>
      <c r="H135" s="15" t="n">
        <v>72</v>
      </c>
      <c r="I135" s="15" t="n">
        <v>11</v>
      </c>
      <c r="J135" s="15" t="n">
        <v>10</v>
      </c>
      <c r="K135" s="15" t="n">
        <v>6</v>
      </c>
      <c r="L135" s="15" t="n">
        <v>0</v>
      </c>
      <c r="M135" s="15" t="n">
        <v>0</v>
      </c>
      <c r="N135" s="14">
        <f>IF(COUNT(I135:M135)=0,"",SUM(I135:M135))</f>
        <v/>
      </c>
      <c r="O135" t="inlineStr"/>
    </row>
    <row r="136">
      <c r="A136" t="inlineStr">
        <is>
          <t>예인유치원</t>
        </is>
      </c>
      <c r="B136" t="inlineStr">
        <is>
          <t>유치원</t>
        </is>
      </c>
      <c r="C136" t="inlineStr">
        <is>
          <t>사립(사인)</t>
        </is>
      </c>
      <c r="D136" t="inlineStr">
        <is>
          <t>동래구</t>
        </is>
      </c>
      <c r="E136" t="inlineStr">
        <is>
          <t>부산광역시 동래구 쇠미로 37</t>
        </is>
      </c>
      <c r="F136" s="11" t="inlineStr">
        <is>
          <t>https://school.busanedu.net/yeinkid-k/main.do</t>
        </is>
      </c>
      <c r="G136" t="inlineStr">
        <is>
          <t>051-501-6655</t>
        </is>
      </c>
      <c r="H136" s="15" t="n">
        <v>254</v>
      </c>
      <c r="I136" s="15" t="n">
        <v>63</v>
      </c>
      <c r="J136" s="15" t="n">
        <v>65</v>
      </c>
      <c r="K136" s="15" t="n">
        <v>74</v>
      </c>
      <c r="L136" s="15" t="n">
        <v>0</v>
      </c>
      <c r="M136" s="15" t="n">
        <v>0</v>
      </c>
      <c r="N136" s="14">
        <f>IF(COUNT(I136:M136)=0,"",SUM(I136:M136))</f>
        <v/>
      </c>
      <c r="O136" t="inlineStr"/>
    </row>
    <row r="137">
      <c r="A137" t="inlineStr">
        <is>
          <t>온샘초등학교병설유치원</t>
        </is>
      </c>
      <c r="B137" t="inlineStr">
        <is>
          <t>유치원</t>
        </is>
      </c>
      <c r="C137" t="inlineStr">
        <is>
          <t>공립(병설)</t>
        </is>
      </c>
      <c r="D137" t="inlineStr">
        <is>
          <t>동래구</t>
        </is>
      </c>
      <c r="E137" t="inlineStr">
        <is>
          <t>부산광역시 동래구 충렬대로75번길 25</t>
        </is>
      </c>
      <c r="F137" s="11" t="inlineStr">
        <is>
          <t>http://school.busanedu.net/onsaem-k/main.do</t>
        </is>
      </c>
      <c r="G137" t="inlineStr">
        <is>
          <t>051-667-6997</t>
        </is>
      </c>
      <c r="H137" s="15" t="n">
        <v>73</v>
      </c>
      <c r="I137" s="15" t="n">
        <v>14</v>
      </c>
      <c r="J137" s="15" t="n">
        <v>18</v>
      </c>
      <c r="K137" s="15" t="n">
        <v>36</v>
      </c>
      <c r="L137" s="15" t="n">
        <v>0</v>
      </c>
      <c r="M137" s="15" t="n">
        <v>0</v>
      </c>
      <c r="N137" s="14">
        <f>IF(COUNT(I137:M137)=0,"",SUM(I137:M137))</f>
        <v/>
      </c>
      <c r="O137" t="inlineStr"/>
    </row>
    <row r="138">
      <c r="A138" t="inlineStr">
        <is>
          <t>한누리유치원</t>
        </is>
      </c>
      <c r="B138" t="inlineStr">
        <is>
          <t>유치원</t>
        </is>
      </c>
      <c r="C138" t="inlineStr">
        <is>
          <t>사립(사인)</t>
        </is>
      </c>
      <c r="D138" t="inlineStr">
        <is>
          <t>동래구</t>
        </is>
      </c>
      <c r="E138" t="inlineStr">
        <is>
          <t>부산광역시 동래구 쇠미로71번길 47-2</t>
        </is>
      </c>
      <c r="F138" s="11" t="inlineStr">
        <is>
          <t>http://cafe.daum.net/hannuri2207</t>
        </is>
      </c>
      <c r="G138" t="inlineStr">
        <is>
          <t>051-507-2207</t>
        </is>
      </c>
      <c r="H138" s="15" t="n">
        <v>144</v>
      </c>
      <c r="I138" s="15" t="n">
        <v>16</v>
      </c>
      <c r="J138" s="15" t="n">
        <v>72</v>
      </c>
      <c r="K138" s="15" t="n">
        <v>52</v>
      </c>
      <c r="L138" s="15" t="n">
        <v>0</v>
      </c>
      <c r="M138" s="15" t="n">
        <v>0</v>
      </c>
      <c r="N138" s="14">
        <f>IF(COUNT(I138:M138)=0,"",SUM(I138:M138))</f>
        <v/>
      </c>
      <c r="O138" t="inlineStr"/>
    </row>
    <row r="139">
      <c r="A139" t="inlineStr">
        <is>
          <t>해솔유치원</t>
        </is>
      </c>
      <c r="B139" t="inlineStr">
        <is>
          <t>유치원</t>
        </is>
      </c>
      <c r="C139" t="inlineStr">
        <is>
          <t>사립(사인)</t>
        </is>
      </c>
      <c r="D139" t="inlineStr">
        <is>
          <t>동래구</t>
        </is>
      </c>
      <c r="E139" t="inlineStr">
        <is>
          <t>부산광역시 동래구 명륜로236번길 9</t>
        </is>
      </c>
      <c r="F139" t="inlineStr"/>
      <c r="G139" t="inlineStr">
        <is>
          <t>051-714-5508</t>
        </is>
      </c>
      <c r="H139" s="15" t="n">
        <v>156</v>
      </c>
      <c r="I139" s="15" t="n">
        <v>16</v>
      </c>
      <c r="J139" s="15" t="n">
        <v>20</v>
      </c>
      <c r="K139" s="15" t="n">
        <v>37</v>
      </c>
      <c r="L139" s="15" t="n">
        <v>37</v>
      </c>
      <c r="M139" s="15" t="n">
        <v>0</v>
      </c>
      <c r="N139" s="14">
        <f>IF(COUNT(I139:M139)=0,"",SUM(I139:M139))</f>
        <v/>
      </c>
      <c r="O139" t="inlineStr"/>
    </row>
    <row r="140">
      <c r="A140" t="inlineStr">
        <is>
          <t>혜화유치원</t>
        </is>
      </c>
      <c r="B140" t="inlineStr">
        <is>
          <t>유치원</t>
        </is>
      </c>
      <c r="C140" t="inlineStr">
        <is>
          <t>사립(법인)</t>
        </is>
      </c>
      <c r="D140" t="inlineStr">
        <is>
          <t>동래구</t>
        </is>
      </c>
      <c r="E140" t="inlineStr">
        <is>
          <t>부산광역시 동래구 명장로99번길 27</t>
        </is>
      </c>
      <c r="F140" s="11" t="inlineStr">
        <is>
          <t>https://school.busanedu.net/hyehwa-k</t>
        </is>
      </c>
      <c r="G140" t="inlineStr">
        <is>
          <t>051-521-0630</t>
        </is>
      </c>
      <c r="H140" s="15" t="n">
        <v>253</v>
      </c>
      <c r="I140" s="15" t="n">
        <v>28</v>
      </c>
      <c r="J140" s="15" t="n">
        <v>44</v>
      </c>
      <c r="K140" s="15" t="n">
        <v>47</v>
      </c>
      <c r="L140" s="15" t="n">
        <v>0</v>
      </c>
      <c r="M140" s="15" t="n">
        <v>0</v>
      </c>
      <c r="N140" s="14">
        <f>IF(COUNT(I140:M140)=0,"",SUM(I140:M140))</f>
        <v/>
      </c>
      <c r="O140" t="inlineStr"/>
    </row>
    <row r="141">
      <c r="A141" t="inlineStr">
        <is>
          <t>홍익유치원</t>
        </is>
      </c>
      <c r="B141" t="inlineStr">
        <is>
          <t>유치원</t>
        </is>
      </c>
      <c r="C141" t="inlineStr">
        <is>
          <t>사립(법인)</t>
        </is>
      </c>
      <c r="D141" t="inlineStr">
        <is>
          <t>동래구</t>
        </is>
      </c>
      <c r="E141" t="inlineStr">
        <is>
          <t>부산광역시 동래구 명안로25번길 9</t>
        </is>
      </c>
      <c r="F141" s="11" t="inlineStr">
        <is>
          <t>http://school.busanedu.net/HongikKindergarten-k</t>
        </is>
      </c>
      <c r="G141" t="inlineStr">
        <is>
          <t>051-527-4678</t>
        </is>
      </c>
      <c r="N141" s="14">
        <f>IF(COUNT(I141:M141)=0,"",SUM(I141:M141))</f>
        <v/>
      </c>
      <c r="O141" t="inlineStr">
        <is>
          <t>연령별 현원 미공시(휴원·신설 등)</t>
        </is>
      </c>
    </row>
    <row r="142">
      <c r="A142" t="inlineStr">
        <is>
          <t>개금유치원</t>
        </is>
      </c>
      <c r="B142" t="inlineStr">
        <is>
          <t>유치원</t>
        </is>
      </c>
      <c r="C142" t="inlineStr">
        <is>
          <t>사립(사인)</t>
        </is>
      </c>
      <c r="D142" t="inlineStr">
        <is>
          <t>부산진구</t>
        </is>
      </c>
      <c r="E142" t="inlineStr">
        <is>
          <t>부산광역시 부산진구 냉정로178번길 13</t>
        </is>
      </c>
      <c r="F142" t="inlineStr"/>
      <c r="G142" t="inlineStr">
        <is>
          <t>051-891-0031</t>
        </is>
      </c>
      <c r="N142" s="14">
        <f>IF(COUNT(I142:M142)=0,"",SUM(I142:M142))</f>
        <v/>
      </c>
      <c r="O142" t="inlineStr">
        <is>
          <t>연령별 현원 미공시(휴원·신설 등)</t>
        </is>
      </c>
    </row>
    <row r="143">
      <c r="A143" t="inlineStr">
        <is>
          <t>개림초등학교병설유치원</t>
        </is>
      </c>
      <c r="B143" t="inlineStr">
        <is>
          <t>유치원</t>
        </is>
      </c>
      <c r="C143" t="inlineStr">
        <is>
          <t>공립(병설)</t>
        </is>
      </c>
      <c r="D143" t="inlineStr">
        <is>
          <t>부산진구</t>
        </is>
      </c>
      <c r="E143" t="inlineStr">
        <is>
          <t>부산광역시 부산진구 백양대로320번길 40</t>
        </is>
      </c>
      <c r="F143" s="11" t="inlineStr">
        <is>
          <t>http://school.busanedu.net/gaerim-k</t>
        </is>
      </c>
      <c r="G143" t="inlineStr">
        <is>
          <t>051-607-7091</t>
        </is>
      </c>
      <c r="H143" s="15" t="n">
        <v>56</v>
      </c>
      <c r="I143" s="15" t="n">
        <v>0</v>
      </c>
      <c r="J143" s="15" t="n">
        <v>12</v>
      </c>
      <c r="K143" s="15" t="n">
        <v>17</v>
      </c>
      <c r="L143" s="15" t="n">
        <v>3</v>
      </c>
      <c r="M143" s="15" t="n">
        <v>0</v>
      </c>
      <c r="N143" s="14">
        <f>IF(COUNT(I143:M143)=0,"",SUM(I143:M143))</f>
        <v/>
      </c>
      <c r="O143" t="inlineStr"/>
    </row>
    <row r="144">
      <c r="A144" t="inlineStr">
        <is>
          <t>개포초등학교병설유치원</t>
        </is>
      </c>
      <c r="B144" t="inlineStr">
        <is>
          <t>유치원</t>
        </is>
      </c>
      <c r="C144" t="inlineStr">
        <is>
          <t>공립(병설)</t>
        </is>
      </c>
      <c r="D144" t="inlineStr">
        <is>
          <t>부산진구</t>
        </is>
      </c>
      <c r="E144" t="inlineStr">
        <is>
          <t>부산광역시 부산진구 백양대로208번길 9</t>
        </is>
      </c>
      <c r="F144" s="11" t="inlineStr">
        <is>
          <t>http://school.busanedu.net/gaepo-k</t>
        </is>
      </c>
      <c r="G144" t="inlineStr">
        <is>
          <t>051-930-8037</t>
        </is>
      </c>
      <c r="H144" s="15" t="n">
        <v>17</v>
      </c>
      <c r="I144" s="15" t="n">
        <v>0</v>
      </c>
      <c r="J144" s="15" t="n">
        <v>0</v>
      </c>
      <c r="K144" s="15" t="n">
        <v>0</v>
      </c>
      <c r="L144" s="15" t="n">
        <v>4</v>
      </c>
      <c r="M144" s="15" t="n">
        <v>3</v>
      </c>
      <c r="N144" s="14">
        <f>IF(COUNT(I144:M144)=0,"",SUM(I144:M144))</f>
        <v/>
      </c>
      <c r="O144" t="inlineStr"/>
    </row>
    <row r="145">
      <c r="A145" t="inlineStr">
        <is>
          <t>금란유치원</t>
        </is>
      </c>
      <c r="B145" t="inlineStr">
        <is>
          <t>유치원</t>
        </is>
      </c>
      <c r="C145" t="inlineStr">
        <is>
          <t>사립(사인)</t>
        </is>
      </c>
      <c r="D145" t="inlineStr">
        <is>
          <t>부산진구</t>
        </is>
      </c>
      <c r="E145" t="inlineStr">
        <is>
          <t>부산광역시 부산진구 백양관문로 25-29</t>
        </is>
      </c>
      <c r="F145" t="inlineStr"/>
      <c r="G145" t="inlineStr">
        <is>
          <t>051-896-5100</t>
        </is>
      </c>
      <c r="H145" s="15" t="n">
        <v>198</v>
      </c>
      <c r="I145" s="15" t="n">
        <v>0</v>
      </c>
      <c r="J145" s="15" t="n">
        <v>23</v>
      </c>
      <c r="K145" s="15" t="n">
        <v>24</v>
      </c>
      <c r="L145" s="15" t="n">
        <v>146</v>
      </c>
      <c r="M145" s="15" t="n">
        <v>0</v>
      </c>
      <c r="N145" s="14">
        <f>IF(COUNT(I145:M145)=0,"",SUM(I145:M145))</f>
        <v/>
      </c>
      <c r="O145" t="inlineStr"/>
    </row>
    <row r="146">
      <c r="A146" t="inlineStr">
        <is>
          <t>늘푸른유치원</t>
        </is>
      </c>
      <c r="B146" t="inlineStr">
        <is>
          <t>유치원</t>
        </is>
      </c>
      <c r="C146" t="inlineStr">
        <is>
          <t>사립(사인)</t>
        </is>
      </c>
      <c r="D146" t="inlineStr">
        <is>
          <t>부산진구</t>
        </is>
      </c>
      <c r="E146" t="inlineStr">
        <is>
          <t>부산광역시 부산진구 복지로 70</t>
        </is>
      </c>
      <c r="F146" s="11" t="inlineStr">
        <is>
          <t>http://school.busanedu.net/nuelpureun-k/main.do</t>
        </is>
      </c>
      <c r="G146" t="inlineStr">
        <is>
          <t>051-896-6001</t>
        </is>
      </c>
      <c r="H146" s="15" t="n">
        <v>210</v>
      </c>
      <c r="I146" s="15" t="n">
        <v>22</v>
      </c>
      <c r="J146" s="15" t="n">
        <v>17</v>
      </c>
      <c r="K146" s="15" t="n">
        <v>17</v>
      </c>
      <c r="L146" s="15" t="n">
        <v>0</v>
      </c>
      <c r="M146" s="15" t="n">
        <v>0</v>
      </c>
      <c r="N146" s="14">
        <f>IF(COUNT(I146:M146)=0,"",SUM(I146:M146))</f>
        <v/>
      </c>
      <c r="O146" t="inlineStr"/>
    </row>
    <row r="147">
      <c r="A147" t="inlineStr">
        <is>
          <t>다원유치원</t>
        </is>
      </c>
      <c r="B147" t="inlineStr">
        <is>
          <t>유치원</t>
        </is>
      </c>
      <c r="C147" t="inlineStr">
        <is>
          <t>사립(사인)</t>
        </is>
      </c>
      <c r="D147" t="inlineStr">
        <is>
          <t>부산진구</t>
        </is>
      </c>
      <c r="E147" t="inlineStr">
        <is>
          <t>부산광역시 부산진구 성지로74번나길 60-8</t>
        </is>
      </c>
      <c r="F147" s="11" t="inlineStr">
        <is>
          <t>https://cafe.naver.com/dawon8097335</t>
        </is>
      </c>
      <c r="G147" t="inlineStr">
        <is>
          <t>051-809-7335</t>
        </is>
      </c>
      <c r="H147" s="15" t="n">
        <v>190</v>
      </c>
      <c r="I147" s="15" t="n">
        <v>0</v>
      </c>
      <c r="J147" s="15" t="n">
        <v>0</v>
      </c>
      <c r="K147" s="15" t="n">
        <v>0</v>
      </c>
      <c r="L147" s="15" t="n">
        <v>164</v>
      </c>
      <c r="M147" s="15" t="n">
        <v>0</v>
      </c>
      <c r="N147" s="14">
        <f>IF(COUNT(I147:M147)=0,"",SUM(I147:M147))</f>
        <v/>
      </c>
      <c r="O147" t="inlineStr"/>
    </row>
    <row r="148">
      <c r="A148" t="inlineStr">
        <is>
          <t>당감초등학교병설유치원</t>
        </is>
      </c>
      <c r="B148" t="inlineStr">
        <is>
          <t>유치원</t>
        </is>
      </c>
      <c r="C148" t="inlineStr">
        <is>
          <t>공립(병설)</t>
        </is>
      </c>
      <c r="D148" t="inlineStr">
        <is>
          <t>부산진구</t>
        </is>
      </c>
      <c r="E148" t="inlineStr">
        <is>
          <t>부산광역시 부산진구 당감로 22-5</t>
        </is>
      </c>
      <c r="F148" s="11" t="inlineStr">
        <is>
          <t>http://school.busanedu.net/danggam-k</t>
        </is>
      </c>
      <c r="G148" t="inlineStr">
        <is>
          <t>051-894-5924</t>
        </is>
      </c>
      <c r="H148" s="15" t="n">
        <v>53</v>
      </c>
      <c r="I148" s="15" t="n">
        <v>4</v>
      </c>
      <c r="J148" s="15" t="n">
        <v>4</v>
      </c>
      <c r="K148" s="15" t="n">
        <v>11</v>
      </c>
      <c r="L148" s="15" t="n">
        <v>0</v>
      </c>
      <c r="M148" s="15" t="n">
        <v>3</v>
      </c>
      <c r="N148" s="14">
        <f>IF(COUNT(I148:M148)=0,"",SUM(I148:M148))</f>
        <v/>
      </c>
      <c r="O148" t="inlineStr"/>
    </row>
    <row r="149">
      <c r="A149" t="inlineStr">
        <is>
          <t>당평초등학교병설유치원</t>
        </is>
      </c>
      <c r="B149" t="inlineStr">
        <is>
          <t>유치원</t>
        </is>
      </c>
      <c r="C149" t="inlineStr">
        <is>
          <t>공립(병설)</t>
        </is>
      </c>
      <c r="D149" t="inlineStr">
        <is>
          <t>부산진구</t>
        </is>
      </c>
      <c r="E149" t="inlineStr">
        <is>
          <t>부산광역시 부산진구 백양대로136번길 26</t>
        </is>
      </c>
      <c r="F149" s="11" t="inlineStr">
        <is>
          <t>http://school.busanedu.net/dangpyung-k</t>
        </is>
      </c>
      <c r="G149" t="inlineStr">
        <is>
          <t>051-890-8577</t>
        </is>
      </c>
      <c r="H149" s="15" t="n">
        <v>53</v>
      </c>
      <c r="I149" s="15" t="n">
        <v>10</v>
      </c>
      <c r="J149" s="15" t="n">
        <v>13</v>
      </c>
      <c r="K149" s="15" t="n">
        <v>10</v>
      </c>
      <c r="L149" s="15" t="n">
        <v>0</v>
      </c>
      <c r="M149" s="15" t="n">
        <v>3</v>
      </c>
      <c r="N149" s="14">
        <f>IF(COUNT(I149:M149)=0,"",SUM(I149:M149))</f>
        <v/>
      </c>
      <c r="O149" t="inlineStr"/>
    </row>
    <row r="150">
      <c r="A150" t="inlineStr">
        <is>
          <t>동경유치원</t>
        </is>
      </c>
      <c r="B150" t="inlineStr">
        <is>
          <t>유치원</t>
        </is>
      </c>
      <c r="C150" t="inlineStr">
        <is>
          <t>사립(사인)</t>
        </is>
      </c>
      <c r="D150" t="inlineStr">
        <is>
          <t>부산진구</t>
        </is>
      </c>
      <c r="E150" t="inlineStr">
        <is>
          <t>부산광역시 부산진구 백양대로208번길 174</t>
        </is>
      </c>
      <c r="F150" t="inlineStr"/>
      <c r="G150" t="inlineStr">
        <is>
          <t>051-000-0000</t>
        </is>
      </c>
      <c r="N150" s="14">
        <f>IF(COUNT(I150:M150)=0,"",SUM(I150:M150))</f>
        <v/>
      </c>
      <c r="O150" t="inlineStr">
        <is>
          <t>연령별 현원 미공시(휴원·신설 등)</t>
        </is>
      </c>
    </row>
    <row r="151">
      <c r="A151" t="inlineStr">
        <is>
          <t>동성유치원</t>
        </is>
      </c>
      <c r="B151" t="inlineStr">
        <is>
          <t>유치원</t>
        </is>
      </c>
      <c r="C151" t="inlineStr">
        <is>
          <t>사립(법인)</t>
        </is>
      </c>
      <c r="D151" t="inlineStr">
        <is>
          <t>부산진구</t>
        </is>
      </c>
      <c r="E151" t="inlineStr">
        <is>
          <t>부산광역시 부산진구 동성로 26</t>
        </is>
      </c>
      <c r="F151" s="11" t="inlineStr">
        <is>
          <t>https://school.busanedu.net/dongsungkids-k</t>
        </is>
      </c>
      <c r="G151" t="inlineStr">
        <is>
          <t>051-802-7145</t>
        </is>
      </c>
      <c r="H151" s="15" t="n">
        <v>280</v>
      </c>
      <c r="I151" s="15" t="n">
        <v>44</v>
      </c>
      <c r="J151" s="15" t="n">
        <v>78</v>
      </c>
      <c r="K151" s="15" t="n">
        <v>78</v>
      </c>
      <c r="L151" s="15" t="n">
        <v>0</v>
      </c>
      <c r="M151" s="15" t="n">
        <v>0</v>
      </c>
      <c r="N151" s="14">
        <f>IF(COUNT(I151:M151)=0,"",SUM(I151:M151))</f>
        <v/>
      </c>
      <c r="O151" t="inlineStr"/>
    </row>
    <row r="152">
      <c r="A152" t="inlineStr">
        <is>
          <t>미리내유치원</t>
        </is>
      </c>
      <c r="B152" t="inlineStr">
        <is>
          <t>유치원</t>
        </is>
      </c>
      <c r="C152" t="inlineStr">
        <is>
          <t>사립(사인)</t>
        </is>
      </c>
      <c r="D152" t="inlineStr">
        <is>
          <t>부산진구</t>
        </is>
      </c>
      <c r="E152" t="inlineStr">
        <is>
          <t>부산광역시 부산진구 백양순환로18번길 36</t>
        </is>
      </c>
      <c r="F152" t="inlineStr"/>
      <c r="G152" t="inlineStr">
        <is>
          <t>051-895-6677</t>
        </is>
      </c>
      <c r="N152" s="14">
        <f>IF(COUNT(I152:M152)=0,"",SUM(I152:M152))</f>
        <v/>
      </c>
      <c r="O152" t="inlineStr">
        <is>
          <t>연령별 현원 미공시(휴원·신설 등)</t>
        </is>
      </c>
    </row>
    <row r="153">
      <c r="A153" t="inlineStr">
        <is>
          <t>미소유치원</t>
        </is>
      </c>
      <c r="B153" t="inlineStr">
        <is>
          <t>유치원</t>
        </is>
      </c>
      <c r="C153" t="inlineStr">
        <is>
          <t>사립(사인)</t>
        </is>
      </c>
      <c r="D153" t="inlineStr">
        <is>
          <t>부산진구</t>
        </is>
      </c>
      <c r="E153" t="inlineStr">
        <is>
          <t>부산광역시 부산진구 백양관문로 112</t>
        </is>
      </c>
      <c r="F153" t="inlineStr"/>
      <c r="G153" t="inlineStr">
        <is>
          <t>051-891-9844</t>
        </is>
      </c>
      <c r="H153" s="15" t="n">
        <v>112</v>
      </c>
      <c r="I153" s="15" t="n">
        <v>16</v>
      </c>
      <c r="J153" s="15" t="n">
        <v>0</v>
      </c>
      <c r="K153" s="15" t="n">
        <v>0</v>
      </c>
      <c r="L153" s="15" t="n">
        <v>96</v>
      </c>
      <c r="M153" s="15" t="n">
        <v>0</v>
      </c>
      <c r="N153" s="14">
        <f>IF(COUNT(I153:M153)=0,"",SUM(I153:M153))</f>
        <v/>
      </c>
      <c r="O153" t="inlineStr"/>
    </row>
    <row r="154">
      <c r="A154" t="inlineStr">
        <is>
          <t>벽산유치원</t>
        </is>
      </c>
      <c r="B154" t="inlineStr">
        <is>
          <t>유치원</t>
        </is>
      </c>
      <c r="C154" t="inlineStr">
        <is>
          <t>사립(사인)</t>
        </is>
      </c>
      <c r="D154" t="inlineStr">
        <is>
          <t>부산진구</t>
        </is>
      </c>
      <c r="E154" t="inlineStr">
        <is>
          <t>부산광역시 부산진구 엄광로 122</t>
        </is>
      </c>
      <c r="F154" t="inlineStr"/>
      <c r="G154" t="inlineStr">
        <is>
          <t>051-893-2351</t>
        </is>
      </c>
      <c r="H154" s="15" t="n">
        <v>100</v>
      </c>
      <c r="I154" s="15" t="n">
        <v>0</v>
      </c>
      <c r="J154" s="15" t="n">
        <v>16</v>
      </c>
      <c r="K154" s="15" t="n">
        <v>26</v>
      </c>
      <c r="L154" s="15" t="n">
        <v>36</v>
      </c>
      <c r="M154" s="15" t="n">
        <v>0</v>
      </c>
      <c r="N154" s="14">
        <f>IF(COUNT(I154:M154)=0,"",SUM(I154:M154))</f>
        <v/>
      </c>
      <c r="O154" t="inlineStr"/>
    </row>
    <row r="155">
      <c r="A155" t="inlineStr">
        <is>
          <t>부산여자대학부속유치원</t>
        </is>
      </c>
      <c r="B155" t="inlineStr">
        <is>
          <t>유치원</t>
        </is>
      </c>
      <c r="C155" t="inlineStr">
        <is>
          <t>사립(법인)</t>
        </is>
      </c>
      <c r="D155" t="inlineStr">
        <is>
          <t>부산진구</t>
        </is>
      </c>
      <c r="E155" t="inlineStr">
        <is>
          <t>부산광역시 부산진구 진남로 506</t>
        </is>
      </c>
      <c r="F155" s="11" t="inlineStr">
        <is>
          <t>http://kids.bwc.ac.kr</t>
        </is>
      </c>
      <c r="G155" t="inlineStr">
        <is>
          <t>051-865-7003</t>
        </is>
      </c>
      <c r="H155" s="15" t="n">
        <v>300</v>
      </c>
      <c r="I155" s="15" t="n">
        <v>52</v>
      </c>
      <c r="J155" s="15" t="n">
        <v>71</v>
      </c>
      <c r="K155" s="15" t="n">
        <v>78</v>
      </c>
      <c r="L155" s="15" t="n">
        <v>0</v>
      </c>
      <c r="M155" s="15" t="n">
        <v>0</v>
      </c>
      <c r="N155" s="14">
        <f>IF(COUNT(I155:M155)=0,"",SUM(I155:M155))</f>
        <v/>
      </c>
      <c r="O155" t="inlineStr"/>
    </row>
    <row r="156">
      <c r="A156" t="inlineStr">
        <is>
          <t>부산진유치원</t>
        </is>
      </c>
      <c r="B156" t="inlineStr">
        <is>
          <t>유치원</t>
        </is>
      </c>
      <c r="C156" t="inlineStr">
        <is>
          <t>공립(단설)</t>
        </is>
      </c>
      <c r="D156" t="inlineStr">
        <is>
          <t>부산진구</t>
        </is>
      </c>
      <c r="E156" t="inlineStr">
        <is>
          <t>부산광역시 부산진구 범천로 30-1</t>
        </is>
      </c>
      <c r="F156" s="11" t="inlineStr">
        <is>
          <t>http://school.busanedu.net/busanjin-k/</t>
        </is>
      </c>
      <c r="G156" t="inlineStr">
        <is>
          <t>051-806-2880</t>
        </is>
      </c>
      <c r="H156" s="15" t="n">
        <v>140</v>
      </c>
      <c r="I156" s="15" t="n">
        <v>42</v>
      </c>
      <c r="J156" s="15" t="n">
        <v>36</v>
      </c>
      <c r="K156" s="15" t="n">
        <v>44</v>
      </c>
      <c r="L156" s="15" t="n">
        <v>0</v>
      </c>
      <c r="M156" s="15" t="n">
        <v>4</v>
      </c>
      <c r="N156" s="14">
        <f>IF(COUNT(I156:M156)=0,"",SUM(I156:M156))</f>
        <v/>
      </c>
      <c r="O156" t="inlineStr"/>
    </row>
    <row r="157">
      <c r="A157" t="inlineStr">
        <is>
          <t>부전초등학교병설유치원</t>
        </is>
      </c>
      <c r="B157" t="inlineStr">
        <is>
          <t>유치원</t>
        </is>
      </c>
      <c r="C157" t="inlineStr">
        <is>
          <t>공립(병설)</t>
        </is>
      </c>
      <c r="D157" t="inlineStr">
        <is>
          <t>부산진구</t>
        </is>
      </c>
      <c r="E157" t="inlineStr">
        <is>
          <t>부산광역시 부산진구 부전로65번길 25</t>
        </is>
      </c>
      <c r="F157" s="11" t="inlineStr">
        <is>
          <t>http://school.busanedu.net/pspujun-k</t>
        </is>
      </c>
      <c r="G157" t="inlineStr">
        <is>
          <t>051-811-7878</t>
        </is>
      </c>
      <c r="H157" s="15" t="n">
        <v>37</v>
      </c>
      <c r="I157" s="15" t="n">
        <v>0</v>
      </c>
      <c r="J157" s="15" t="n">
        <v>0</v>
      </c>
      <c r="K157" s="15" t="n">
        <v>13</v>
      </c>
      <c r="L157" s="15" t="n">
        <v>15</v>
      </c>
      <c r="M157" s="15" t="n">
        <v>0</v>
      </c>
      <c r="N157" s="14">
        <f>IF(COUNT(I157:M157)=0,"",SUM(I157:M157))</f>
        <v/>
      </c>
      <c r="O157" t="inlineStr"/>
    </row>
    <row r="158">
      <c r="A158" t="inlineStr">
        <is>
          <t>빛나라유치원</t>
        </is>
      </c>
      <c r="B158" t="inlineStr">
        <is>
          <t>유치원</t>
        </is>
      </c>
      <c r="C158" t="inlineStr">
        <is>
          <t>사립(사인)</t>
        </is>
      </c>
      <c r="D158" t="inlineStr">
        <is>
          <t>부산진구</t>
        </is>
      </c>
      <c r="E158" t="inlineStr">
        <is>
          <t>부산광역시 부산진구 엄광로182번길 15-14</t>
        </is>
      </c>
      <c r="F158" t="inlineStr"/>
      <c r="G158" t="inlineStr">
        <is>
          <t>051-891-2229</t>
        </is>
      </c>
      <c r="H158" s="15" t="n">
        <v>110</v>
      </c>
      <c r="I158" s="15" t="n">
        <v>7</v>
      </c>
      <c r="J158" s="15" t="n">
        <v>15</v>
      </c>
      <c r="K158" s="15" t="n">
        <v>15</v>
      </c>
      <c r="L158" s="15" t="n">
        <v>0</v>
      </c>
      <c r="M158" s="15" t="n">
        <v>0</v>
      </c>
      <c r="N158" s="14">
        <f>IF(COUNT(I158:M158)=0,"",SUM(I158:M158))</f>
        <v/>
      </c>
      <c r="O158" t="inlineStr"/>
    </row>
    <row r="159">
      <c r="A159" t="inlineStr">
        <is>
          <t>새동유치원</t>
        </is>
      </c>
      <c r="B159" t="inlineStr">
        <is>
          <t>유치원</t>
        </is>
      </c>
      <c r="C159" t="inlineStr">
        <is>
          <t>사립(사인)</t>
        </is>
      </c>
      <c r="D159" t="inlineStr">
        <is>
          <t>부산진구</t>
        </is>
      </c>
      <c r="E159" t="inlineStr">
        <is>
          <t>부산광역시 부산진구 동평로183번길 114</t>
        </is>
      </c>
      <c r="F159" t="inlineStr"/>
      <c r="G159" t="inlineStr">
        <is>
          <t>051-819-4571</t>
        </is>
      </c>
      <c r="H159" s="15" t="n">
        <v>202</v>
      </c>
      <c r="I159" s="15" t="n">
        <v>0</v>
      </c>
      <c r="J159" s="15" t="n">
        <v>72</v>
      </c>
      <c r="K159" s="15" t="n">
        <v>51</v>
      </c>
      <c r="L159" s="15" t="n">
        <v>74</v>
      </c>
      <c r="M159" s="15" t="n">
        <v>0</v>
      </c>
      <c r="N159" s="14">
        <f>IF(COUNT(I159:M159)=0,"",SUM(I159:M159))</f>
        <v/>
      </c>
      <c r="O159" t="inlineStr"/>
    </row>
    <row r="160">
      <c r="A160" t="inlineStr">
        <is>
          <t>서면원광유치원</t>
        </is>
      </c>
      <c r="B160" t="inlineStr">
        <is>
          <t>유치원</t>
        </is>
      </c>
      <c r="C160" t="inlineStr">
        <is>
          <t>사립(사인)</t>
        </is>
      </c>
      <c r="D160" t="inlineStr">
        <is>
          <t>부산진구</t>
        </is>
      </c>
      <c r="E160" t="inlineStr">
        <is>
          <t>부산광역시 부산진구 시민공원로19번길 62</t>
        </is>
      </c>
      <c r="F160" t="inlineStr"/>
      <c r="G160" t="inlineStr">
        <is>
          <t>051-805-3359</t>
        </is>
      </c>
      <c r="N160" s="14">
        <f>IF(COUNT(I160:M160)=0,"",SUM(I160:M160))</f>
        <v/>
      </c>
      <c r="O160" t="inlineStr">
        <is>
          <t>연령별 현원 미공시(휴원·신설 등)</t>
        </is>
      </c>
    </row>
    <row r="161">
      <c r="A161" t="inlineStr">
        <is>
          <t>선암유치원</t>
        </is>
      </c>
      <c r="B161" t="inlineStr">
        <is>
          <t>유치원</t>
        </is>
      </c>
      <c r="C161" t="inlineStr">
        <is>
          <t>사립(사인)</t>
        </is>
      </c>
      <c r="D161" t="inlineStr">
        <is>
          <t>부산진구</t>
        </is>
      </c>
      <c r="E161" t="inlineStr">
        <is>
          <t>부산광역시 부산진구 신암로 97</t>
        </is>
      </c>
      <c r="F161" s="11" t="inlineStr">
        <is>
          <t>http://school.busanedu.net/sunam-k</t>
        </is>
      </c>
      <c r="G161" t="inlineStr">
        <is>
          <t>051-643-4629</t>
        </is>
      </c>
      <c r="H161" s="15" t="n">
        <v>110</v>
      </c>
      <c r="I161" s="15" t="n">
        <v>13</v>
      </c>
      <c r="J161" s="15" t="n">
        <v>0</v>
      </c>
      <c r="K161" s="15" t="n">
        <v>15</v>
      </c>
      <c r="L161" s="15" t="n">
        <v>5</v>
      </c>
      <c r="M161" s="15" t="n">
        <v>0</v>
      </c>
      <c r="N161" s="14">
        <f>IF(COUNT(I161:M161)=0,"",SUM(I161:M161))</f>
        <v/>
      </c>
      <c r="O161" t="inlineStr"/>
    </row>
    <row r="162">
      <c r="A162" t="inlineStr">
        <is>
          <t>성북초등학교병설유치원</t>
        </is>
      </c>
      <c r="B162" t="inlineStr">
        <is>
          <t>유치원</t>
        </is>
      </c>
      <c r="C162" t="inlineStr">
        <is>
          <t>공립(병설)</t>
        </is>
      </c>
      <c r="D162" t="inlineStr">
        <is>
          <t>부산진구</t>
        </is>
      </c>
      <c r="E162" t="inlineStr">
        <is>
          <t>부산광역시 부산진구 황령대로 79</t>
        </is>
      </c>
      <c r="F162" s="11" t="inlineStr">
        <is>
          <t>https://school.busanedu.net/seongbuk-k/main.do</t>
        </is>
      </c>
      <c r="G162" t="inlineStr">
        <is>
          <t>051-803-5878</t>
        </is>
      </c>
      <c r="H162" s="15" t="n">
        <v>39</v>
      </c>
      <c r="I162" s="15" t="n">
        <v>0</v>
      </c>
      <c r="J162" s="15" t="n">
        <v>7</v>
      </c>
      <c r="K162" s="15" t="n">
        <v>12</v>
      </c>
      <c r="L162" s="15" t="n">
        <v>0</v>
      </c>
      <c r="M162" s="15" t="n">
        <v>0</v>
      </c>
      <c r="N162" s="14">
        <f>IF(COUNT(I162:M162)=0,"",SUM(I162:M162))</f>
        <v/>
      </c>
      <c r="O162" t="inlineStr"/>
    </row>
    <row r="163">
      <c r="A163" t="inlineStr">
        <is>
          <t>성지유치원</t>
        </is>
      </c>
      <c r="B163" t="inlineStr">
        <is>
          <t>유치원</t>
        </is>
      </c>
      <c r="C163" t="inlineStr">
        <is>
          <t>사립(사인)</t>
        </is>
      </c>
      <c r="D163" t="inlineStr">
        <is>
          <t>부산진구</t>
        </is>
      </c>
      <c r="E163" t="inlineStr">
        <is>
          <t>부산광역시 부산진구 백양산로 23</t>
        </is>
      </c>
      <c r="F163" t="inlineStr"/>
      <c r="G163" t="inlineStr">
        <is>
          <t>051-898-0802</t>
        </is>
      </c>
      <c r="H163" s="15" t="n">
        <v>160</v>
      </c>
      <c r="I163" s="15" t="n">
        <v>0</v>
      </c>
      <c r="J163" s="15" t="n">
        <v>50</v>
      </c>
      <c r="K163" s="15" t="n">
        <v>48</v>
      </c>
      <c r="L163" s="15" t="n">
        <v>0</v>
      </c>
      <c r="M163" s="15" t="n">
        <v>0</v>
      </c>
      <c r="N163" s="14">
        <f>IF(COUNT(I163:M163)=0,"",SUM(I163:M163))</f>
        <v/>
      </c>
      <c r="O163" t="inlineStr"/>
    </row>
    <row r="164">
      <c r="A164" t="inlineStr">
        <is>
          <t>성지초등학교병설유치원</t>
        </is>
      </c>
      <c r="B164" t="inlineStr">
        <is>
          <t>유치원</t>
        </is>
      </c>
      <c r="C164" t="inlineStr">
        <is>
          <t>공립(병설)</t>
        </is>
      </c>
      <c r="D164" t="inlineStr">
        <is>
          <t>부산진구</t>
        </is>
      </c>
      <c r="E164" t="inlineStr">
        <is>
          <t>부산광역시 부산진구 시민공원로 62</t>
        </is>
      </c>
      <c r="F164" s="11" t="inlineStr">
        <is>
          <t>https://school.busanedu.net/sungji-e/main.do</t>
        </is>
      </c>
      <c r="G164" t="inlineStr">
        <is>
          <t>051-816-0226</t>
        </is>
      </c>
      <c r="H164" s="15" t="n">
        <v>72</v>
      </c>
      <c r="I164" s="15" t="n">
        <v>14</v>
      </c>
      <c r="J164" s="15" t="n">
        <v>25</v>
      </c>
      <c r="K164" s="15" t="n">
        <v>17</v>
      </c>
      <c r="L164" s="15" t="n">
        <v>0</v>
      </c>
      <c r="M164" s="15" t="n">
        <v>2</v>
      </c>
      <c r="N164" s="14">
        <f>IF(COUNT(I164:M164)=0,"",SUM(I164:M164))</f>
        <v/>
      </c>
      <c r="O164" t="inlineStr"/>
    </row>
    <row r="165">
      <c r="A165" t="inlineStr">
        <is>
          <t>양정원광유치원</t>
        </is>
      </c>
      <c r="B165" t="inlineStr">
        <is>
          <t>유치원</t>
        </is>
      </c>
      <c r="C165" t="inlineStr">
        <is>
          <t>사립(사인)</t>
        </is>
      </c>
      <c r="D165" t="inlineStr">
        <is>
          <t>부산진구</t>
        </is>
      </c>
      <c r="E165" t="inlineStr">
        <is>
          <t>부산광역시 부산진구 양지로17번길 28</t>
        </is>
      </c>
      <c r="F165" t="inlineStr"/>
      <c r="G165" t="inlineStr">
        <is>
          <t>051-865-1860</t>
        </is>
      </c>
      <c r="H165" s="15" t="n">
        <v>182</v>
      </c>
      <c r="I165" s="15" t="n">
        <v>52</v>
      </c>
      <c r="J165" s="15" t="n">
        <v>77</v>
      </c>
      <c r="K165" s="15" t="n">
        <v>52</v>
      </c>
      <c r="L165" s="15" t="n">
        <v>0</v>
      </c>
      <c r="M165" s="15" t="n">
        <v>0</v>
      </c>
      <c r="N165" s="14">
        <f>IF(COUNT(I165:M165)=0,"",SUM(I165:M165))</f>
        <v/>
      </c>
      <c r="O165" t="inlineStr"/>
    </row>
    <row r="166">
      <c r="A166" t="inlineStr">
        <is>
          <t>양정유치원</t>
        </is>
      </c>
      <c r="B166" t="inlineStr">
        <is>
          <t>유치원</t>
        </is>
      </c>
      <c r="C166" t="inlineStr">
        <is>
          <t>사립(사인)</t>
        </is>
      </c>
      <c r="D166" t="inlineStr">
        <is>
          <t>부산진구</t>
        </is>
      </c>
      <c r="E166" t="inlineStr">
        <is>
          <t>부산광역시 부산진구 양지로5번길 31</t>
        </is>
      </c>
      <c r="F166" t="inlineStr"/>
      <c r="G166" t="inlineStr">
        <is>
          <t>051-862-9329</t>
        </is>
      </c>
      <c r="H166" s="15" t="n">
        <v>90</v>
      </c>
      <c r="I166" s="15" t="n">
        <v>16</v>
      </c>
      <c r="J166" s="15" t="n">
        <v>0</v>
      </c>
      <c r="K166" s="15" t="n">
        <v>25</v>
      </c>
      <c r="L166" s="15" t="n">
        <v>19</v>
      </c>
      <c r="M166" s="15" t="n">
        <v>0</v>
      </c>
      <c r="N166" s="14">
        <f>IF(COUNT(I166:M166)=0,"",SUM(I166:M166))</f>
        <v/>
      </c>
      <c r="O166" t="inlineStr"/>
    </row>
    <row r="167">
      <c r="A167" t="inlineStr">
        <is>
          <t>양정현대유치원</t>
        </is>
      </c>
      <c r="B167" t="inlineStr">
        <is>
          <t>유치원</t>
        </is>
      </c>
      <c r="C167" t="inlineStr">
        <is>
          <t>사립(사인)</t>
        </is>
      </c>
      <c r="D167" t="inlineStr">
        <is>
          <t>부산진구</t>
        </is>
      </c>
      <c r="E167" t="inlineStr">
        <is>
          <t>부산광역시 부산진구 범양로 101-20</t>
        </is>
      </c>
      <c r="F167" t="inlineStr"/>
      <c r="G167" t="inlineStr">
        <is>
          <t>051-853-4895</t>
        </is>
      </c>
      <c r="H167" s="15" t="n">
        <v>190</v>
      </c>
      <c r="I167" s="15" t="n">
        <v>0</v>
      </c>
      <c r="J167" s="15" t="n">
        <v>0</v>
      </c>
      <c r="K167" s="15" t="n">
        <v>26</v>
      </c>
      <c r="L167" s="15" t="n">
        <v>150</v>
      </c>
      <c r="M167" s="15" t="n">
        <v>0</v>
      </c>
      <c r="N167" s="14">
        <f>IF(COUNT(I167:M167)=0,"",SUM(I167:M167))</f>
        <v/>
      </c>
      <c r="O167" t="inlineStr"/>
    </row>
    <row r="168">
      <c r="A168" t="inlineStr">
        <is>
          <t>엘지유치원</t>
        </is>
      </c>
      <c r="B168" t="inlineStr">
        <is>
          <t>유치원</t>
        </is>
      </c>
      <c r="C168" t="inlineStr">
        <is>
          <t>사립(사인)</t>
        </is>
      </c>
      <c r="D168" t="inlineStr">
        <is>
          <t>부산진구</t>
        </is>
      </c>
      <c r="E168" t="inlineStr">
        <is>
          <t>부산광역시 부산진구 백양대로300번길 30</t>
        </is>
      </c>
      <c r="F168" s="11" t="inlineStr">
        <is>
          <t>https://school.busanedu.net/lgkid7002-k/main.do</t>
        </is>
      </c>
      <c r="G168" t="inlineStr">
        <is>
          <t>051-895-7002</t>
        </is>
      </c>
      <c r="H168" s="15" t="n">
        <v>178</v>
      </c>
      <c r="I168" s="15" t="n">
        <v>23</v>
      </c>
      <c r="J168" s="15" t="n">
        <v>29</v>
      </c>
      <c r="K168" s="15" t="n">
        <v>29</v>
      </c>
      <c r="L168" s="15" t="n">
        <v>0</v>
      </c>
      <c r="M168" s="15" t="n">
        <v>0</v>
      </c>
      <c r="N168" s="14">
        <f>IF(COUNT(I168:M168)=0,"",SUM(I168:M168))</f>
        <v/>
      </c>
      <c r="O168" t="inlineStr"/>
    </row>
    <row r="169">
      <c r="A169" t="inlineStr">
        <is>
          <t>영림유치원</t>
        </is>
      </c>
      <c r="B169" t="inlineStr">
        <is>
          <t>유치원</t>
        </is>
      </c>
      <c r="C169" t="inlineStr">
        <is>
          <t>사립(사인)</t>
        </is>
      </c>
      <c r="D169" t="inlineStr">
        <is>
          <t>부산진구</t>
        </is>
      </c>
      <c r="E169" t="inlineStr">
        <is>
          <t>부산광역시 부산진구 냉정로 199</t>
        </is>
      </c>
      <c r="F169" t="inlineStr"/>
      <c r="G169" t="inlineStr">
        <is>
          <t>051-895-2500</t>
        </is>
      </c>
      <c r="H169" s="15" t="n">
        <v>126</v>
      </c>
      <c r="I169" s="15" t="n">
        <v>0</v>
      </c>
      <c r="J169" s="15" t="n">
        <v>0</v>
      </c>
      <c r="K169" s="15" t="n">
        <v>26</v>
      </c>
      <c r="L169" s="15" t="n">
        <v>94</v>
      </c>
      <c r="M169" s="15" t="n">
        <v>0</v>
      </c>
      <c r="N169" s="14">
        <f>IF(COUNT(I169:M169)=0,"",SUM(I169:M169))</f>
        <v/>
      </c>
      <c r="O169" t="inlineStr"/>
    </row>
    <row r="170">
      <c r="A170" t="inlineStr">
        <is>
          <t>예종유치원</t>
        </is>
      </c>
      <c r="B170" t="inlineStr">
        <is>
          <t>유치원</t>
        </is>
      </c>
      <c r="C170" t="inlineStr">
        <is>
          <t>사립(사인)</t>
        </is>
      </c>
      <c r="D170" t="inlineStr">
        <is>
          <t>부산진구</t>
        </is>
      </c>
      <c r="E170" t="inlineStr">
        <is>
          <t>부산광역시 부산진구 성지로 116</t>
        </is>
      </c>
      <c r="F170" s="11" t="inlineStr">
        <is>
          <t>https://school.busanedu.net/yejong-k</t>
        </is>
      </c>
      <c r="G170" t="inlineStr">
        <is>
          <t>051-806-1237</t>
        </is>
      </c>
      <c r="H170" s="15" t="n">
        <v>218</v>
      </c>
      <c r="I170" s="15" t="n">
        <v>0</v>
      </c>
      <c r="J170" s="15" t="n">
        <v>0</v>
      </c>
      <c r="K170" s="15" t="n">
        <v>0</v>
      </c>
      <c r="L170" s="15" t="n">
        <v>195</v>
      </c>
      <c r="M170" s="15" t="n">
        <v>0</v>
      </c>
      <c r="N170" s="14">
        <f>IF(COUNT(I170:M170)=0,"",SUM(I170:M170))</f>
        <v/>
      </c>
      <c r="O170" t="inlineStr"/>
    </row>
    <row r="171">
      <c r="A171" t="inlineStr">
        <is>
          <t>전원유치원</t>
        </is>
      </c>
      <c r="B171" t="inlineStr">
        <is>
          <t>유치원</t>
        </is>
      </c>
      <c r="C171" t="inlineStr">
        <is>
          <t>사립(사인)</t>
        </is>
      </c>
      <c r="D171" t="inlineStr">
        <is>
          <t>부산진구</t>
        </is>
      </c>
      <c r="E171" t="inlineStr">
        <is>
          <t>부산광역시 부산진구 당감로 126</t>
        </is>
      </c>
      <c r="F171" t="inlineStr"/>
      <c r="G171" t="inlineStr">
        <is>
          <t>051-806-3131</t>
        </is>
      </c>
      <c r="H171" s="15" t="n">
        <v>120</v>
      </c>
      <c r="I171" s="15" t="n">
        <v>22</v>
      </c>
      <c r="J171" s="15" t="n">
        <v>26</v>
      </c>
      <c r="K171" s="15" t="n">
        <v>45</v>
      </c>
      <c r="L171" s="15" t="n">
        <v>0</v>
      </c>
      <c r="M171" s="15" t="n">
        <v>0</v>
      </c>
      <c r="N171" s="14">
        <f>IF(COUNT(I171:M171)=0,"",SUM(I171:M171))</f>
        <v/>
      </c>
      <c r="O171" t="inlineStr"/>
    </row>
    <row r="172">
      <c r="A172" t="inlineStr">
        <is>
          <t>전포유치원</t>
        </is>
      </c>
      <c r="B172" t="inlineStr">
        <is>
          <t>유치원</t>
        </is>
      </c>
      <c r="C172" t="inlineStr">
        <is>
          <t>공립(단설)</t>
        </is>
      </c>
      <c r="D172" t="inlineStr">
        <is>
          <t>부산진구</t>
        </is>
      </c>
      <c r="E172" t="inlineStr">
        <is>
          <t>부산광역시 부산진구 동성로 34</t>
        </is>
      </c>
      <c r="F172" s="11" t="inlineStr">
        <is>
          <t>http://school.busanedu.net/jeonpoyu-k</t>
        </is>
      </c>
      <c r="G172" t="inlineStr">
        <is>
          <t>051-816-8743</t>
        </is>
      </c>
      <c r="H172" s="15" t="n">
        <v>106</v>
      </c>
      <c r="I172" s="15" t="n">
        <v>28</v>
      </c>
      <c r="J172" s="15" t="n">
        <v>33</v>
      </c>
      <c r="K172" s="15" t="n">
        <v>36</v>
      </c>
      <c r="L172" s="15" t="n">
        <v>0</v>
      </c>
      <c r="M172" s="15" t="n">
        <v>4</v>
      </c>
      <c r="N172" s="14">
        <f>IF(COUNT(I172:M172)=0,"",SUM(I172:M172))</f>
        <v/>
      </c>
      <c r="O172" t="inlineStr"/>
    </row>
    <row r="173">
      <c r="A173" t="inlineStr">
        <is>
          <t>주례초등학교병설유치원</t>
        </is>
      </c>
      <c r="B173" t="inlineStr">
        <is>
          <t>유치원</t>
        </is>
      </c>
      <c r="C173" t="inlineStr">
        <is>
          <t>공립(병설)</t>
        </is>
      </c>
      <c r="D173" t="inlineStr">
        <is>
          <t>부산진구</t>
        </is>
      </c>
      <c r="E173" t="inlineStr">
        <is>
          <t>부산광역시 부산진구 진사로61번길 28-7</t>
        </is>
      </c>
      <c r="F173" s="11" t="inlineStr">
        <is>
          <t>https://school.busanedu.net/jure-k/</t>
        </is>
      </c>
      <c r="G173" t="inlineStr">
        <is>
          <t>051-890-5570</t>
        </is>
      </c>
      <c r="H173" s="15" t="n">
        <v>31</v>
      </c>
      <c r="I173" s="15" t="n">
        <v>1</v>
      </c>
      <c r="J173" s="15" t="n">
        <v>0</v>
      </c>
      <c r="K173" s="15" t="n">
        <v>0</v>
      </c>
      <c r="L173" s="15" t="n">
        <v>4</v>
      </c>
      <c r="M173" s="15" t="n">
        <v>2</v>
      </c>
      <c r="N173" s="14">
        <f>IF(COUNT(I173:M173)=0,"",SUM(I173:M173))</f>
        <v/>
      </c>
      <c r="O173" t="inlineStr"/>
    </row>
    <row r="174">
      <c r="A174" t="inlineStr">
        <is>
          <t>초예유치원</t>
        </is>
      </c>
      <c r="B174" t="inlineStr">
        <is>
          <t>유치원</t>
        </is>
      </c>
      <c r="C174" t="inlineStr">
        <is>
          <t>사립(법인)</t>
        </is>
      </c>
      <c r="D174" t="inlineStr">
        <is>
          <t>부산진구</t>
        </is>
      </c>
      <c r="E174" t="inlineStr">
        <is>
          <t>부산광역시 부산진구 월드컵대로449번길 44-6</t>
        </is>
      </c>
      <c r="F174" t="inlineStr"/>
      <c r="G174" t="inlineStr">
        <is>
          <t>051-805-7644</t>
        </is>
      </c>
      <c r="H174" s="15" t="n">
        <v>100</v>
      </c>
      <c r="I174" s="15" t="n">
        <v>0</v>
      </c>
      <c r="J174" s="15" t="n">
        <v>22</v>
      </c>
      <c r="K174" s="15" t="n">
        <v>24</v>
      </c>
      <c r="L174" s="15" t="n">
        <v>48</v>
      </c>
      <c r="M174" s="15" t="n">
        <v>0</v>
      </c>
      <c r="N174" s="14">
        <f>IF(COUNT(I174:M174)=0,"",SUM(I174:M174))</f>
        <v/>
      </c>
      <c r="O174" t="inlineStr"/>
    </row>
    <row r="175">
      <c r="A175" t="inlineStr">
        <is>
          <t>춘해유치원</t>
        </is>
      </c>
      <c r="B175" t="inlineStr">
        <is>
          <t>유치원</t>
        </is>
      </c>
      <c r="C175" t="inlineStr">
        <is>
          <t>사립(사인)</t>
        </is>
      </c>
      <c r="D175" t="inlineStr">
        <is>
          <t>부산진구</t>
        </is>
      </c>
      <c r="E175" t="inlineStr">
        <is>
          <t>부산광역시 부산진구 안창로14번길 78</t>
        </is>
      </c>
      <c r="F175" t="inlineStr"/>
      <c r="G175" t="inlineStr">
        <is>
          <t>051-646-1900</t>
        </is>
      </c>
      <c r="N175" s="14">
        <f>IF(COUNT(I175:M175)=0,"",SUM(I175:M175))</f>
        <v/>
      </c>
      <c r="O175" t="inlineStr">
        <is>
          <t>연령별 현원 미공시(휴원·신설 등)</t>
        </is>
      </c>
    </row>
    <row r="176">
      <c r="A176" t="inlineStr">
        <is>
          <t>큰별유치원</t>
        </is>
      </c>
      <c r="B176" t="inlineStr">
        <is>
          <t>유치원</t>
        </is>
      </c>
      <c r="C176" t="inlineStr">
        <is>
          <t>사립(사인)</t>
        </is>
      </c>
      <c r="D176" t="inlineStr">
        <is>
          <t>부산진구</t>
        </is>
      </c>
      <c r="E176" t="inlineStr">
        <is>
          <t>부산광역시 부산진구 백양대로260번길 16</t>
        </is>
      </c>
      <c r="F176" t="inlineStr"/>
      <c r="G176" t="inlineStr">
        <is>
          <t>051-892-0075</t>
        </is>
      </c>
      <c r="H176" s="15" t="n">
        <v>110</v>
      </c>
      <c r="I176" s="15" t="n">
        <v>8</v>
      </c>
      <c r="J176" s="15" t="n">
        <v>0</v>
      </c>
      <c r="K176" s="15" t="n">
        <v>0</v>
      </c>
      <c r="L176" s="15" t="n">
        <v>11</v>
      </c>
      <c r="M176" s="15" t="n">
        <v>0</v>
      </c>
      <c r="N176" s="14">
        <f>IF(COUNT(I176:M176)=0,"",SUM(I176:M176))</f>
        <v/>
      </c>
      <c r="O176" t="inlineStr"/>
    </row>
    <row r="177">
      <c r="A177" t="inlineStr">
        <is>
          <t>한사랑유치원</t>
        </is>
      </c>
      <c r="B177" t="inlineStr">
        <is>
          <t>유치원</t>
        </is>
      </c>
      <c r="C177" t="inlineStr">
        <is>
          <t>사립(사인)</t>
        </is>
      </c>
      <c r="D177" t="inlineStr">
        <is>
          <t>부산진구</t>
        </is>
      </c>
      <c r="E177" t="inlineStr">
        <is>
          <t>부산광역시 부산진구 양지로11번길 64</t>
        </is>
      </c>
      <c r="F177" s="11" t="inlineStr">
        <is>
          <t>https://school.busanedu.net/hansalang-k</t>
        </is>
      </c>
      <c r="G177" t="inlineStr">
        <is>
          <t>051-866-3556</t>
        </is>
      </c>
      <c r="N177" s="14">
        <f>IF(COUNT(I177:M177)=0,"",SUM(I177:M177))</f>
        <v/>
      </c>
      <c r="O177" t="inlineStr">
        <is>
          <t>연령별 현원 미공시(휴원·신설 등)</t>
        </is>
      </c>
    </row>
    <row r="178">
      <c r="A178" t="inlineStr">
        <is>
          <t>해바라기자연유치원</t>
        </is>
      </c>
      <c r="B178" t="inlineStr">
        <is>
          <t>유치원</t>
        </is>
      </c>
      <c r="C178" t="inlineStr">
        <is>
          <t>사립(사인)</t>
        </is>
      </c>
      <c r="D178" t="inlineStr">
        <is>
          <t>부산진구</t>
        </is>
      </c>
      <c r="E178" t="inlineStr">
        <is>
          <t>부산광역시 부산진구 개금본동로9번길 48</t>
        </is>
      </c>
      <c r="F178" s="11" t="inlineStr">
        <is>
          <t>http://dabuler.github.io/5400/</t>
        </is>
      </c>
      <c r="G178" t="inlineStr">
        <is>
          <t>051-894-5400</t>
        </is>
      </c>
      <c r="H178" s="15" t="n">
        <v>130</v>
      </c>
      <c r="I178" s="15" t="n">
        <v>0</v>
      </c>
      <c r="J178" s="15" t="n">
        <v>0</v>
      </c>
      <c r="K178" s="15" t="n">
        <v>0</v>
      </c>
      <c r="L178" s="15" t="n">
        <v>128</v>
      </c>
      <c r="M178" s="15" t="n">
        <v>0</v>
      </c>
      <c r="N178" s="14">
        <f>IF(COUNT(I178:M178)=0,"",SUM(I178:M178))</f>
        <v/>
      </c>
      <c r="O178" t="inlineStr"/>
    </row>
    <row r="179">
      <c r="A179" t="inlineStr">
        <is>
          <t>현대일신유치원</t>
        </is>
      </c>
      <c r="B179" t="inlineStr">
        <is>
          <t>유치원</t>
        </is>
      </c>
      <c r="C179" t="inlineStr">
        <is>
          <t>사립(사인)</t>
        </is>
      </c>
      <c r="D179" t="inlineStr">
        <is>
          <t>부산진구</t>
        </is>
      </c>
      <c r="E179" t="inlineStr">
        <is>
          <t>부산광역시 부산진구 거제대로 37</t>
        </is>
      </c>
      <c r="F179" t="inlineStr"/>
      <c r="G179" t="inlineStr">
        <is>
          <t>051-851-7799</t>
        </is>
      </c>
      <c r="H179" s="15" t="n">
        <v>240</v>
      </c>
      <c r="I179" s="15" t="n">
        <v>52</v>
      </c>
      <c r="J179" s="15" t="n">
        <v>51</v>
      </c>
      <c r="K179" s="15" t="n">
        <v>54</v>
      </c>
      <c r="L179" s="15" t="n">
        <v>0</v>
      </c>
      <c r="M179" s="15" t="n">
        <v>0</v>
      </c>
      <c r="N179" s="14">
        <f>IF(COUNT(I179:M179)=0,"",SUM(I179:M179))</f>
        <v/>
      </c>
      <c r="O179" t="inlineStr"/>
    </row>
    <row r="180">
      <c r="A180" t="inlineStr">
        <is>
          <t>화승예그린유치원</t>
        </is>
      </c>
      <c r="B180" t="inlineStr">
        <is>
          <t>유치원</t>
        </is>
      </c>
      <c r="C180" t="inlineStr">
        <is>
          <t>사립(사인)</t>
        </is>
      </c>
      <c r="D180" t="inlineStr">
        <is>
          <t>부산진구</t>
        </is>
      </c>
      <c r="E180" t="inlineStr">
        <is>
          <t>부산광역시 부산진구 백양순환로 70-11</t>
        </is>
      </c>
      <c r="F180" t="inlineStr"/>
      <c r="G180" t="inlineStr">
        <is>
          <t>051-894-1515</t>
        </is>
      </c>
      <c r="H180" s="15" t="n">
        <v>226</v>
      </c>
      <c r="I180" s="15" t="n">
        <v>0</v>
      </c>
      <c r="J180" s="15" t="n">
        <v>71</v>
      </c>
      <c r="K180" s="15" t="n">
        <v>69</v>
      </c>
      <c r="L180" s="15" t="n">
        <v>65</v>
      </c>
      <c r="M180" s="15" t="n">
        <v>0</v>
      </c>
      <c r="N180" s="14">
        <f>IF(COUNT(I180:M180)=0,"",SUM(I180:M180))</f>
        <v/>
      </c>
      <c r="O180" t="inlineStr"/>
    </row>
    <row r="181">
      <c r="A181" t="inlineStr">
        <is>
          <t>화승유치원</t>
        </is>
      </c>
      <c r="B181" t="inlineStr">
        <is>
          <t>유치원</t>
        </is>
      </c>
      <c r="C181" t="inlineStr">
        <is>
          <t>사립(사인)</t>
        </is>
      </c>
      <c r="D181" t="inlineStr">
        <is>
          <t>부산진구</t>
        </is>
      </c>
      <c r="E181" t="inlineStr">
        <is>
          <t>부산광역시 부산진구 당감로 79</t>
        </is>
      </c>
      <c r="F181" t="inlineStr"/>
      <c r="G181" t="inlineStr">
        <is>
          <t>051-819-3372</t>
        </is>
      </c>
      <c r="H181" s="15" t="n">
        <v>180</v>
      </c>
      <c r="I181" s="15" t="n">
        <v>47</v>
      </c>
      <c r="J181" s="15" t="n">
        <v>0</v>
      </c>
      <c r="K181" s="15" t="n">
        <v>26</v>
      </c>
      <c r="L181" s="15" t="n">
        <v>24</v>
      </c>
      <c r="M181" s="15" t="n">
        <v>0</v>
      </c>
      <c r="N181" s="14">
        <f>IF(COUNT(I181:M181)=0,"",SUM(I181:M181))</f>
        <v/>
      </c>
      <c r="O181" t="inlineStr"/>
    </row>
    <row r="182">
      <c r="A182" t="inlineStr">
        <is>
          <t>화인유치원</t>
        </is>
      </c>
      <c r="B182" t="inlineStr">
        <is>
          <t>유치원</t>
        </is>
      </c>
      <c r="C182" t="inlineStr">
        <is>
          <t>사립(사인)</t>
        </is>
      </c>
      <c r="D182" t="inlineStr">
        <is>
          <t>부산진구</t>
        </is>
      </c>
      <c r="E182" t="inlineStr">
        <is>
          <t>부산광역시 부산진구 동평로291번길 30</t>
        </is>
      </c>
      <c r="F182" t="inlineStr"/>
      <c r="G182" t="inlineStr">
        <is>
          <t>051-818-6556</t>
        </is>
      </c>
      <c r="H182" s="15" t="n">
        <v>154</v>
      </c>
      <c r="I182" s="15" t="n">
        <v>32</v>
      </c>
      <c r="J182" s="15" t="n">
        <v>43</v>
      </c>
      <c r="K182" s="15" t="n">
        <v>40</v>
      </c>
      <c r="L182" s="15" t="n">
        <v>21</v>
      </c>
      <c r="M182" s="15" t="n">
        <v>0</v>
      </c>
      <c r="N182" s="14">
        <f>IF(COUNT(I182:M182)=0,"",SUM(I182:M182))</f>
        <v/>
      </c>
      <c r="O182" t="inlineStr"/>
    </row>
    <row r="183">
      <c r="A183" t="inlineStr">
        <is>
          <t>21세기유치원</t>
        </is>
      </c>
      <c r="B183" t="inlineStr">
        <is>
          <t>유치원</t>
        </is>
      </c>
      <c r="C183" t="inlineStr">
        <is>
          <t>사립(사인)</t>
        </is>
      </c>
      <c r="D183" t="inlineStr">
        <is>
          <t>북구</t>
        </is>
      </c>
      <c r="E183" t="inlineStr">
        <is>
          <t>부산광역시 북구 금곡대로330번길 20</t>
        </is>
      </c>
      <c r="F183" s="11" t="inlineStr">
        <is>
          <t>https://school.busanedu.net/21c5200-k</t>
        </is>
      </c>
      <c r="G183" t="inlineStr">
        <is>
          <t>051-343-5200</t>
        </is>
      </c>
      <c r="H183" s="15" t="n">
        <v>174</v>
      </c>
      <c r="I183" s="15" t="n">
        <v>0</v>
      </c>
      <c r="J183" s="15" t="n">
        <v>72</v>
      </c>
      <c r="K183" s="15" t="n">
        <v>51</v>
      </c>
      <c r="L183" s="15" t="n">
        <v>45</v>
      </c>
      <c r="M183" s="15" t="n">
        <v>0</v>
      </c>
      <c r="N183" s="14">
        <f>IF(COUNT(I183:M183)=0,"",SUM(I183:M183))</f>
        <v/>
      </c>
      <c r="O183" t="inlineStr"/>
    </row>
    <row r="184">
      <c r="A184" t="inlineStr">
        <is>
          <t>구남초등학교병설유치원</t>
        </is>
      </c>
      <c r="B184" t="inlineStr">
        <is>
          <t>유치원</t>
        </is>
      </c>
      <c r="C184" t="inlineStr">
        <is>
          <t>공립(병설)</t>
        </is>
      </c>
      <c r="D184" t="inlineStr">
        <is>
          <t>북구</t>
        </is>
      </c>
      <c r="E184" t="inlineStr">
        <is>
          <t>부산광역시 북구 구남로14번가길 23</t>
        </is>
      </c>
      <c r="F184" s="11" t="inlineStr">
        <is>
          <t>https://school.busanedu.net/kunam-k/main.do</t>
        </is>
      </c>
      <c r="G184" t="inlineStr">
        <is>
          <t>051-937-6650</t>
        </is>
      </c>
      <c r="H184" s="15" t="n">
        <v>37</v>
      </c>
      <c r="I184" s="15" t="n">
        <v>0</v>
      </c>
      <c r="J184" s="15" t="n">
        <v>0</v>
      </c>
      <c r="K184" s="15" t="n">
        <v>10</v>
      </c>
      <c r="L184" s="15" t="n">
        <v>7</v>
      </c>
      <c r="M184" s="15" t="n">
        <v>0</v>
      </c>
      <c r="N184" s="14">
        <f>IF(COUNT(I184:M184)=0,"",SUM(I184:M184))</f>
        <v/>
      </c>
      <c r="O184" t="inlineStr"/>
    </row>
    <row r="185">
      <c r="A185" t="inlineStr">
        <is>
          <t>구포성당부설소화유치원</t>
        </is>
      </c>
      <c r="B185" t="inlineStr">
        <is>
          <t>유치원</t>
        </is>
      </c>
      <c r="C185" t="inlineStr">
        <is>
          <t>사립(법인)</t>
        </is>
      </c>
      <c r="D185" t="inlineStr">
        <is>
          <t>북구</t>
        </is>
      </c>
      <c r="E185" t="inlineStr">
        <is>
          <t>부산광역시 북구 가람로52번길 44</t>
        </is>
      </c>
      <c r="F185" t="inlineStr"/>
      <c r="G185" t="inlineStr">
        <is>
          <t>051-332-6315</t>
        </is>
      </c>
      <c r="N185" s="14">
        <f>IF(COUNT(I185:M185)=0,"",SUM(I185:M185))</f>
        <v/>
      </c>
      <c r="O185" t="inlineStr">
        <is>
          <t>연령별 현원 미공시(휴원·신설 등)</t>
        </is>
      </c>
    </row>
    <row r="186">
      <c r="A186" t="inlineStr">
        <is>
          <t>그린코아유치원</t>
        </is>
      </c>
      <c r="B186" t="inlineStr">
        <is>
          <t>유치원</t>
        </is>
      </c>
      <c r="C186" t="inlineStr">
        <is>
          <t>사립(사인)</t>
        </is>
      </c>
      <c r="D186" t="inlineStr">
        <is>
          <t>북구</t>
        </is>
      </c>
      <c r="E186" t="inlineStr">
        <is>
          <t>부산광역시 북구 덕천로234번길 47</t>
        </is>
      </c>
      <c r="F186" s="11" t="inlineStr">
        <is>
          <t>http://school.busanedu.net/greencore-k/main.do</t>
        </is>
      </c>
      <c r="G186" t="inlineStr">
        <is>
          <t>051-336-8751</t>
        </is>
      </c>
      <c r="H186" s="15" t="n">
        <v>168</v>
      </c>
      <c r="I186" s="15" t="n">
        <v>7</v>
      </c>
      <c r="J186" s="15" t="n">
        <v>5</v>
      </c>
      <c r="K186" s="15" t="n">
        <v>11</v>
      </c>
      <c r="L186" s="15" t="n">
        <v>0</v>
      </c>
      <c r="M186" s="15" t="n">
        <v>0</v>
      </c>
      <c r="N186" s="14">
        <f>IF(COUNT(I186:M186)=0,"",SUM(I186:M186))</f>
        <v/>
      </c>
      <c r="O186" t="inlineStr"/>
    </row>
    <row r="187">
      <c r="A187" t="inlineStr">
        <is>
          <t>금곡나래유치원</t>
        </is>
      </c>
      <c r="B187" t="inlineStr">
        <is>
          <t>유치원</t>
        </is>
      </c>
      <c r="C187" t="inlineStr">
        <is>
          <t>공립(단설)</t>
        </is>
      </c>
      <c r="D187" t="inlineStr">
        <is>
          <t>북구</t>
        </is>
      </c>
      <c r="E187" t="inlineStr">
        <is>
          <t>부산광역시 북구 효열로220번길 35</t>
        </is>
      </c>
      <c r="F187" s="11" t="inlineStr">
        <is>
          <t>http://school.busanedu.net/gnr-k/main.do</t>
        </is>
      </c>
      <c r="G187" t="inlineStr">
        <is>
          <t>051-790-9500</t>
        </is>
      </c>
      <c r="H187" s="15" t="n">
        <v>67</v>
      </c>
      <c r="I187" s="15" t="n">
        <v>15</v>
      </c>
      <c r="J187" s="15" t="n">
        <v>6</v>
      </c>
      <c r="K187" s="15" t="n">
        <v>13</v>
      </c>
      <c r="L187" s="15" t="n">
        <v>0</v>
      </c>
      <c r="M187" s="15" t="n">
        <v>8</v>
      </c>
      <c r="N187" s="14">
        <f>IF(COUNT(I187:M187)=0,"",SUM(I187:M187))</f>
        <v/>
      </c>
      <c r="O187" t="inlineStr"/>
    </row>
    <row r="188">
      <c r="A188" t="inlineStr">
        <is>
          <t>금란자연유치원</t>
        </is>
      </c>
      <c r="B188" t="inlineStr">
        <is>
          <t>유치원</t>
        </is>
      </c>
      <c r="C188" t="inlineStr">
        <is>
          <t>사립(사인)</t>
        </is>
      </c>
      <c r="D188" t="inlineStr">
        <is>
          <t>북구</t>
        </is>
      </c>
      <c r="E188" t="inlineStr">
        <is>
          <t>부산광역시 북구 의성로33번길 184</t>
        </is>
      </c>
      <c r="F188" t="inlineStr"/>
      <c r="G188" t="inlineStr">
        <is>
          <t>051-714-0515</t>
        </is>
      </c>
      <c r="H188" s="15" t="n">
        <v>180</v>
      </c>
      <c r="I188" s="15" t="n">
        <v>0</v>
      </c>
      <c r="J188" s="15" t="n">
        <v>39</v>
      </c>
      <c r="K188" s="15" t="n">
        <v>61</v>
      </c>
      <c r="L188" s="15" t="n">
        <v>48</v>
      </c>
      <c r="M188" s="15" t="n">
        <v>0</v>
      </c>
      <c r="N188" s="14">
        <f>IF(COUNT(I188:M188)=0,"",SUM(I188:M188))</f>
        <v/>
      </c>
      <c r="O188" t="inlineStr"/>
    </row>
    <row r="189">
      <c r="A189" t="inlineStr">
        <is>
          <t>금명초등학교병설유치원</t>
        </is>
      </c>
      <c r="B189" t="inlineStr">
        <is>
          <t>유치원</t>
        </is>
      </c>
      <c r="C189" t="inlineStr">
        <is>
          <t>공립(병설)</t>
        </is>
      </c>
      <c r="D189" t="inlineStr">
        <is>
          <t>북구</t>
        </is>
      </c>
      <c r="E189" t="inlineStr">
        <is>
          <t>부산광역시 북구 화명신도시로 197</t>
        </is>
      </c>
      <c r="F189" s="11" t="inlineStr">
        <is>
          <t>http://school.busanedu.net/geummyeong-k</t>
        </is>
      </c>
      <c r="G189" t="inlineStr">
        <is>
          <t>051-361-1837</t>
        </is>
      </c>
      <c r="H189" s="15" t="n">
        <v>53</v>
      </c>
      <c r="I189" s="15" t="n">
        <v>5</v>
      </c>
      <c r="J189" s="15" t="n">
        <v>12</v>
      </c>
      <c r="K189" s="15" t="n">
        <v>15</v>
      </c>
      <c r="L189" s="15" t="n">
        <v>0</v>
      </c>
      <c r="M189" s="15" t="n">
        <v>0</v>
      </c>
      <c r="N189" s="14">
        <f>IF(COUNT(I189:M189)=0,"",SUM(I189:M189))</f>
        <v/>
      </c>
      <c r="O189" t="inlineStr"/>
    </row>
    <row r="190">
      <c r="A190" t="inlineStr">
        <is>
          <t>금창초등학교병설유치원</t>
        </is>
      </c>
      <c r="B190" t="inlineStr">
        <is>
          <t>유치원</t>
        </is>
      </c>
      <c r="C190" t="inlineStr">
        <is>
          <t>공립(병설)</t>
        </is>
      </c>
      <c r="D190" t="inlineStr">
        <is>
          <t>북구</t>
        </is>
      </c>
      <c r="E190" t="inlineStr">
        <is>
          <t>부산광역시 북구 효열로235번길 14</t>
        </is>
      </c>
      <c r="F190" s="11" t="inlineStr">
        <is>
          <t>http://school.busanedu.net/geumchang-k/</t>
        </is>
      </c>
      <c r="G190" t="inlineStr">
        <is>
          <t>051-320-5680</t>
        </is>
      </c>
      <c r="N190" s="14">
        <f>IF(COUNT(I190:M190)=0,"",SUM(I190:M190))</f>
        <v/>
      </c>
      <c r="O190" t="inlineStr">
        <is>
          <t>연령별 현원 미공시(휴원·신설 등)</t>
        </is>
      </c>
    </row>
    <row r="191">
      <c r="A191" t="inlineStr">
        <is>
          <t>금화유치원</t>
        </is>
      </c>
      <c r="B191" t="inlineStr">
        <is>
          <t>유치원</t>
        </is>
      </c>
      <c r="C191" t="inlineStr">
        <is>
          <t>사립(사인)</t>
        </is>
      </c>
      <c r="D191" t="inlineStr">
        <is>
          <t>북구</t>
        </is>
      </c>
      <c r="E191" t="inlineStr">
        <is>
          <t>부산광역시 북구 화명대로 85</t>
        </is>
      </c>
      <c r="F191" t="inlineStr"/>
      <c r="G191" t="inlineStr">
        <is>
          <t>051-331-6006</t>
        </is>
      </c>
      <c r="H191" s="15" t="n">
        <v>171</v>
      </c>
      <c r="I191" s="15" t="n">
        <v>48</v>
      </c>
      <c r="J191" s="15" t="n">
        <v>23</v>
      </c>
      <c r="K191" s="15" t="n">
        <v>66</v>
      </c>
      <c r="L191" s="15" t="n">
        <v>0</v>
      </c>
      <c r="M191" s="15" t="n">
        <v>0</v>
      </c>
      <c r="N191" s="14">
        <f>IF(COUNT(I191:M191)=0,"",SUM(I191:M191))</f>
        <v/>
      </c>
      <c r="O191" t="inlineStr"/>
    </row>
    <row r="192">
      <c r="A192" t="inlineStr">
        <is>
          <t>꽃사슴유치원</t>
        </is>
      </c>
      <c r="B192" t="inlineStr">
        <is>
          <t>유치원</t>
        </is>
      </c>
      <c r="C192" t="inlineStr">
        <is>
          <t>사립(사인)</t>
        </is>
      </c>
      <c r="D192" t="inlineStr">
        <is>
          <t>북구</t>
        </is>
      </c>
      <c r="E192" t="inlineStr">
        <is>
          <t>부산광역시 북구 모분재로 92</t>
        </is>
      </c>
      <c r="F192" t="inlineStr"/>
      <c r="G192" t="inlineStr">
        <is>
          <t>051-333-4676</t>
        </is>
      </c>
      <c r="N192" s="14">
        <f>IF(COUNT(I192:M192)=0,"",SUM(I192:M192))</f>
        <v/>
      </c>
      <c r="O192" t="inlineStr">
        <is>
          <t>연령별 현원 미공시(휴원·신설 등)</t>
        </is>
      </c>
    </row>
    <row r="193">
      <c r="A193" t="inlineStr">
        <is>
          <t>대림유치원</t>
        </is>
      </c>
      <c r="B193" t="inlineStr">
        <is>
          <t>유치원</t>
        </is>
      </c>
      <c r="C193" t="inlineStr">
        <is>
          <t>사립(사인)</t>
        </is>
      </c>
      <c r="D193" t="inlineStr">
        <is>
          <t>북구</t>
        </is>
      </c>
      <c r="E193" t="inlineStr">
        <is>
          <t>부산광역시 북구 금곡대로 268</t>
        </is>
      </c>
      <c r="F193" t="inlineStr"/>
      <c r="G193" t="inlineStr">
        <is>
          <t>051-361-4333</t>
        </is>
      </c>
      <c r="H193" s="15" t="n">
        <v>140</v>
      </c>
      <c r="I193" s="15" t="n">
        <v>13</v>
      </c>
      <c r="J193" s="15" t="n">
        <v>23</v>
      </c>
      <c r="K193" s="15" t="n">
        <v>17</v>
      </c>
      <c r="L193" s="15" t="n">
        <v>0</v>
      </c>
      <c r="M193" s="15" t="n">
        <v>0</v>
      </c>
      <c r="N193" s="14">
        <f>IF(COUNT(I193:M193)=0,"",SUM(I193:M193))</f>
        <v/>
      </c>
      <c r="O193" t="inlineStr"/>
    </row>
    <row r="194">
      <c r="A194" t="inlineStr">
        <is>
          <t>대천리초등학교병설유치원</t>
        </is>
      </c>
      <c r="B194" t="inlineStr">
        <is>
          <t>유치원</t>
        </is>
      </c>
      <c r="C194" t="inlineStr">
        <is>
          <t>공립(병설)</t>
        </is>
      </c>
      <c r="D194" t="inlineStr">
        <is>
          <t>북구</t>
        </is>
      </c>
      <c r="E194" t="inlineStr">
        <is>
          <t>부산광역시 북구 산성로 87-10</t>
        </is>
      </c>
      <c r="F194" s="11" t="inlineStr">
        <is>
          <t>https://school.busanedu.net/daechunlee-k</t>
        </is>
      </c>
      <c r="G194" t="inlineStr">
        <is>
          <t>051-366-2740</t>
        </is>
      </c>
      <c r="H194" s="15" t="n">
        <v>17</v>
      </c>
      <c r="I194" s="15" t="n">
        <v>0</v>
      </c>
      <c r="J194" s="15" t="n">
        <v>0</v>
      </c>
      <c r="K194" s="15" t="n">
        <v>0</v>
      </c>
      <c r="L194" s="15" t="n">
        <v>6</v>
      </c>
      <c r="M194" s="15" t="n">
        <v>0</v>
      </c>
      <c r="N194" s="14">
        <f>IF(COUNT(I194:M194)=0,"",SUM(I194:M194))</f>
        <v/>
      </c>
      <c r="O194" t="inlineStr"/>
    </row>
    <row r="195">
      <c r="A195" t="inlineStr">
        <is>
          <t>덕성초등학교병설유치원</t>
        </is>
      </c>
      <c r="B195" t="inlineStr">
        <is>
          <t>유치원</t>
        </is>
      </c>
      <c r="C195" t="inlineStr">
        <is>
          <t>공립(병설)</t>
        </is>
      </c>
      <c r="D195" t="inlineStr">
        <is>
          <t>북구</t>
        </is>
      </c>
      <c r="E195" t="inlineStr">
        <is>
          <t>부산광역시 북구 만덕대로39번길 45</t>
        </is>
      </c>
      <c r="F195" s="11" t="inlineStr">
        <is>
          <t>http://dsedu.es.kr</t>
        </is>
      </c>
      <c r="G195" t="inlineStr">
        <is>
          <t>051-330-3616</t>
        </is>
      </c>
      <c r="H195" s="15" t="n">
        <v>53</v>
      </c>
      <c r="I195" s="15" t="n">
        <v>3</v>
      </c>
      <c r="J195" s="15" t="n">
        <v>11</v>
      </c>
      <c r="K195" s="15" t="n">
        <v>9</v>
      </c>
      <c r="L195" s="15" t="n">
        <v>0</v>
      </c>
      <c r="M195" s="15" t="n">
        <v>0</v>
      </c>
      <c r="N195" s="14">
        <f>IF(COUNT(I195:M195)=0,"",SUM(I195:M195))</f>
        <v/>
      </c>
      <c r="O195" t="inlineStr"/>
    </row>
    <row r="196">
      <c r="A196" t="inlineStr">
        <is>
          <t>덕양초등학교병설유치원</t>
        </is>
      </c>
      <c r="B196" t="inlineStr">
        <is>
          <t>유치원</t>
        </is>
      </c>
      <c r="C196" t="inlineStr">
        <is>
          <t>공립(병설)</t>
        </is>
      </c>
      <c r="D196" t="inlineStr">
        <is>
          <t>북구</t>
        </is>
      </c>
      <c r="E196" t="inlineStr">
        <is>
          <t>부산광역시 북구 함박봉로 42</t>
        </is>
      </c>
      <c r="F196" s="11" t="inlineStr">
        <is>
          <t>https://school.busanedu.net/dukyang-k/main.do</t>
        </is>
      </c>
      <c r="G196" t="inlineStr">
        <is>
          <t>055-338-8355</t>
        </is>
      </c>
      <c r="H196" s="15" t="n">
        <v>37</v>
      </c>
      <c r="I196" s="15" t="n">
        <v>0</v>
      </c>
      <c r="J196" s="15" t="n">
        <v>0</v>
      </c>
      <c r="K196" s="15" t="n">
        <v>7</v>
      </c>
      <c r="L196" s="15" t="n">
        <v>7</v>
      </c>
      <c r="M196" s="15" t="n">
        <v>0</v>
      </c>
      <c r="N196" s="14">
        <f>IF(COUNT(I196:M196)=0,"",SUM(I196:M196))</f>
        <v/>
      </c>
      <c r="O196" t="inlineStr"/>
    </row>
    <row r="197">
      <c r="A197" t="inlineStr">
        <is>
          <t>덕천유치원</t>
        </is>
      </c>
      <c r="B197" t="inlineStr">
        <is>
          <t>유치원</t>
        </is>
      </c>
      <c r="C197" t="inlineStr">
        <is>
          <t>공립(단설)</t>
        </is>
      </c>
      <c r="D197" t="inlineStr">
        <is>
          <t>북구</t>
        </is>
      </c>
      <c r="E197" t="inlineStr">
        <is>
          <t>부산광역시 북구 덕천2길 10</t>
        </is>
      </c>
      <c r="F197" s="11" t="inlineStr">
        <is>
          <t>http://school.busanedu.net/dck99-k/main.do</t>
        </is>
      </c>
      <c r="G197" t="inlineStr">
        <is>
          <t>051-341-6463</t>
        </is>
      </c>
      <c r="H197" s="15" t="n">
        <v>106</v>
      </c>
      <c r="I197" s="15" t="n">
        <v>26</v>
      </c>
      <c r="J197" s="15" t="n">
        <v>20</v>
      </c>
      <c r="K197" s="15" t="n">
        <v>33</v>
      </c>
      <c r="L197" s="15" t="n">
        <v>0</v>
      </c>
      <c r="M197" s="15" t="n">
        <v>3</v>
      </c>
      <c r="N197" s="14">
        <f>IF(COUNT(I197:M197)=0,"",SUM(I197:M197))</f>
        <v/>
      </c>
      <c r="O197" t="inlineStr"/>
    </row>
    <row r="198">
      <c r="A198" t="inlineStr">
        <is>
          <t>롯데캐슬카이저유치원</t>
        </is>
      </c>
      <c r="B198" t="inlineStr">
        <is>
          <t>유치원</t>
        </is>
      </c>
      <c r="C198" t="inlineStr">
        <is>
          <t>사립(사인)</t>
        </is>
      </c>
      <c r="D198" t="inlineStr">
        <is>
          <t>북구</t>
        </is>
      </c>
      <c r="E198" t="inlineStr">
        <is>
          <t>부산광역시 북구 금곡대로 166</t>
        </is>
      </c>
      <c r="F198" s="11" t="inlineStr">
        <is>
          <t>http://school.busanedu.net/kiser-k/main.do</t>
        </is>
      </c>
      <c r="G198" t="inlineStr">
        <is>
          <t>051-365-1713</t>
        </is>
      </c>
      <c r="H198" s="15" t="n">
        <v>248</v>
      </c>
      <c r="I198" s="15" t="n">
        <v>51</v>
      </c>
      <c r="J198" s="15" t="n">
        <v>57</v>
      </c>
      <c r="K198" s="15" t="n">
        <v>47</v>
      </c>
      <c r="L198" s="15" t="n">
        <v>0</v>
      </c>
      <c r="M198" s="15" t="n">
        <v>0</v>
      </c>
      <c r="N198" s="14">
        <f>IF(COUNT(I198:M198)=0,"",SUM(I198:M198))</f>
        <v/>
      </c>
      <c r="O198" t="inlineStr"/>
    </row>
    <row r="199">
      <c r="A199" t="inlineStr">
        <is>
          <t>만덕자연유치원</t>
        </is>
      </c>
      <c r="B199" t="inlineStr">
        <is>
          <t>유치원</t>
        </is>
      </c>
      <c r="C199" t="inlineStr">
        <is>
          <t>사립(사인)</t>
        </is>
      </c>
      <c r="D199" t="inlineStr">
        <is>
          <t>북구</t>
        </is>
      </c>
      <c r="E199" t="inlineStr">
        <is>
          <t>부산광역시 북구 만덕1로100번길 14</t>
        </is>
      </c>
      <c r="F199" t="inlineStr"/>
      <c r="G199" t="inlineStr">
        <is>
          <t>051-337-7771</t>
        </is>
      </c>
      <c r="H199" s="15" t="n">
        <v>308</v>
      </c>
      <c r="I199" s="15" t="n">
        <v>64</v>
      </c>
      <c r="J199" s="15" t="n">
        <v>70</v>
      </c>
      <c r="K199" s="15" t="n">
        <v>70</v>
      </c>
      <c r="L199" s="15" t="n">
        <v>44</v>
      </c>
      <c r="M199" s="15" t="n">
        <v>0</v>
      </c>
      <c r="N199" s="14">
        <f>IF(COUNT(I199:M199)=0,"",SUM(I199:M199))</f>
        <v/>
      </c>
      <c r="O199" t="inlineStr"/>
    </row>
    <row r="200">
      <c r="A200" t="inlineStr">
        <is>
          <t>명덕초등학교병설유치원</t>
        </is>
      </c>
      <c r="B200" t="inlineStr">
        <is>
          <t>유치원</t>
        </is>
      </c>
      <c r="C200" t="inlineStr">
        <is>
          <t>공립(병설)</t>
        </is>
      </c>
      <c r="D200" t="inlineStr">
        <is>
          <t>북구</t>
        </is>
      </c>
      <c r="E200" t="inlineStr">
        <is>
          <t>부산광역시 북구 금곡대로186번길 43</t>
        </is>
      </c>
      <c r="F200" s="11" t="inlineStr">
        <is>
          <t>http://school.busanedu.net/myd-k</t>
        </is>
      </c>
      <c r="G200" t="inlineStr">
        <is>
          <t>051-331-6850</t>
        </is>
      </c>
      <c r="H200" s="15" t="n">
        <v>53</v>
      </c>
      <c r="I200" s="15" t="n">
        <v>4</v>
      </c>
      <c r="J200" s="15" t="n">
        <v>10</v>
      </c>
      <c r="K200" s="15" t="n">
        <v>11</v>
      </c>
      <c r="L200" s="15" t="n">
        <v>0</v>
      </c>
      <c r="M200" s="15" t="n">
        <v>0</v>
      </c>
      <c r="N200" s="14">
        <f>IF(COUNT(I200:M200)=0,"",SUM(I200:M200))</f>
        <v/>
      </c>
      <c r="O200" t="inlineStr"/>
    </row>
    <row r="201">
      <c r="A201" t="inlineStr">
        <is>
          <t>명진초등학교병설유치원</t>
        </is>
      </c>
      <c r="B201" t="inlineStr">
        <is>
          <t>유치원</t>
        </is>
      </c>
      <c r="C201" t="inlineStr">
        <is>
          <t>공립(병설)</t>
        </is>
      </c>
      <c r="D201" t="inlineStr">
        <is>
          <t>북구</t>
        </is>
      </c>
      <c r="E201" t="inlineStr">
        <is>
          <t>부산광역시 북구 화명신도시로 159</t>
        </is>
      </c>
      <c r="F201" s="11" t="inlineStr">
        <is>
          <t>http://myungjin.es.kr/</t>
        </is>
      </c>
      <c r="G201" t="inlineStr">
        <is>
          <t>051-330-4704</t>
        </is>
      </c>
      <c r="N201" s="14">
        <f>IF(COUNT(I201:M201)=0,"",SUM(I201:M201))</f>
        <v/>
      </c>
      <c r="O201" t="inlineStr">
        <is>
          <t>연령별 현원 미공시(휴원·신설 등)</t>
        </is>
      </c>
    </row>
    <row r="202">
      <c r="A202" t="inlineStr">
        <is>
          <t>백산유치원</t>
        </is>
      </c>
      <c r="B202" t="inlineStr">
        <is>
          <t>유치원</t>
        </is>
      </c>
      <c r="C202" t="inlineStr">
        <is>
          <t>사립(사인)</t>
        </is>
      </c>
      <c r="D202" t="inlineStr">
        <is>
          <t>북구</t>
        </is>
      </c>
      <c r="E202" t="inlineStr">
        <is>
          <t>부산광역시 북구 만덕3로48번다길 21</t>
        </is>
      </c>
      <c r="F202" t="inlineStr"/>
      <c r="G202" t="inlineStr">
        <is>
          <t>051-341-2216</t>
        </is>
      </c>
      <c r="N202" s="14">
        <f>IF(COUNT(I202:M202)=0,"",SUM(I202:M202))</f>
        <v/>
      </c>
      <c r="O202" t="inlineStr">
        <is>
          <t>연령별 현원 미공시(휴원·신설 등)</t>
        </is>
      </c>
    </row>
    <row r="203">
      <c r="A203" t="inlineStr">
        <is>
          <t>백양유치원</t>
        </is>
      </c>
      <c r="B203" t="inlineStr">
        <is>
          <t>유치원</t>
        </is>
      </c>
      <c r="C203" t="inlineStr">
        <is>
          <t>사립(사인)</t>
        </is>
      </c>
      <c r="D203" t="inlineStr">
        <is>
          <t>북구</t>
        </is>
      </c>
      <c r="E203" t="inlineStr">
        <is>
          <t>부산광역시 북구 만덕2로 10</t>
        </is>
      </c>
      <c r="F203" s="11" t="inlineStr">
        <is>
          <t>https://school.busanedu.net/baekyang-k/main.do</t>
        </is>
      </c>
      <c r="G203" t="inlineStr">
        <is>
          <t>051-333-0002</t>
        </is>
      </c>
      <c r="H203" s="15" t="n">
        <v>160</v>
      </c>
      <c r="I203" s="15" t="n">
        <v>52</v>
      </c>
      <c r="J203" s="15" t="n">
        <v>26</v>
      </c>
      <c r="K203" s="15" t="n">
        <v>26</v>
      </c>
      <c r="L203" s="15" t="n">
        <v>0</v>
      </c>
      <c r="M203" s="15" t="n">
        <v>0</v>
      </c>
      <c r="N203" s="14">
        <f>IF(COUNT(I203:M203)=0,"",SUM(I203:M203))</f>
        <v/>
      </c>
      <c r="O203" t="inlineStr"/>
    </row>
    <row r="204">
      <c r="A204" t="inlineStr">
        <is>
          <t>백조명문유치원</t>
        </is>
      </c>
      <c r="B204" t="inlineStr">
        <is>
          <t>유치원</t>
        </is>
      </c>
      <c r="C204" t="inlineStr">
        <is>
          <t>사립(사인)</t>
        </is>
      </c>
      <c r="D204" t="inlineStr">
        <is>
          <t>북구</t>
        </is>
      </c>
      <c r="E204" t="inlineStr">
        <is>
          <t>부산광역시 북구 효열로 39</t>
        </is>
      </c>
      <c r="F204" s="11" t="inlineStr">
        <is>
          <t>https://school.busanedu.net/bjmm-k</t>
        </is>
      </c>
      <c r="G204" t="inlineStr">
        <is>
          <t>051-361-5871</t>
        </is>
      </c>
      <c r="H204" s="15" t="n">
        <v>162</v>
      </c>
      <c r="I204" s="15" t="n">
        <v>28</v>
      </c>
      <c r="J204" s="15" t="n">
        <v>38</v>
      </c>
      <c r="K204" s="15" t="n">
        <v>23</v>
      </c>
      <c r="L204" s="15" t="n">
        <v>0</v>
      </c>
      <c r="M204" s="15" t="n">
        <v>0</v>
      </c>
      <c r="N204" s="14">
        <f>IF(COUNT(I204:M204)=0,"",SUM(I204:M204))</f>
        <v/>
      </c>
      <c r="O204" t="inlineStr"/>
    </row>
    <row r="205">
      <c r="A205" t="inlineStr">
        <is>
          <t>비젼이화유치원</t>
        </is>
      </c>
      <c r="B205" t="inlineStr">
        <is>
          <t>유치원</t>
        </is>
      </c>
      <c r="C205" t="inlineStr">
        <is>
          <t>사립(사인)</t>
        </is>
      </c>
      <c r="D205" t="inlineStr">
        <is>
          <t>북구</t>
        </is>
      </c>
      <c r="E205" t="inlineStr">
        <is>
          <t>부산광역시 북구 화명신도시로 70</t>
        </is>
      </c>
      <c r="F205" t="inlineStr"/>
      <c r="G205" t="inlineStr">
        <is>
          <t>051-364-4600</t>
        </is>
      </c>
      <c r="H205" s="15" t="n">
        <v>196</v>
      </c>
      <c r="I205" s="15" t="n">
        <v>41</v>
      </c>
      <c r="J205" s="15" t="n">
        <v>29</v>
      </c>
      <c r="K205" s="15" t="n">
        <v>15</v>
      </c>
      <c r="L205" s="15" t="n">
        <v>0</v>
      </c>
      <c r="M205" s="15" t="n">
        <v>0</v>
      </c>
      <c r="N205" s="14">
        <f>IF(COUNT(I205:M205)=0,"",SUM(I205:M205))</f>
        <v/>
      </c>
      <c r="O205" t="inlineStr"/>
    </row>
    <row r="206">
      <c r="A206" t="inlineStr">
        <is>
          <t>사랑나무유치원</t>
        </is>
      </c>
      <c r="B206" t="inlineStr">
        <is>
          <t>유치원</t>
        </is>
      </c>
      <c r="C206" t="inlineStr">
        <is>
          <t>사립(사인)</t>
        </is>
      </c>
      <c r="D206" t="inlineStr">
        <is>
          <t>북구</t>
        </is>
      </c>
      <c r="E206" t="inlineStr">
        <is>
          <t>부산광역시 북구 덕천로276번길 60</t>
        </is>
      </c>
      <c r="F206" t="inlineStr"/>
      <c r="G206" t="inlineStr">
        <is>
          <t>051-335-1222</t>
        </is>
      </c>
      <c r="H206" s="15" t="n">
        <v>96</v>
      </c>
      <c r="I206" s="15" t="n">
        <v>0</v>
      </c>
      <c r="J206" s="15" t="n">
        <v>0</v>
      </c>
      <c r="K206" s="15" t="n">
        <v>0</v>
      </c>
      <c r="L206" s="15" t="n">
        <v>96</v>
      </c>
      <c r="M206" s="15" t="n">
        <v>0</v>
      </c>
      <c r="N206" s="14">
        <f>IF(COUNT(I206:M206)=0,"",SUM(I206:M206))</f>
        <v/>
      </c>
      <c r="O206" t="inlineStr"/>
    </row>
    <row r="207">
      <c r="A207" t="inlineStr">
        <is>
          <t>새들유치원</t>
        </is>
      </c>
      <c r="B207" t="inlineStr">
        <is>
          <t>유치원</t>
        </is>
      </c>
      <c r="C207" t="inlineStr">
        <is>
          <t>사립(사인)</t>
        </is>
      </c>
      <c r="D207" t="inlineStr">
        <is>
          <t>북구</t>
        </is>
      </c>
      <c r="E207" t="inlineStr">
        <is>
          <t>부산광역시 북구 의성로122번길 25</t>
        </is>
      </c>
      <c r="F207" t="inlineStr"/>
      <c r="G207" t="inlineStr">
        <is>
          <t>051-333-5441</t>
        </is>
      </c>
      <c r="H207" s="15" t="n">
        <v>130</v>
      </c>
      <c r="I207" s="15" t="n">
        <v>10</v>
      </c>
      <c r="J207" s="15" t="n">
        <v>13</v>
      </c>
      <c r="K207" s="15" t="n">
        <v>11</v>
      </c>
      <c r="L207" s="15" t="n">
        <v>0</v>
      </c>
      <c r="M207" s="15" t="n">
        <v>0</v>
      </c>
      <c r="N207" s="14">
        <f>IF(COUNT(I207:M207)=0,"",SUM(I207:M207))</f>
        <v/>
      </c>
      <c r="O207" t="inlineStr"/>
    </row>
    <row r="208">
      <c r="A208" t="inlineStr">
        <is>
          <t>수정캐슬유치원</t>
        </is>
      </c>
      <c r="B208" t="inlineStr">
        <is>
          <t>유치원</t>
        </is>
      </c>
      <c r="C208" t="inlineStr">
        <is>
          <t>사립(사인)</t>
        </is>
      </c>
      <c r="D208" t="inlineStr">
        <is>
          <t>북구</t>
        </is>
      </c>
      <c r="E208" t="inlineStr">
        <is>
          <t>부산광역시 북구 화명대로94번길 102</t>
        </is>
      </c>
      <c r="F208" t="inlineStr"/>
      <c r="G208" t="inlineStr">
        <is>
          <t>051-331-9378</t>
        </is>
      </c>
      <c r="H208" s="15" t="n">
        <v>250</v>
      </c>
      <c r="I208" s="15" t="n">
        <v>0</v>
      </c>
      <c r="J208" s="15" t="n">
        <v>37</v>
      </c>
      <c r="K208" s="15" t="n">
        <v>57</v>
      </c>
      <c r="L208" s="15" t="n">
        <v>56</v>
      </c>
      <c r="M208" s="15" t="n">
        <v>0</v>
      </c>
      <c r="N208" s="14">
        <f>IF(COUNT(I208:M208)=0,"",SUM(I208:M208))</f>
        <v/>
      </c>
      <c r="O208" t="inlineStr"/>
    </row>
    <row r="209">
      <c r="A209" t="inlineStr">
        <is>
          <t>숲속은성유치원</t>
        </is>
      </c>
      <c r="B209" t="inlineStr">
        <is>
          <t>유치원</t>
        </is>
      </c>
      <c r="C209" t="inlineStr">
        <is>
          <t>사립(사인)</t>
        </is>
      </c>
      <c r="D209" t="inlineStr">
        <is>
          <t>북구</t>
        </is>
      </c>
      <c r="E209" t="inlineStr">
        <is>
          <t>부산광역시 북구 낙동북로772번길 32</t>
        </is>
      </c>
      <c r="F209" s="11" t="inlineStr">
        <is>
          <t>https://m.blog.naver.com/PostList.naver?blogId=eunsung567-</t>
        </is>
      </c>
      <c r="G209" t="inlineStr">
        <is>
          <t>051-333-7655</t>
        </is>
      </c>
      <c r="H209" s="15" t="n">
        <v>448</v>
      </c>
      <c r="I209" s="15" t="n">
        <v>30</v>
      </c>
      <c r="J209" s="15" t="n">
        <v>37</v>
      </c>
      <c r="K209" s="15" t="n">
        <v>45</v>
      </c>
      <c r="L209" s="15" t="n">
        <v>0</v>
      </c>
      <c r="M209" s="15" t="n">
        <v>0</v>
      </c>
      <c r="N209" s="14">
        <f>IF(COUNT(I209:M209)=0,"",SUM(I209:M209))</f>
        <v/>
      </c>
      <c r="O209" t="inlineStr"/>
    </row>
    <row r="210">
      <c r="A210" t="inlineStr">
        <is>
          <t>신금초등학교병설유치원</t>
        </is>
      </c>
      <c r="B210" t="inlineStr">
        <is>
          <t>유치원</t>
        </is>
      </c>
      <c r="C210" t="inlineStr">
        <is>
          <t>공립(병설)</t>
        </is>
      </c>
      <c r="D210" t="inlineStr">
        <is>
          <t>북구</t>
        </is>
      </c>
      <c r="E210" t="inlineStr">
        <is>
          <t>부산광역시 북구 효열로 42</t>
        </is>
      </c>
      <c r="F210" s="11" t="inlineStr">
        <is>
          <t>http://school.busanedu.net/sinkum-k/main.do</t>
        </is>
      </c>
      <c r="G210" t="inlineStr">
        <is>
          <t>051-330-6490</t>
        </is>
      </c>
      <c r="N210" s="14">
        <f>IF(COUNT(I210:M210)=0,"",SUM(I210:M210))</f>
        <v/>
      </c>
      <c r="O210" t="inlineStr">
        <is>
          <t>연령별 현원 미공시(휴원·신설 등)</t>
        </is>
      </c>
    </row>
    <row r="211">
      <c r="A211" t="inlineStr">
        <is>
          <t>신덕초등학교병설유치원</t>
        </is>
      </c>
      <c r="B211" t="inlineStr">
        <is>
          <t>유치원</t>
        </is>
      </c>
      <c r="C211" t="inlineStr">
        <is>
          <t>공립(병설)</t>
        </is>
      </c>
      <c r="D211" t="inlineStr">
        <is>
          <t>북구</t>
        </is>
      </c>
      <c r="E211" t="inlineStr">
        <is>
          <t>부산광역시 북구 함박봉로140번가길 25</t>
        </is>
      </c>
      <c r="F211" s="11" t="inlineStr">
        <is>
          <t>http://school.busanedu.net/sinduk-k/main.do</t>
        </is>
      </c>
      <c r="G211" t="inlineStr">
        <is>
          <t>051-330-2928</t>
        </is>
      </c>
      <c r="H211" s="15" t="n">
        <v>53</v>
      </c>
      <c r="I211" s="15" t="n">
        <v>5</v>
      </c>
      <c r="J211" s="15" t="n">
        <v>7</v>
      </c>
      <c r="K211" s="15" t="n">
        <v>8</v>
      </c>
      <c r="L211" s="15" t="n">
        <v>0</v>
      </c>
      <c r="M211" s="15" t="n">
        <v>0</v>
      </c>
      <c r="N211" s="14">
        <f>IF(COUNT(I211:M211)=0,"",SUM(I211:M211))</f>
        <v/>
      </c>
      <c r="O211" t="inlineStr"/>
    </row>
    <row r="212">
      <c r="A212" t="inlineStr">
        <is>
          <t>와석초등학교병설유치원</t>
        </is>
      </c>
      <c r="B212" t="inlineStr">
        <is>
          <t>유치원</t>
        </is>
      </c>
      <c r="C212" t="inlineStr">
        <is>
          <t>공립(병설)</t>
        </is>
      </c>
      <c r="D212" t="inlineStr">
        <is>
          <t>북구</t>
        </is>
      </c>
      <c r="E212" t="inlineStr">
        <is>
          <t>부산광역시 북구 화명대로94번길 83</t>
        </is>
      </c>
      <c r="F212" s="11" t="inlineStr">
        <is>
          <t>http://school.busanedu.net/waseok-k/</t>
        </is>
      </c>
      <c r="G212" t="inlineStr">
        <is>
          <t>051-791-5271</t>
        </is>
      </c>
      <c r="H212" s="15" t="n">
        <v>37</v>
      </c>
      <c r="I212" s="15" t="n">
        <v>0</v>
      </c>
      <c r="J212" s="15" t="n">
        <v>0</v>
      </c>
      <c r="K212" s="15" t="n">
        <v>6</v>
      </c>
      <c r="L212" s="15" t="n">
        <v>10</v>
      </c>
      <c r="M212" s="15" t="n">
        <v>0</v>
      </c>
      <c r="N212" s="14">
        <f>IF(COUNT(I212:M212)=0,"",SUM(I212:M212))</f>
        <v/>
      </c>
      <c r="O212" t="inlineStr"/>
    </row>
    <row r="213">
      <c r="A213" t="inlineStr">
        <is>
          <t>용수초등학교병설유치원</t>
        </is>
      </c>
      <c r="B213" t="inlineStr">
        <is>
          <t>유치원</t>
        </is>
      </c>
      <c r="C213" t="inlineStr">
        <is>
          <t>공립(병설)</t>
        </is>
      </c>
      <c r="D213" t="inlineStr">
        <is>
          <t>북구</t>
        </is>
      </c>
      <c r="E213" t="inlineStr">
        <is>
          <t>부산광역시 북구 화명신도시로 53</t>
        </is>
      </c>
      <c r="F213" s="11" t="inlineStr">
        <is>
          <t>https://school.busanedu.net/yongsu-k</t>
        </is>
      </c>
      <c r="G213" t="inlineStr">
        <is>
          <t>051-330-3794</t>
        </is>
      </c>
      <c r="H213" s="15" t="n">
        <v>31</v>
      </c>
      <c r="I213" s="15" t="n">
        <v>5</v>
      </c>
      <c r="J213" s="15" t="n">
        <v>0</v>
      </c>
      <c r="K213" s="15" t="n">
        <v>0</v>
      </c>
      <c r="L213" s="15" t="n">
        <v>8</v>
      </c>
      <c r="M213" s="15" t="n">
        <v>3</v>
      </c>
      <c r="N213" s="14">
        <f>IF(COUNT(I213:M213)=0,"",SUM(I213:M213))</f>
        <v/>
      </c>
      <c r="O213" t="inlineStr"/>
    </row>
    <row r="214">
      <c r="A214" t="inlineStr">
        <is>
          <t>원효정사유치원</t>
        </is>
      </c>
      <c r="B214" t="inlineStr">
        <is>
          <t>유치원</t>
        </is>
      </c>
      <c r="C214" t="inlineStr">
        <is>
          <t>사립(법인)</t>
        </is>
      </c>
      <c r="D214" t="inlineStr">
        <is>
          <t>북구</t>
        </is>
      </c>
      <c r="E214" t="inlineStr">
        <is>
          <t>부산광역시 북구 효열로162번길 180-14</t>
        </is>
      </c>
      <c r="F214" s="11" t="inlineStr">
        <is>
          <t>https://school.busanedu.net/wonhyojungsa-k/main.do</t>
        </is>
      </c>
      <c r="G214" t="inlineStr">
        <is>
          <t>051-343-0567</t>
        </is>
      </c>
      <c r="H214" s="15" t="n">
        <v>200</v>
      </c>
      <c r="I214" s="15" t="n">
        <v>19</v>
      </c>
      <c r="J214" s="15" t="n">
        <v>7</v>
      </c>
      <c r="K214" s="15" t="n">
        <v>22</v>
      </c>
      <c r="L214" s="15" t="n">
        <v>0</v>
      </c>
      <c r="M214" s="15" t="n">
        <v>0</v>
      </c>
      <c r="N214" s="14">
        <f>IF(COUNT(I214:M214)=0,"",SUM(I214:M214))</f>
        <v/>
      </c>
      <c r="O214" t="inlineStr"/>
    </row>
    <row r="215">
      <c r="A215" t="inlineStr">
        <is>
          <t>포천초등학교병설유치원</t>
        </is>
      </c>
      <c r="B215" t="inlineStr">
        <is>
          <t>유치원</t>
        </is>
      </c>
      <c r="C215" t="inlineStr">
        <is>
          <t>공립(병설)</t>
        </is>
      </c>
      <c r="D215" t="inlineStr">
        <is>
          <t>북구</t>
        </is>
      </c>
      <c r="E215" t="inlineStr">
        <is>
          <t>부산광역시 북구 시랑로 115</t>
        </is>
      </c>
      <c r="F215" s="11" t="inlineStr">
        <is>
          <t>http://school.busanedu.net/pochen-k/main.do</t>
        </is>
      </c>
      <c r="G215" t="inlineStr">
        <is>
          <t>051-366-3372</t>
        </is>
      </c>
      <c r="H215" s="15" t="n">
        <v>53</v>
      </c>
      <c r="I215" s="15" t="n">
        <v>5</v>
      </c>
      <c r="J215" s="15" t="n">
        <v>6</v>
      </c>
      <c r="K215" s="15" t="n">
        <v>12</v>
      </c>
      <c r="L215" s="15" t="n">
        <v>0</v>
      </c>
      <c r="M215" s="15" t="n">
        <v>2</v>
      </c>
      <c r="N215" s="14">
        <f>IF(COUNT(I215:M215)=0,"",SUM(I215:M215))</f>
        <v/>
      </c>
      <c r="O215" t="inlineStr"/>
    </row>
    <row r="216">
      <c r="A216" t="inlineStr">
        <is>
          <t>햇빛유치원</t>
        </is>
      </c>
      <c r="B216" t="inlineStr">
        <is>
          <t>유치원</t>
        </is>
      </c>
      <c r="C216" t="inlineStr">
        <is>
          <t>사립(사인)</t>
        </is>
      </c>
      <c r="D216" t="inlineStr">
        <is>
          <t>북구</t>
        </is>
      </c>
      <c r="E216" t="inlineStr">
        <is>
          <t>부산광역시 북구 효열로 117</t>
        </is>
      </c>
      <c r="F216" s="11" t="inlineStr">
        <is>
          <t>http://school.busanedu.net/sunlight-k</t>
        </is>
      </c>
      <c r="G216" t="inlineStr">
        <is>
          <t>051-362-6636</t>
        </is>
      </c>
      <c r="H216" s="15" t="n">
        <v>224</v>
      </c>
      <c r="I216" s="15" t="n">
        <v>32</v>
      </c>
      <c r="J216" s="15" t="n">
        <v>59</v>
      </c>
      <c r="K216" s="15" t="n">
        <v>57</v>
      </c>
      <c r="L216" s="15" t="n">
        <v>0</v>
      </c>
      <c r="M216" s="15" t="n">
        <v>0</v>
      </c>
      <c r="N216" s="14">
        <f>IF(COUNT(I216:M216)=0,"",SUM(I216:M216))</f>
        <v/>
      </c>
      <c r="O216" t="inlineStr"/>
    </row>
    <row r="217">
      <c r="A217" t="inlineStr">
        <is>
          <t>현대여울림유치원</t>
        </is>
      </c>
      <c r="B217" t="inlineStr">
        <is>
          <t>유치원</t>
        </is>
      </c>
      <c r="C217" t="inlineStr">
        <is>
          <t>사립(사인)</t>
        </is>
      </c>
      <c r="D217" t="inlineStr">
        <is>
          <t>북구</t>
        </is>
      </c>
      <c r="E217" t="inlineStr">
        <is>
          <t>부산광역시 북구 백양대로 1003</t>
        </is>
      </c>
      <c r="F217" s="11" t="inlineStr">
        <is>
          <t>http://school.busanedu.net/hyundaiyeoulim-k</t>
        </is>
      </c>
      <c r="G217" t="inlineStr">
        <is>
          <t>051-336-7916</t>
        </is>
      </c>
      <c r="H217" s="15" t="n">
        <v>131</v>
      </c>
      <c r="I217" s="15" t="n">
        <v>0</v>
      </c>
      <c r="J217" s="15" t="n">
        <v>0</v>
      </c>
      <c r="K217" s="15" t="n">
        <v>20</v>
      </c>
      <c r="L217" s="15" t="n">
        <v>71</v>
      </c>
      <c r="M217" s="15" t="n">
        <v>0</v>
      </c>
      <c r="N217" s="14">
        <f>IF(COUNT(I217:M217)=0,"",SUM(I217:M217))</f>
        <v/>
      </c>
      <c r="O217" t="inlineStr"/>
    </row>
    <row r="218">
      <c r="A218" t="inlineStr">
        <is>
          <t>화명금화유치원</t>
        </is>
      </c>
      <c r="B218" t="inlineStr">
        <is>
          <t>유치원</t>
        </is>
      </c>
      <c r="C218" t="inlineStr">
        <is>
          <t>사립(사인)</t>
        </is>
      </c>
      <c r="D218" t="inlineStr">
        <is>
          <t>북구</t>
        </is>
      </c>
      <c r="E218" t="inlineStr">
        <is>
          <t>부산광역시 북구 화명대로 81-1</t>
        </is>
      </c>
      <c r="F218" t="inlineStr"/>
      <c r="G218" t="inlineStr">
        <is>
          <t>051-331-7458</t>
        </is>
      </c>
      <c r="H218" s="15" t="n">
        <v>123</v>
      </c>
      <c r="I218" s="15" t="n">
        <v>32</v>
      </c>
      <c r="J218" s="15" t="n">
        <v>46</v>
      </c>
      <c r="K218" s="15" t="n">
        <v>24</v>
      </c>
      <c r="L218" s="15" t="n">
        <v>0</v>
      </c>
      <c r="M218" s="15" t="n">
        <v>0</v>
      </c>
      <c r="N218" s="14">
        <f>IF(COUNT(I218:M218)=0,"",SUM(I218:M218))</f>
        <v/>
      </c>
      <c r="O218" t="inlineStr"/>
    </row>
    <row r="219">
      <c r="A219" t="inlineStr">
        <is>
          <t>화명꿈유치원</t>
        </is>
      </c>
      <c r="B219" t="inlineStr">
        <is>
          <t>유치원</t>
        </is>
      </c>
      <c r="C219" t="inlineStr">
        <is>
          <t>공립(단설)</t>
        </is>
      </c>
      <c r="D219" t="inlineStr">
        <is>
          <t>북구</t>
        </is>
      </c>
      <c r="E219" t="inlineStr">
        <is>
          <t>부산광역시 북구 금곡대로 359</t>
        </is>
      </c>
      <c r="F219" s="11" t="inlineStr">
        <is>
          <t>http://school.busanedu.net/hwamyeongkkum-k/</t>
        </is>
      </c>
      <c r="G219" t="inlineStr">
        <is>
          <t>051-790-3200</t>
        </is>
      </c>
      <c r="H219" s="15" t="n">
        <v>106</v>
      </c>
      <c r="I219" s="15" t="n">
        <v>25</v>
      </c>
      <c r="J219" s="15" t="n">
        <v>30</v>
      </c>
      <c r="K219" s="15" t="n">
        <v>37</v>
      </c>
      <c r="L219" s="15" t="n">
        <v>0</v>
      </c>
      <c r="M219" s="15" t="n">
        <v>2</v>
      </c>
      <c r="N219" s="14">
        <f>IF(COUNT(I219:M219)=0,"",SUM(I219:M219))</f>
        <v/>
      </c>
      <c r="O219" t="inlineStr"/>
    </row>
    <row r="220">
      <c r="A220" t="inlineStr">
        <is>
          <t>화영유치원</t>
        </is>
      </c>
      <c r="B220" t="inlineStr">
        <is>
          <t>유치원</t>
        </is>
      </c>
      <c r="C220" t="inlineStr">
        <is>
          <t>사립(사인)</t>
        </is>
      </c>
      <c r="D220" t="inlineStr">
        <is>
          <t>북구</t>
        </is>
      </c>
      <c r="E220" t="inlineStr">
        <is>
          <t>부산광역시 북구 덕천로 80</t>
        </is>
      </c>
      <c r="F220" t="inlineStr"/>
      <c r="G220" t="inlineStr">
        <is>
          <t>051-333-3800</t>
        </is>
      </c>
      <c r="H220" s="15" t="n">
        <v>174</v>
      </c>
      <c r="I220" s="15" t="n">
        <v>0</v>
      </c>
      <c r="J220" s="15" t="n">
        <v>0</v>
      </c>
      <c r="K220" s="15" t="n">
        <v>12</v>
      </c>
      <c r="L220" s="15" t="n">
        <v>3</v>
      </c>
      <c r="M220" s="15" t="n">
        <v>0</v>
      </c>
      <c r="N220" s="14">
        <f>IF(COUNT(I220:M220)=0,"",SUM(I220:M220))</f>
        <v/>
      </c>
      <c r="O220" t="inlineStr"/>
    </row>
    <row r="221">
      <c r="A221" t="inlineStr">
        <is>
          <t>화잠초등학교병설유치원</t>
        </is>
      </c>
      <c r="B221" t="inlineStr">
        <is>
          <t>유치원</t>
        </is>
      </c>
      <c r="C221" t="inlineStr">
        <is>
          <t>공립(병설)</t>
        </is>
      </c>
      <c r="D221" t="inlineStr">
        <is>
          <t>북구</t>
        </is>
      </c>
      <c r="E221" t="inlineStr">
        <is>
          <t>부산광역시 북구 화명대로 97-25</t>
        </is>
      </c>
      <c r="F221" s="11" t="inlineStr">
        <is>
          <t>http://school.busanedu.net/hwajam-k/</t>
        </is>
      </c>
      <c r="G221" t="inlineStr">
        <is>
          <t>051-330-4227</t>
        </is>
      </c>
      <c r="H221" s="15" t="n">
        <v>17</v>
      </c>
      <c r="I221" s="15" t="n">
        <v>0</v>
      </c>
      <c r="J221" s="15" t="n">
        <v>0</v>
      </c>
      <c r="K221" s="15" t="n">
        <v>0</v>
      </c>
      <c r="L221" s="15" t="n">
        <v>12</v>
      </c>
      <c r="M221" s="15" t="n">
        <v>0</v>
      </c>
      <c r="N221" s="14">
        <f>IF(COUNT(I221:M221)=0,"",SUM(I221:M221))</f>
        <v/>
      </c>
      <c r="O221" t="inlineStr"/>
    </row>
    <row r="222">
      <c r="A222" t="inlineStr">
        <is>
          <t>효림유치원</t>
        </is>
      </c>
      <c r="B222" t="inlineStr">
        <is>
          <t>유치원</t>
        </is>
      </c>
      <c r="C222" t="inlineStr">
        <is>
          <t>사립(사인)</t>
        </is>
      </c>
      <c r="D222" t="inlineStr">
        <is>
          <t>북구</t>
        </is>
      </c>
      <c r="E222" t="inlineStr">
        <is>
          <t>부산광역시 북구 백양대로1016번길 100-47</t>
        </is>
      </c>
      <c r="F222" s="11" t="inlineStr">
        <is>
          <t>https://school.busanedu.net/hyorim-k</t>
        </is>
      </c>
      <c r="G222" t="inlineStr">
        <is>
          <t>051-335-0019</t>
        </is>
      </c>
      <c r="H222" s="15" t="n">
        <v>140</v>
      </c>
      <c r="I222" s="15" t="n">
        <v>19</v>
      </c>
      <c r="J222" s="15" t="n">
        <v>13</v>
      </c>
      <c r="K222" s="15" t="n">
        <v>28</v>
      </c>
      <c r="L222" s="15" t="n">
        <v>0</v>
      </c>
      <c r="M222" s="15" t="n">
        <v>0</v>
      </c>
      <c r="N222" s="14">
        <f>IF(COUNT(I222:M222)=0,"",SUM(I222:M222))</f>
        <v/>
      </c>
      <c r="O222" t="inlineStr"/>
    </row>
    <row r="223">
      <c r="A223" t="inlineStr">
        <is>
          <t>가람유치원</t>
        </is>
      </c>
      <c r="B223" t="inlineStr">
        <is>
          <t>유치원</t>
        </is>
      </c>
      <c r="C223" t="inlineStr">
        <is>
          <t>사립(사인)</t>
        </is>
      </c>
      <c r="D223" t="inlineStr">
        <is>
          <t>사상구</t>
        </is>
      </c>
      <c r="E223" t="inlineStr">
        <is>
          <t>부산광역시 사상구 엄궁로191번길 20</t>
        </is>
      </c>
      <c r="F223" s="11" t="inlineStr">
        <is>
          <t>https://school.busanedu.net/karam-k/main.do</t>
        </is>
      </c>
      <c r="G223" t="inlineStr">
        <is>
          <t>051-312-3050</t>
        </is>
      </c>
      <c r="H223" s="15" t="n">
        <v>70</v>
      </c>
      <c r="I223" s="15" t="n">
        <v>0</v>
      </c>
      <c r="J223" s="15" t="n">
        <v>0</v>
      </c>
      <c r="K223" s="15" t="n">
        <v>6</v>
      </c>
      <c r="L223" s="15" t="n">
        <v>8</v>
      </c>
      <c r="M223" s="15" t="n">
        <v>0</v>
      </c>
      <c r="N223" s="14">
        <f>IF(COUNT(I223:M223)=0,"",SUM(I223:M223))</f>
        <v/>
      </c>
      <c r="O223" t="inlineStr"/>
    </row>
    <row r="224">
      <c r="A224" t="inlineStr">
        <is>
          <t>감전샛별유치원</t>
        </is>
      </c>
      <c r="B224" t="inlineStr">
        <is>
          <t>유치원</t>
        </is>
      </c>
      <c r="C224" t="inlineStr">
        <is>
          <t>사립(법인)</t>
        </is>
      </c>
      <c r="D224" t="inlineStr">
        <is>
          <t>사상구</t>
        </is>
      </c>
      <c r="E224" t="inlineStr">
        <is>
          <t>부산광역시 사상구 괘감로 77</t>
        </is>
      </c>
      <c r="F224" t="inlineStr"/>
      <c r="G224" t="inlineStr">
        <is>
          <t>051-317-5042</t>
        </is>
      </c>
      <c r="N224" s="14">
        <f>IF(COUNT(I224:M224)=0,"",SUM(I224:M224))</f>
        <v/>
      </c>
      <c r="O224" t="inlineStr">
        <is>
          <t>연령별 현원 미공시(휴원·신설 등)</t>
        </is>
      </c>
    </row>
    <row r="225">
      <c r="A225" t="inlineStr">
        <is>
          <t>감전초등학교병설유치원</t>
        </is>
      </c>
      <c r="B225" t="inlineStr">
        <is>
          <t>유치원</t>
        </is>
      </c>
      <c r="C225" t="inlineStr">
        <is>
          <t>공립(병설)</t>
        </is>
      </c>
      <c r="D225" t="inlineStr">
        <is>
          <t>사상구</t>
        </is>
      </c>
      <c r="E225" t="inlineStr">
        <is>
          <t>부산광역시 사상구 괘감로 132</t>
        </is>
      </c>
      <c r="F225" s="11" t="inlineStr">
        <is>
          <t>https://school.busanedu.net/gamjeon-k</t>
        </is>
      </c>
      <c r="G225" t="inlineStr">
        <is>
          <t>051-310-8393</t>
        </is>
      </c>
      <c r="H225" s="15" t="n">
        <v>37</v>
      </c>
      <c r="I225" s="15" t="n">
        <v>0</v>
      </c>
      <c r="J225" s="15" t="n">
        <v>0</v>
      </c>
      <c r="K225" s="15" t="n">
        <v>4</v>
      </c>
      <c r="L225" s="15" t="n">
        <v>7</v>
      </c>
      <c r="M225" s="15" t="n">
        <v>2</v>
      </c>
      <c r="N225" s="14">
        <f>IF(COUNT(I225:M225)=0,"",SUM(I225:M225))</f>
        <v/>
      </c>
      <c r="O225" t="inlineStr"/>
    </row>
    <row r="226">
      <c r="A226" t="inlineStr">
        <is>
          <t>경남정보대학교부속유치원</t>
        </is>
      </c>
      <c r="B226" t="inlineStr">
        <is>
          <t>유치원</t>
        </is>
      </c>
      <c r="C226" t="inlineStr">
        <is>
          <t>사립(법인)</t>
        </is>
      </c>
      <c r="D226" t="inlineStr">
        <is>
          <t>사상구</t>
        </is>
      </c>
      <c r="E226" t="inlineStr">
        <is>
          <t>부산광역시 사상구 주례로 45</t>
        </is>
      </c>
      <c r="F226" s="11" t="inlineStr">
        <is>
          <t>http://www.kidkit.kg.kr/</t>
        </is>
      </c>
      <c r="G226" t="inlineStr">
        <is>
          <t>051-320-1357</t>
        </is>
      </c>
      <c r="H226" s="15" t="n">
        <v>234</v>
      </c>
      <c r="I226" s="15" t="n">
        <v>0</v>
      </c>
      <c r="J226" s="15" t="n">
        <v>72</v>
      </c>
      <c r="K226" s="15" t="n">
        <v>78</v>
      </c>
      <c r="L226" s="15" t="n">
        <v>84</v>
      </c>
      <c r="M226" s="15" t="n">
        <v>0</v>
      </c>
      <c r="N226" s="14">
        <f>IF(COUNT(I226:M226)=0,"",SUM(I226:M226))</f>
        <v/>
      </c>
      <c r="O226" t="inlineStr"/>
    </row>
    <row r="227">
      <c r="A227" t="inlineStr">
        <is>
          <t>괘법한신유치원</t>
        </is>
      </c>
      <c r="B227" t="inlineStr">
        <is>
          <t>유치원</t>
        </is>
      </c>
      <c r="C227" t="inlineStr">
        <is>
          <t>사립(사인)</t>
        </is>
      </c>
      <c r="D227" t="inlineStr">
        <is>
          <t>사상구</t>
        </is>
      </c>
      <c r="E227" t="inlineStr">
        <is>
          <t>부산광역시 사상구 낙동대로1210번길 33</t>
        </is>
      </c>
      <c r="F227" s="11" t="inlineStr">
        <is>
          <t>http://school.busanedu.net/gwaebeophanshin-k/main.do</t>
        </is>
      </c>
      <c r="G227" t="inlineStr">
        <is>
          <t>051-328-0702</t>
        </is>
      </c>
      <c r="H227" s="15" t="n">
        <v>186</v>
      </c>
      <c r="I227" s="15" t="n">
        <v>40</v>
      </c>
      <c r="J227" s="15" t="n">
        <v>48</v>
      </c>
      <c r="K227" s="15" t="n">
        <v>0</v>
      </c>
      <c r="L227" s="15" t="n">
        <v>40</v>
      </c>
      <c r="M227" s="15" t="n">
        <v>0</v>
      </c>
      <c r="N227" s="14">
        <f>IF(COUNT(I227:M227)=0,"",SUM(I227:M227))</f>
        <v/>
      </c>
      <c r="O227" t="inlineStr"/>
    </row>
    <row r="228">
      <c r="A228" t="inlineStr">
        <is>
          <t>노아유치원</t>
        </is>
      </c>
      <c r="B228" t="inlineStr">
        <is>
          <t>유치원</t>
        </is>
      </c>
      <c r="C228" t="inlineStr">
        <is>
          <t>사립(사인)</t>
        </is>
      </c>
      <c r="D228" t="inlineStr">
        <is>
          <t>사상구</t>
        </is>
      </c>
      <c r="E228" t="inlineStr">
        <is>
          <t>부산광역시 사상구 대동로159번길 73</t>
        </is>
      </c>
      <c r="F228" s="11" t="inlineStr">
        <is>
          <t>http://school.busanedu.net/noa-k</t>
        </is>
      </c>
      <c r="G228" t="inlineStr">
        <is>
          <t>051-322-0006</t>
        </is>
      </c>
      <c r="H228" s="15" t="n">
        <v>120</v>
      </c>
      <c r="I228" s="15" t="n">
        <v>12</v>
      </c>
      <c r="J228" s="15" t="n">
        <v>9</v>
      </c>
      <c r="K228" s="15" t="n">
        <v>13</v>
      </c>
      <c r="L228" s="15" t="n">
        <v>0</v>
      </c>
      <c r="M228" s="15" t="n">
        <v>0</v>
      </c>
      <c r="N228" s="14">
        <f>IF(COUNT(I228:M228)=0,"",SUM(I228:M228))</f>
        <v/>
      </c>
      <c r="O228" t="inlineStr"/>
    </row>
    <row r="229">
      <c r="A229" t="inlineStr">
        <is>
          <t>덕포한샘유치원</t>
        </is>
      </c>
      <c r="B229" t="inlineStr">
        <is>
          <t>유치원</t>
        </is>
      </c>
      <c r="C229" t="inlineStr">
        <is>
          <t>사립(사인)</t>
        </is>
      </c>
      <c r="D229" t="inlineStr">
        <is>
          <t>사상구</t>
        </is>
      </c>
      <c r="E229" t="inlineStr">
        <is>
          <t>부산광역시 사상구 덕상로 39</t>
        </is>
      </c>
      <c r="F229" s="11" t="inlineStr">
        <is>
          <t>http://school.busanedu.net/dphansaem-k/main.do</t>
        </is>
      </c>
      <c r="G229" t="inlineStr">
        <is>
          <t>051-303-6767</t>
        </is>
      </c>
      <c r="H229" s="15" t="n">
        <v>210</v>
      </c>
      <c r="I229" s="15" t="n">
        <v>0</v>
      </c>
      <c r="J229" s="15" t="n">
        <v>48</v>
      </c>
      <c r="K229" s="15" t="n">
        <v>68</v>
      </c>
      <c r="L229" s="15" t="n">
        <v>66</v>
      </c>
      <c r="M229" s="15" t="n">
        <v>0</v>
      </c>
      <c r="N229" s="14">
        <f>IF(COUNT(I229:M229)=0,"",SUM(I229:M229))</f>
        <v/>
      </c>
      <c r="O229" t="inlineStr"/>
    </row>
    <row r="230">
      <c r="A230" t="inlineStr">
        <is>
          <t>동성럭키유치원</t>
        </is>
      </c>
      <c r="B230" t="inlineStr">
        <is>
          <t>유치원</t>
        </is>
      </c>
      <c r="C230" t="inlineStr">
        <is>
          <t>사립(법인)</t>
        </is>
      </c>
      <c r="D230" t="inlineStr">
        <is>
          <t>사상구</t>
        </is>
      </c>
      <c r="E230" t="inlineStr">
        <is>
          <t>부산광역시 사상구 주례로 114</t>
        </is>
      </c>
      <c r="F230" s="11" t="inlineStr">
        <is>
          <t>http://school.busanedu.net/luckyds-k</t>
        </is>
      </c>
      <c r="G230" t="inlineStr">
        <is>
          <t>051-325-7113</t>
        </is>
      </c>
      <c r="H230" s="15" t="n">
        <v>240</v>
      </c>
      <c r="I230" s="15" t="n">
        <v>0</v>
      </c>
      <c r="J230" s="15" t="n">
        <v>67</v>
      </c>
      <c r="K230" s="15" t="n">
        <v>67</v>
      </c>
      <c r="L230" s="15" t="n">
        <v>66</v>
      </c>
      <c r="M230" s="15" t="n">
        <v>0</v>
      </c>
      <c r="N230" s="14">
        <f>IF(COUNT(I230:M230)=0,"",SUM(I230:M230))</f>
        <v/>
      </c>
      <c r="O230" t="inlineStr"/>
    </row>
    <row r="231">
      <c r="A231" t="inlineStr">
        <is>
          <t>명성유치원</t>
        </is>
      </c>
      <c r="B231" t="inlineStr">
        <is>
          <t>유치원</t>
        </is>
      </c>
      <c r="C231" t="inlineStr">
        <is>
          <t>사립(사인)</t>
        </is>
      </c>
      <c r="D231" t="inlineStr">
        <is>
          <t>사상구</t>
        </is>
      </c>
      <c r="E231" t="inlineStr">
        <is>
          <t>부산광역시 사상구 학장로216번길 3</t>
        </is>
      </c>
      <c r="F231" t="inlineStr"/>
      <c r="G231" t="inlineStr">
        <is>
          <t>051-325-7650</t>
        </is>
      </c>
      <c r="N231" s="14">
        <f>IF(COUNT(I231:M231)=0,"",SUM(I231:M231))</f>
        <v/>
      </c>
      <c r="O231" t="inlineStr">
        <is>
          <t>연령별 현원 미공시(휴원·신설 등)</t>
        </is>
      </c>
    </row>
    <row r="232">
      <c r="A232" t="inlineStr">
        <is>
          <t>모덕유치원</t>
        </is>
      </c>
      <c r="B232" t="inlineStr">
        <is>
          <t>유치원</t>
        </is>
      </c>
      <c r="C232" t="inlineStr">
        <is>
          <t>사립(사인)</t>
        </is>
      </c>
      <c r="D232" t="inlineStr">
        <is>
          <t>사상구</t>
        </is>
      </c>
      <c r="E232" t="inlineStr">
        <is>
          <t>부산광역시 사상구 덕상로 85</t>
        </is>
      </c>
      <c r="F232" s="11" t="inlineStr">
        <is>
          <t>http://school.busanedu.net/moduk-k</t>
        </is>
      </c>
      <c r="G232" t="inlineStr">
        <is>
          <t>051-303-6463</t>
        </is>
      </c>
      <c r="H232" s="15" t="n">
        <v>140</v>
      </c>
      <c r="I232" s="15" t="n">
        <v>21</v>
      </c>
      <c r="J232" s="15" t="n">
        <v>28</v>
      </c>
      <c r="K232" s="15" t="n">
        <v>35</v>
      </c>
      <c r="L232" s="15" t="n">
        <v>0</v>
      </c>
      <c r="M232" s="15" t="n">
        <v>0</v>
      </c>
      <c r="N232" s="14">
        <f>IF(COUNT(I232:M232)=0,"",SUM(I232:M232))</f>
        <v/>
      </c>
      <c r="O232" t="inlineStr"/>
    </row>
    <row r="233">
      <c r="A233" t="inlineStr">
        <is>
          <t>모덕초등학교병설유치원</t>
        </is>
      </c>
      <c r="B233" t="inlineStr">
        <is>
          <t>유치원</t>
        </is>
      </c>
      <c r="C233" t="inlineStr">
        <is>
          <t>공립(병설)</t>
        </is>
      </c>
      <c r="D233" t="inlineStr">
        <is>
          <t>사상구</t>
        </is>
      </c>
      <c r="E233" t="inlineStr">
        <is>
          <t>부산광역시 사상구 덕상로 120</t>
        </is>
      </c>
      <c r="F233" s="11" t="inlineStr">
        <is>
          <t>http://school.busanedu.net/modeok-k/</t>
        </is>
      </c>
      <c r="G233" t="inlineStr">
        <is>
          <t>051-320-0890</t>
        </is>
      </c>
      <c r="H233" s="15" t="n">
        <v>17</v>
      </c>
      <c r="I233" s="15" t="n">
        <v>0</v>
      </c>
      <c r="J233" s="15" t="n">
        <v>0</v>
      </c>
      <c r="K233" s="15" t="n">
        <v>0</v>
      </c>
      <c r="L233" s="15" t="n">
        <v>2</v>
      </c>
      <c r="M233" s="15" t="n">
        <v>0</v>
      </c>
      <c r="N233" s="14">
        <f>IF(COUNT(I233:M233)=0,"",SUM(I233:M233))</f>
        <v/>
      </c>
      <c r="O233" t="inlineStr"/>
    </row>
    <row r="234">
      <c r="A234" t="inlineStr">
        <is>
          <t>모동초등학교병설유치원</t>
        </is>
      </c>
      <c r="B234" t="inlineStr">
        <is>
          <t>유치원</t>
        </is>
      </c>
      <c r="C234" t="inlineStr">
        <is>
          <t>공립(병설)</t>
        </is>
      </c>
      <c r="D234" t="inlineStr">
        <is>
          <t>사상구</t>
        </is>
      </c>
      <c r="E234" t="inlineStr">
        <is>
          <t>부산광역시 사상구 모라로192번길 37</t>
        </is>
      </c>
      <c r="F234" s="11" t="inlineStr">
        <is>
          <t>https://school.busanedu.net/modong2-k</t>
        </is>
      </c>
      <c r="G234" t="inlineStr">
        <is>
          <t>051-792-3783</t>
        </is>
      </c>
      <c r="N234" s="14">
        <f>IF(COUNT(I234:M234)=0,"",SUM(I234:M234))</f>
        <v/>
      </c>
      <c r="O234" t="inlineStr">
        <is>
          <t>연령별 현원 미공시(휴원·신설 등)</t>
        </is>
      </c>
    </row>
    <row r="235">
      <c r="A235" t="inlineStr">
        <is>
          <t>무덕유치원</t>
        </is>
      </c>
      <c r="B235" t="inlineStr">
        <is>
          <t>유치원</t>
        </is>
      </c>
      <c r="C235" t="inlineStr">
        <is>
          <t>사립(사인)</t>
        </is>
      </c>
      <c r="D235" t="inlineStr">
        <is>
          <t>사상구</t>
        </is>
      </c>
      <c r="E235" t="inlineStr">
        <is>
          <t>부산광역시 사상구 냉정로 78</t>
        </is>
      </c>
      <c r="F235" s="11" t="inlineStr">
        <is>
          <t>https://school.busanedu.net/mudeok-k/main.do</t>
        </is>
      </c>
      <c r="G235" t="inlineStr">
        <is>
          <t>051-315-3580</t>
        </is>
      </c>
      <c r="H235" s="15" t="n">
        <v>125</v>
      </c>
      <c r="I235" s="15" t="n">
        <v>11</v>
      </c>
      <c r="J235" s="15" t="n">
        <v>21</v>
      </c>
      <c r="K235" s="15" t="n">
        <v>15</v>
      </c>
      <c r="L235" s="15" t="n">
        <v>0</v>
      </c>
      <c r="M235" s="15" t="n">
        <v>0</v>
      </c>
      <c r="N235" s="14">
        <f>IF(COUNT(I235:M235)=0,"",SUM(I235:M235))</f>
        <v/>
      </c>
      <c r="O235" t="inlineStr"/>
    </row>
    <row r="236">
      <c r="A236" t="inlineStr">
        <is>
          <t>반도보라유치원</t>
        </is>
      </c>
      <c r="B236" t="inlineStr">
        <is>
          <t>유치원</t>
        </is>
      </c>
      <c r="C236" t="inlineStr">
        <is>
          <t>사립(사인)</t>
        </is>
      </c>
      <c r="D236" t="inlineStr">
        <is>
          <t>사상구</t>
        </is>
      </c>
      <c r="E236" t="inlineStr">
        <is>
          <t>부산광역시 사상구 대동로 98</t>
        </is>
      </c>
      <c r="F236" t="inlineStr"/>
      <c r="G236" t="inlineStr">
        <is>
          <t>051-327-3355</t>
        </is>
      </c>
      <c r="H236" s="15" t="n">
        <v>107</v>
      </c>
      <c r="I236" s="15" t="n">
        <v>15</v>
      </c>
      <c r="J236" s="15" t="n">
        <v>16</v>
      </c>
      <c r="K236" s="15" t="n">
        <v>21</v>
      </c>
      <c r="L236" s="15" t="n">
        <v>0</v>
      </c>
      <c r="M236" s="15" t="n">
        <v>0</v>
      </c>
      <c r="N236" s="14">
        <f>IF(COUNT(I236:M236)=0,"",SUM(I236:M236))</f>
        <v/>
      </c>
      <c r="O236" t="inlineStr"/>
    </row>
    <row r="237">
      <c r="A237" t="inlineStr">
        <is>
          <t>버클리명문유치원</t>
        </is>
      </c>
      <c r="B237" t="inlineStr">
        <is>
          <t>유치원</t>
        </is>
      </c>
      <c r="C237" t="inlineStr">
        <is>
          <t>사립(사인)</t>
        </is>
      </c>
      <c r="D237" t="inlineStr">
        <is>
          <t>사상구</t>
        </is>
      </c>
      <c r="E237" t="inlineStr">
        <is>
          <t>부산광역시 사상구 백양대로 372-22</t>
        </is>
      </c>
      <c r="F237" s="11" t="inlineStr">
        <is>
          <t>http://school.busanedu.net/berkeley-m-m-k</t>
        </is>
      </c>
      <c r="G237" t="inlineStr">
        <is>
          <t>051-322-4411</t>
        </is>
      </c>
      <c r="H237" s="15" t="n">
        <v>196</v>
      </c>
      <c r="I237" s="15" t="n">
        <v>41</v>
      </c>
      <c r="J237" s="15" t="n">
        <v>34</v>
      </c>
      <c r="K237" s="15" t="n">
        <v>50</v>
      </c>
      <c r="L237" s="15" t="n">
        <v>0</v>
      </c>
      <c r="M237" s="15" t="n">
        <v>0</v>
      </c>
      <c r="N237" s="14">
        <f>IF(COUNT(I237:M237)=0,"",SUM(I237:M237))</f>
        <v/>
      </c>
      <c r="O237" t="inlineStr"/>
    </row>
    <row r="238">
      <c r="A238" t="inlineStr">
        <is>
          <t>벧엘유치원</t>
        </is>
      </c>
      <c r="B238" t="inlineStr">
        <is>
          <t>유치원</t>
        </is>
      </c>
      <c r="C238" t="inlineStr">
        <is>
          <t>사립(사인)</t>
        </is>
      </c>
      <c r="D238" t="inlineStr">
        <is>
          <t>사상구</t>
        </is>
      </c>
      <c r="E238" t="inlineStr">
        <is>
          <t>부산광역시 사상구 백양대로902번길 42</t>
        </is>
      </c>
      <c r="F238" t="inlineStr"/>
      <c r="G238" t="inlineStr">
        <is>
          <t>051-327-7772</t>
        </is>
      </c>
      <c r="H238" s="15" t="n">
        <v>115</v>
      </c>
      <c r="I238" s="15" t="n">
        <v>0</v>
      </c>
      <c r="J238" s="15" t="n">
        <v>18</v>
      </c>
      <c r="K238" s="15" t="n">
        <v>11</v>
      </c>
      <c r="L238" s="15" t="n">
        <v>20</v>
      </c>
      <c r="M238" s="15" t="n">
        <v>0</v>
      </c>
      <c r="N238" s="14">
        <f>IF(COUNT(I238:M238)=0,"",SUM(I238:M238))</f>
        <v/>
      </c>
      <c r="O238" t="inlineStr"/>
    </row>
    <row r="239">
      <c r="A239" t="inlineStr">
        <is>
          <t>사랑유치원</t>
        </is>
      </c>
      <c r="B239" t="inlineStr">
        <is>
          <t>유치원</t>
        </is>
      </c>
      <c r="C239" t="inlineStr">
        <is>
          <t>사립(사인)</t>
        </is>
      </c>
      <c r="D239" t="inlineStr">
        <is>
          <t>사상구</t>
        </is>
      </c>
      <c r="E239" t="inlineStr">
        <is>
          <t>부산광역시 사상구 학감대로49번길 73</t>
        </is>
      </c>
      <c r="F239" s="11" t="inlineStr">
        <is>
          <t>https://school.busanedu.net/sarang9600-k</t>
        </is>
      </c>
      <c r="G239" t="inlineStr">
        <is>
          <t>051-313-9600</t>
        </is>
      </c>
      <c r="H239" s="15" t="n">
        <v>206</v>
      </c>
      <c r="I239" s="15" t="n">
        <v>0</v>
      </c>
      <c r="J239" s="15" t="n">
        <v>65</v>
      </c>
      <c r="K239" s="15" t="n">
        <v>68</v>
      </c>
      <c r="L239" s="15" t="n">
        <v>58</v>
      </c>
      <c r="M239" s="15" t="n">
        <v>0</v>
      </c>
      <c r="N239" s="14">
        <f>IF(COUNT(I239:M239)=0,"",SUM(I239:M239))</f>
        <v/>
      </c>
      <c r="O239" t="inlineStr"/>
    </row>
    <row r="240">
      <c r="A240" t="inlineStr">
        <is>
          <t>사상초등학교병설유치원</t>
        </is>
      </c>
      <c r="B240" t="inlineStr">
        <is>
          <t>유치원</t>
        </is>
      </c>
      <c r="C240" t="inlineStr">
        <is>
          <t>공립(병설)</t>
        </is>
      </c>
      <c r="D240" t="inlineStr">
        <is>
          <t>사상구</t>
        </is>
      </c>
      <c r="E240" t="inlineStr">
        <is>
          <t>부산광역시 사상구 운산로 65</t>
        </is>
      </c>
      <c r="F240" s="11" t="inlineStr">
        <is>
          <t>https://school.busanedu.net/sasang-k</t>
        </is>
      </c>
      <c r="G240" t="inlineStr">
        <is>
          <t>051-330-5380</t>
        </is>
      </c>
      <c r="H240" s="15" t="n">
        <v>37</v>
      </c>
      <c r="I240" s="15" t="n">
        <v>0</v>
      </c>
      <c r="J240" s="15" t="n">
        <v>0</v>
      </c>
      <c r="K240" s="15" t="n">
        <v>3</v>
      </c>
      <c r="L240" s="15" t="n">
        <v>8</v>
      </c>
      <c r="M240" s="15" t="n">
        <v>4</v>
      </c>
      <c r="N240" s="14">
        <f>IF(COUNT(I240:M240)=0,"",SUM(I240:M240))</f>
        <v/>
      </c>
      <c r="O240" t="inlineStr"/>
    </row>
    <row r="241">
      <c r="A241" t="inlineStr">
        <is>
          <t>삼덕초등학교병설유치원</t>
        </is>
      </c>
      <c r="B241" t="inlineStr">
        <is>
          <t>유치원</t>
        </is>
      </c>
      <c r="C241" t="inlineStr">
        <is>
          <t>공립(병설)</t>
        </is>
      </c>
      <c r="D241" t="inlineStr">
        <is>
          <t>사상구</t>
        </is>
      </c>
      <c r="E241" t="inlineStr">
        <is>
          <t>부산광역시 사상구 삼덕로 24</t>
        </is>
      </c>
      <c r="F241" s="11" t="inlineStr">
        <is>
          <t>https://school.busanedu.net/samdok-k/main.do</t>
        </is>
      </c>
      <c r="G241" t="inlineStr">
        <is>
          <t>051-303-0256</t>
        </is>
      </c>
      <c r="H241" s="15" t="n">
        <v>37</v>
      </c>
      <c r="I241" s="15" t="n">
        <v>0</v>
      </c>
      <c r="J241" s="15" t="n">
        <v>0</v>
      </c>
      <c r="K241" s="15" t="n">
        <v>9</v>
      </c>
      <c r="L241" s="15" t="n">
        <v>10</v>
      </c>
      <c r="M241" s="15" t="n">
        <v>2</v>
      </c>
      <c r="N241" s="14">
        <f>IF(COUNT(I241:M241)=0,"",SUM(I241:M241))</f>
        <v/>
      </c>
      <c r="O241" t="inlineStr"/>
    </row>
    <row r="242">
      <c r="A242" t="inlineStr">
        <is>
          <t>서감초등학교병설유치원</t>
        </is>
      </c>
      <c r="B242" t="inlineStr">
        <is>
          <t>유치원</t>
        </is>
      </c>
      <c r="C242" t="inlineStr">
        <is>
          <t>공립(병설)</t>
        </is>
      </c>
      <c r="D242" t="inlineStr">
        <is>
          <t>사상구</t>
        </is>
      </c>
      <c r="E242" t="inlineStr">
        <is>
          <t>부산광역시 사상구 괘감로 64</t>
        </is>
      </c>
      <c r="F242" s="11" t="inlineStr">
        <is>
          <t>http://school.busanedu.net/seogam-k</t>
        </is>
      </c>
      <c r="G242" t="inlineStr">
        <is>
          <t>051-320-5888</t>
        </is>
      </c>
      <c r="H242" s="15" t="n">
        <v>17</v>
      </c>
      <c r="I242" s="15" t="n">
        <v>0</v>
      </c>
      <c r="J242" s="15" t="n">
        <v>0</v>
      </c>
      <c r="K242" s="15" t="n">
        <v>0</v>
      </c>
      <c r="L242" s="15" t="n">
        <v>6</v>
      </c>
      <c r="M242" s="15" t="n">
        <v>0</v>
      </c>
      <c r="N242" s="14">
        <f>IF(COUNT(I242:M242)=0,"",SUM(I242:M242))</f>
        <v/>
      </c>
      <c r="O242" t="inlineStr"/>
    </row>
    <row r="243">
      <c r="A243" t="inlineStr">
        <is>
          <t>엄궁누리유치원</t>
        </is>
      </c>
      <c r="B243" t="inlineStr">
        <is>
          <t>유치원</t>
        </is>
      </c>
      <c r="C243" t="inlineStr">
        <is>
          <t>공립(단설)</t>
        </is>
      </c>
      <c r="D243" t="inlineStr">
        <is>
          <t>사상구</t>
        </is>
      </c>
      <c r="E243" t="inlineStr">
        <is>
          <t>부산광역시 사상구 엄궁로 119</t>
        </is>
      </c>
      <c r="F243" s="11" t="inlineStr">
        <is>
          <t>http://school.busanedu.net/eomgungnuri-k/main.do</t>
        </is>
      </c>
      <c r="G243" t="inlineStr">
        <is>
          <t>051-790-5200</t>
        </is>
      </c>
      <c r="H243" s="15" t="n">
        <v>86</v>
      </c>
      <c r="I243" s="15" t="n">
        <v>15</v>
      </c>
      <c r="J243" s="15" t="n">
        <v>26</v>
      </c>
      <c r="K243" s="15" t="n">
        <v>15</v>
      </c>
      <c r="L243" s="15" t="n">
        <v>0</v>
      </c>
      <c r="M243" s="15" t="n">
        <v>4</v>
      </c>
      <c r="N243" s="14">
        <f>IF(COUNT(I243:M243)=0,"",SUM(I243:M243))</f>
        <v/>
      </c>
      <c r="O243" t="inlineStr"/>
    </row>
    <row r="244">
      <c r="A244" t="inlineStr">
        <is>
          <t>엄궁한신유치원</t>
        </is>
      </c>
      <c r="B244" t="inlineStr">
        <is>
          <t>유치원</t>
        </is>
      </c>
      <c r="C244" t="inlineStr">
        <is>
          <t>사립(사인)</t>
        </is>
      </c>
      <c r="D244" t="inlineStr">
        <is>
          <t>사상구</t>
        </is>
      </c>
      <c r="E244" t="inlineStr">
        <is>
          <t>부산광역시 사상구 엄궁로 40</t>
        </is>
      </c>
      <c r="F244" s="11" t="inlineStr">
        <is>
          <t>http://school.busanedu.net/emgunghanshin-k/main.do</t>
        </is>
      </c>
      <c r="G244" t="inlineStr">
        <is>
          <t>051-316-7749</t>
        </is>
      </c>
      <c r="H244" s="15" t="n">
        <v>148</v>
      </c>
      <c r="I244" s="15" t="n">
        <v>12</v>
      </c>
      <c r="J244" s="15" t="n">
        <v>35</v>
      </c>
      <c r="K244" s="15" t="n">
        <v>41</v>
      </c>
      <c r="L244" s="15" t="n">
        <v>0</v>
      </c>
      <c r="M244" s="15" t="n">
        <v>0</v>
      </c>
      <c r="N244" s="14">
        <f>IF(COUNT(I244:M244)=0,"",SUM(I244:M244))</f>
        <v/>
      </c>
      <c r="O244" t="inlineStr"/>
    </row>
    <row r="245">
      <c r="A245" t="inlineStr">
        <is>
          <t>으뜸유치원</t>
        </is>
      </c>
      <c r="B245" t="inlineStr">
        <is>
          <t>유치원</t>
        </is>
      </c>
      <c r="C245" t="inlineStr">
        <is>
          <t>공립(단설)</t>
        </is>
      </c>
      <c r="D245" t="inlineStr">
        <is>
          <t>사상구</t>
        </is>
      </c>
      <c r="E245" t="inlineStr">
        <is>
          <t>부산광역시 사상구 학감대로49번길 28-7</t>
        </is>
      </c>
      <c r="F245" s="11" t="inlineStr">
        <is>
          <t>https://school.busanedu.net/euddeum-k</t>
        </is>
      </c>
      <c r="G245" t="inlineStr">
        <is>
          <t>051-710-4200</t>
        </is>
      </c>
      <c r="H245" s="15" t="n">
        <v>72</v>
      </c>
      <c r="I245" s="15" t="n">
        <v>13</v>
      </c>
      <c r="J245" s="15" t="n">
        <v>25</v>
      </c>
      <c r="K245" s="15" t="n">
        <v>12</v>
      </c>
      <c r="L245" s="15" t="n">
        <v>0</v>
      </c>
      <c r="M245" s="15" t="n">
        <v>4</v>
      </c>
      <c r="N245" s="14">
        <f>IF(COUNT(I245:M245)=0,"",SUM(I245:M245))</f>
        <v/>
      </c>
      <c r="O245" t="inlineStr"/>
    </row>
    <row r="246">
      <c r="A246" t="inlineStr">
        <is>
          <t>은하자연유치원</t>
        </is>
      </c>
      <c r="B246" t="inlineStr">
        <is>
          <t>유치원</t>
        </is>
      </c>
      <c r="C246" t="inlineStr">
        <is>
          <t>사립(사인)</t>
        </is>
      </c>
      <c r="D246" t="inlineStr">
        <is>
          <t>사상구</t>
        </is>
      </c>
      <c r="E246" t="inlineStr">
        <is>
          <t>부산광역시 사상구 백양대로768번길 63-6</t>
        </is>
      </c>
      <c r="F246" t="inlineStr"/>
      <c r="G246" t="inlineStr">
        <is>
          <t>051-303-6677</t>
        </is>
      </c>
      <c r="N246" s="14">
        <f>IF(COUNT(I246:M246)=0,"",SUM(I246:M246))</f>
        <v/>
      </c>
      <c r="O246" t="inlineStr">
        <is>
          <t>연령별 현원 미공시(휴원·신설 등)</t>
        </is>
      </c>
    </row>
    <row r="247">
      <c r="A247" t="inlineStr">
        <is>
          <t>주감초등학교병설유치원</t>
        </is>
      </c>
      <c r="B247" t="inlineStr">
        <is>
          <t>유치원</t>
        </is>
      </c>
      <c r="C247" t="inlineStr">
        <is>
          <t>공립(병설)</t>
        </is>
      </c>
      <c r="D247" t="inlineStr">
        <is>
          <t>사상구</t>
        </is>
      </c>
      <c r="E247" t="inlineStr">
        <is>
          <t>부산광역시 사상구 양지로 48</t>
        </is>
      </c>
      <c r="F247" s="11" t="inlineStr">
        <is>
          <t>https://school.busanedu.net/jugam-k</t>
        </is>
      </c>
      <c r="G247" t="inlineStr">
        <is>
          <t>051-320-3970</t>
        </is>
      </c>
      <c r="H247" s="15" t="n">
        <v>17</v>
      </c>
      <c r="I247" s="15" t="n">
        <v>0</v>
      </c>
      <c r="J247" s="15" t="n">
        <v>0</v>
      </c>
      <c r="K247" s="15" t="n">
        <v>0</v>
      </c>
      <c r="L247" s="15" t="n">
        <v>3</v>
      </c>
      <c r="M247" s="15" t="n">
        <v>0</v>
      </c>
      <c r="N247" s="14">
        <f>IF(COUNT(I247:M247)=0,"",SUM(I247:M247))</f>
        <v/>
      </c>
      <c r="O247" t="inlineStr"/>
    </row>
    <row r="248">
      <c r="A248" t="inlineStr">
        <is>
          <t>초록유치원</t>
        </is>
      </c>
      <c r="B248" t="inlineStr">
        <is>
          <t>유치원</t>
        </is>
      </c>
      <c r="C248" t="inlineStr">
        <is>
          <t>사립(사인)</t>
        </is>
      </c>
      <c r="D248" t="inlineStr">
        <is>
          <t>사상구</t>
        </is>
      </c>
      <c r="E248" t="inlineStr">
        <is>
          <t>부산광역시 사상구 백양대로 880</t>
        </is>
      </c>
      <c r="F248" t="inlineStr"/>
      <c r="G248" t="inlineStr">
        <is>
          <t>051-325-0840</t>
        </is>
      </c>
      <c r="H248" s="15" t="n">
        <v>191</v>
      </c>
      <c r="I248" s="15" t="n">
        <v>23</v>
      </c>
      <c r="J248" s="15" t="n">
        <v>26</v>
      </c>
      <c r="K248" s="15" t="n">
        <v>31</v>
      </c>
      <c r="L248" s="15" t="n">
        <v>0</v>
      </c>
      <c r="M248" s="15" t="n">
        <v>0</v>
      </c>
      <c r="N248" s="14">
        <f>IF(COUNT(I248:M248)=0,"",SUM(I248:M248))</f>
        <v/>
      </c>
      <c r="O248" t="inlineStr"/>
    </row>
    <row r="249">
      <c r="A249" t="inlineStr">
        <is>
          <t>한빛유치원</t>
        </is>
      </c>
      <c r="B249" t="inlineStr">
        <is>
          <t>유치원</t>
        </is>
      </c>
      <c r="C249" t="inlineStr">
        <is>
          <t>사립(사인)</t>
        </is>
      </c>
      <c r="D249" t="inlineStr">
        <is>
          <t>사상구</t>
        </is>
      </c>
      <c r="E249" t="inlineStr">
        <is>
          <t>부산광역시 사상구 엄궁중로 20</t>
        </is>
      </c>
      <c r="F249" s="11" t="inlineStr">
        <is>
          <t>https://school.busanedu.net/hanbit7017-k</t>
        </is>
      </c>
      <c r="G249" t="inlineStr">
        <is>
          <t>051-313-7017</t>
        </is>
      </c>
      <c r="H249" s="15" t="n">
        <v>112</v>
      </c>
      <c r="I249" s="15" t="n">
        <v>21</v>
      </c>
      <c r="J249" s="15" t="n">
        <v>17</v>
      </c>
      <c r="K249" s="15" t="n">
        <v>20</v>
      </c>
      <c r="L249" s="15" t="n">
        <v>0</v>
      </c>
      <c r="M249" s="15" t="n">
        <v>0</v>
      </c>
      <c r="N249" s="14">
        <f>IF(COUNT(I249:M249)=0,"",SUM(I249:M249))</f>
        <v/>
      </c>
      <c r="O249" t="inlineStr"/>
    </row>
    <row r="250">
      <c r="A250" t="inlineStr">
        <is>
          <t>감천초등학교병설유치원</t>
        </is>
      </c>
      <c r="B250" t="inlineStr">
        <is>
          <t>유치원</t>
        </is>
      </c>
      <c r="C250" t="inlineStr">
        <is>
          <t>공립(병설)</t>
        </is>
      </c>
      <c r="D250" t="inlineStr">
        <is>
          <t>사하구</t>
        </is>
      </c>
      <c r="E250" t="inlineStr">
        <is>
          <t>부산광역시 사하구 원양로 368-2</t>
        </is>
      </c>
      <c r="F250" s="11" t="inlineStr">
        <is>
          <t>http://school.busanedu.net/gam-k/</t>
        </is>
      </c>
      <c r="G250" t="inlineStr">
        <is>
          <t>051-201-1107</t>
        </is>
      </c>
      <c r="N250" s="14">
        <f>IF(COUNT(I250:M250)=0,"",SUM(I250:M250))</f>
        <v/>
      </c>
      <c r="O250" t="inlineStr">
        <is>
          <t>연령별 현원 미공시(휴원·신설 등)</t>
        </is>
      </c>
    </row>
    <row r="251">
      <c r="A251" t="inlineStr">
        <is>
          <t>길메리유치원</t>
        </is>
      </c>
      <c r="B251" t="inlineStr">
        <is>
          <t>유치원</t>
        </is>
      </c>
      <c r="C251" t="inlineStr">
        <is>
          <t>사립(사인)</t>
        </is>
      </c>
      <c r="D251" t="inlineStr">
        <is>
          <t>사하구</t>
        </is>
      </c>
      <c r="E251" t="inlineStr">
        <is>
          <t>부산광역시 사하구 하신번영로328번길 26</t>
        </is>
      </c>
      <c r="F251" t="inlineStr"/>
      <c r="G251" t="inlineStr">
        <is>
          <t>051-291-0203</t>
        </is>
      </c>
      <c r="H251" s="15" t="n">
        <v>120</v>
      </c>
      <c r="I251" s="15" t="n">
        <v>14</v>
      </c>
      <c r="J251" s="15" t="n">
        <v>11</v>
      </c>
      <c r="K251" s="15" t="n">
        <v>10</v>
      </c>
      <c r="L251" s="15" t="n">
        <v>0</v>
      </c>
      <c r="M251" s="15" t="n">
        <v>0</v>
      </c>
      <c r="N251" s="14">
        <f>IF(COUNT(I251:M251)=0,"",SUM(I251:M251))</f>
        <v/>
      </c>
      <c r="O251" t="inlineStr"/>
    </row>
    <row r="252">
      <c r="A252" t="inlineStr">
        <is>
          <t>꿈누리유치원</t>
        </is>
      </c>
      <c r="B252" t="inlineStr">
        <is>
          <t>유치원</t>
        </is>
      </c>
      <c r="C252" t="inlineStr">
        <is>
          <t>사립(사인)</t>
        </is>
      </c>
      <c r="D252" t="inlineStr">
        <is>
          <t>사하구</t>
        </is>
      </c>
      <c r="E252" t="inlineStr">
        <is>
          <t>부산광역시 사하구 두송로26번길 62</t>
        </is>
      </c>
      <c r="F252" s="11" t="inlineStr">
        <is>
          <t>http://blog.naver.com/talent6?Redirect=Log&amp;amp;amp;logNo=40202612577</t>
        </is>
      </c>
      <c r="G252" t="inlineStr">
        <is>
          <t>051-266-1828</t>
        </is>
      </c>
      <c r="H252" s="15" t="n">
        <v>126</v>
      </c>
      <c r="I252" s="15" t="n">
        <v>0</v>
      </c>
      <c r="J252" s="15" t="n">
        <v>24</v>
      </c>
      <c r="K252" s="15" t="n">
        <v>26</v>
      </c>
      <c r="L252" s="15" t="n">
        <v>64</v>
      </c>
      <c r="M252" s="15" t="n">
        <v>0</v>
      </c>
      <c r="N252" s="14">
        <f>IF(COUNT(I252:M252)=0,"",SUM(I252:M252))</f>
        <v/>
      </c>
      <c r="O252" t="inlineStr"/>
    </row>
    <row r="253">
      <c r="A253" t="inlineStr">
        <is>
          <t>꿈동산유치원</t>
        </is>
      </c>
      <c r="B253" t="inlineStr">
        <is>
          <t>유치원</t>
        </is>
      </c>
      <c r="C253" t="inlineStr">
        <is>
          <t>사립(사인)</t>
        </is>
      </c>
      <c r="D253" t="inlineStr">
        <is>
          <t>사하구</t>
        </is>
      </c>
      <c r="E253" t="inlineStr">
        <is>
          <t>부산광역시 사하구 승학로239번길 1</t>
        </is>
      </c>
      <c r="F253" t="inlineStr"/>
      <c r="G253" t="inlineStr">
        <is>
          <t>051-206-0911</t>
        </is>
      </c>
      <c r="N253" s="14">
        <f>IF(COUNT(I253:M253)=0,"",SUM(I253:M253))</f>
        <v/>
      </c>
      <c r="O253" t="inlineStr">
        <is>
          <t>연령별 현원 미공시(휴원·신설 등)</t>
        </is>
      </c>
    </row>
    <row r="254">
      <c r="A254" t="inlineStr">
        <is>
          <t>다선초등학교병설유치원</t>
        </is>
      </c>
      <c r="B254" t="inlineStr">
        <is>
          <t>유치원</t>
        </is>
      </c>
      <c r="C254" t="inlineStr">
        <is>
          <t>공립(병설)</t>
        </is>
      </c>
      <c r="D254" t="inlineStr">
        <is>
          <t>사하구</t>
        </is>
      </c>
      <c r="E254" t="inlineStr">
        <is>
          <t>부산광역시 사하구 다송로 57</t>
        </is>
      </c>
      <c r="F254" s="11" t="inlineStr">
        <is>
          <t>https://school.busanedu.net/dasun-k/main.do</t>
        </is>
      </c>
      <c r="G254" t="inlineStr">
        <is>
          <t>051-260-1580</t>
        </is>
      </c>
      <c r="H254" s="15" t="n">
        <v>37</v>
      </c>
      <c r="I254" s="15" t="n">
        <v>0</v>
      </c>
      <c r="J254" s="15" t="n">
        <v>0</v>
      </c>
      <c r="K254" s="15" t="n">
        <v>7</v>
      </c>
      <c r="L254" s="15" t="n">
        <v>10</v>
      </c>
      <c r="M254" s="15" t="n">
        <v>0</v>
      </c>
      <c r="N254" s="14">
        <f>IF(COUNT(I254:M254)=0,"",SUM(I254:M254))</f>
        <v/>
      </c>
      <c r="O254" t="inlineStr"/>
    </row>
    <row r="255">
      <c r="A255" t="inlineStr">
        <is>
          <t>다송초등학교병설유치원</t>
        </is>
      </c>
      <c r="B255" t="inlineStr">
        <is>
          <t>유치원</t>
        </is>
      </c>
      <c r="C255" t="inlineStr">
        <is>
          <t>공립(병설)</t>
        </is>
      </c>
      <c r="D255" t="inlineStr">
        <is>
          <t>사하구</t>
        </is>
      </c>
      <c r="E255" t="inlineStr">
        <is>
          <t>부산광역시 사하구 다대로381번길 17</t>
        </is>
      </c>
      <c r="F255" s="11" t="inlineStr">
        <is>
          <t>http://school.busanedu.net/dasong-k</t>
        </is>
      </c>
      <c r="G255" t="inlineStr">
        <is>
          <t>051-260-5893</t>
        </is>
      </c>
      <c r="H255" s="15" t="n">
        <v>17</v>
      </c>
      <c r="I255" s="15" t="n">
        <v>0</v>
      </c>
      <c r="J255" s="15" t="n">
        <v>0</v>
      </c>
      <c r="K255" s="15" t="n">
        <v>0</v>
      </c>
      <c r="L255" s="15" t="n">
        <v>3</v>
      </c>
      <c r="M255" s="15" t="n">
        <v>2</v>
      </c>
      <c r="N255" s="14">
        <f>IF(COUNT(I255:M255)=0,"",SUM(I255:M255))</f>
        <v/>
      </c>
      <c r="O255" t="inlineStr"/>
    </row>
    <row r="256">
      <c r="A256" t="inlineStr">
        <is>
          <t>다인유치원</t>
        </is>
      </c>
      <c r="B256" t="inlineStr">
        <is>
          <t>유치원</t>
        </is>
      </c>
      <c r="C256" t="inlineStr">
        <is>
          <t>사립(법인)</t>
        </is>
      </c>
      <c r="D256" t="inlineStr">
        <is>
          <t>사하구</t>
        </is>
      </c>
      <c r="E256" t="inlineStr">
        <is>
          <t>부산광역시 사하구 하신중앙로 265</t>
        </is>
      </c>
      <c r="F256" s="11" t="inlineStr">
        <is>
          <t>http://school.busanedu.net/hlgarak-k</t>
        </is>
      </c>
      <c r="G256" t="inlineStr">
        <is>
          <t>051-208-4755</t>
        </is>
      </c>
      <c r="H256" s="15" t="n">
        <v>130</v>
      </c>
      <c r="I256" s="15" t="n">
        <v>0</v>
      </c>
      <c r="J256" s="15" t="n">
        <v>20</v>
      </c>
      <c r="K256" s="15" t="n">
        <v>25</v>
      </c>
      <c r="L256" s="15" t="n">
        <v>63</v>
      </c>
      <c r="M256" s="15" t="n">
        <v>0</v>
      </c>
      <c r="N256" s="14">
        <f>IF(COUNT(I256:M256)=0,"",SUM(I256:M256))</f>
        <v/>
      </c>
      <c r="O256" t="inlineStr"/>
    </row>
    <row r="257">
      <c r="A257" t="inlineStr">
        <is>
          <t>당리초등학교병설유치원</t>
        </is>
      </c>
      <c r="B257" t="inlineStr">
        <is>
          <t>유치원</t>
        </is>
      </c>
      <c r="C257" t="inlineStr">
        <is>
          <t>공립(병설)</t>
        </is>
      </c>
      <c r="D257" t="inlineStr">
        <is>
          <t>사하구</t>
        </is>
      </c>
      <c r="E257" t="inlineStr">
        <is>
          <t>부산광역시 사하구 다대로22번길 12</t>
        </is>
      </c>
      <c r="F257" s="11" t="inlineStr">
        <is>
          <t>http://school.busanedu.net/dangni-k/main.do</t>
        </is>
      </c>
      <c r="G257" t="inlineStr">
        <is>
          <t>051-200-3791</t>
        </is>
      </c>
      <c r="H257" s="15" t="n">
        <v>31</v>
      </c>
      <c r="I257" s="15" t="n">
        <v>3</v>
      </c>
      <c r="J257" s="15" t="n">
        <v>0</v>
      </c>
      <c r="K257" s="15" t="n">
        <v>0</v>
      </c>
      <c r="L257" s="15" t="n">
        <v>12</v>
      </c>
      <c r="M257" s="15" t="n">
        <v>0</v>
      </c>
      <c r="N257" s="14">
        <f>IF(COUNT(I257:M257)=0,"",SUM(I257:M257))</f>
        <v/>
      </c>
      <c r="O257" t="inlineStr"/>
    </row>
    <row r="258">
      <c r="A258" t="inlineStr">
        <is>
          <t>더푸르네유치원</t>
        </is>
      </c>
      <c r="B258" t="inlineStr">
        <is>
          <t>유치원</t>
        </is>
      </c>
      <c r="C258" t="inlineStr">
        <is>
          <t>공립(단설)</t>
        </is>
      </c>
      <c r="D258" t="inlineStr">
        <is>
          <t>사하구</t>
        </is>
      </c>
      <c r="E258" t="inlineStr">
        <is>
          <t>부산광역시 사하구 윤공단로 124</t>
        </is>
      </c>
      <c r="F258" s="11" t="inlineStr">
        <is>
          <t>https://school.busanedu.net/thegreen-k/main.do</t>
        </is>
      </c>
      <c r="G258" t="inlineStr">
        <is>
          <t>051-791-1113</t>
        </is>
      </c>
      <c r="H258" s="15" t="n">
        <v>92</v>
      </c>
      <c r="I258" s="15" t="n">
        <v>13</v>
      </c>
      <c r="J258" s="15" t="n">
        <v>30</v>
      </c>
      <c r="K258" s="15" t="n">
        <v>32</v>
      </c>
      <c r="L258" s="15" t="n">
        <v>0</v>
      </c>
      <c r="M258" s="15" t="n">
        <v>4</v>
      </c>
      <c r="N258" s="14">
        <f>IF(COUNT(I258:M258)=0,"",SUM(I258:M258))</f>
        <v/>
      </c>
      <c r="O258" t="inlineStr"/>
    </row>
    <row r="259">
      <c r="A259" t="inlineStr">
        <is>
          <t>동주대학교부속유치원</t>
        </is>
      </c>
      <c r="B259" t="inlineStr">
        <is>
          <t>유치원</t>
        </is>
      </c>
      <c r="C259" t="inlineStr">
        <is>
          <t>사립(법인)</t>
        </is>
      </c>
      <c r="D259" t="inlineStr">
        <is>
          <t>사하구</t>
        </is>
      </c>
      <c r="E259" t="inlineStr">
        <is>
          <t>부산광역시 사하구 사리로55번길 13</t>
        </is>
      </c>
      <c r="F259" t="inlineStr"/>
      <c r="G259" t="inlineStr">
        <is>
          <t>051-201-4116</t>
        </is>
      </c>
      <c r="H259" s="15" t="n">
        <v>160</v>
      </c>
      <c r="I259" s="15" t="n">
        <v>0</v>
      </c>
      <c r="J259" s="15" t="n">
        <v>0</v>
      </c>
      <c r="K259" s="15" t="n">
        <v>0</v>
      </c>
      <c r="L259" s="15" t="n">
        <v>75</v>
      </c>
      <c r="M259" s="15" t="n">
        <v>0</v>
      </c>
      <c r="N259" s="14">
        <f>IF(COUNT(I259:M259)=0,"",SUM(I259:M259))</f>
        <v/>
      </c>
      <c r="O259" t="inlineStr"/>
    </row>
    <row r="260">
      <c r="A260" t="inlineStr">
        <is>
          <t>롯데캐슬유치원</t>
        </is>
      </c>
      <c r="B260" t="inlineStr">
        <is>
          <t>유치원</t>
        </is>
      </c>
      <c r="C260" t="inlineStr">
        <is>
          <t>사립(사인)</t>
        </is>
      </c>
      <c r="D260" t="inlineStr">
        <is>
          <t>사하구</t>
        </is>
      </c>
      <c r="E260" t="inlineStr">
        <is>
          <t>부산광역시 사하구 다대낙조2길 100</t>
        </is>
      </c>
      <c r="F260" s="11" t="inlineStr">
        <is>
          <t>https://school.busanedu.net/lotteCastle-k/main.do</t>
        </is>
      </c>
      <c r="G260" t="inlineStr">
        <is>
          <t>051-265-0671</t>
        </is>
      </c>
      <c r="H260" s="15" t="n">
        <v>196</v>
      </c>
      <c r="I260" s="15" t="n">
        <v>32</v>
      </c>
      <c r="J260" s="15" t="n">
        <v>45</v>
      </c>
      <c r="K260" s="15" t="n">
        <v>40</v>
      </c>
      <c r="L260" s="15" t="n">
        <v>18</v>
      </c>
      <c r="M260" s="15" t="n">
        <v>0</v>
      </c>
      <c r="N260" s="14">
        <f>IF(COUNT(I260:M260)=0,"",SUM(I260:M260))</f>
        <v/>
      </c>
      <c r="O260" t="inlineStr"/>
    </row>
    <row r="261">
      <c r="A261" t="inlineStr">
        <is>
          <t>메이플유치원</t>
        </is>
      </c>
      <c r="B261" t="inlineStr">
        <is>
          <t>유치원</t>
        </is>
      </c>
      <c r="C261" t="inlineStr">
        <is>
          <t>사립(사인)</t>
        </is>
      </c>
      <c r="D261" t="inlineStr">
        <is>
          <t>사하구</t>
        </is>
      </c>
      <c r="E261" t="inlineStr">
        <is>
          <t>부산광역시 사하구 다대로 620</t>
        </is>
      </c>
      <c r="F261" s="11" t="inlineStr">
        <is>
          <t>http://maple.kkmom.com/</t>
        </is>
      </c>
      <c r="G261" t="inlineStr">
        <is>
          <t>051-261-5655</t>
        </is>
      </c>
      <c r="H261" s="15" t="n">
        <v>100</v>
      </c>
      <c r="I261" s="15" t="n">
        <v>0</v>
      </c>
      <c r="J261" s="15" t="n">
        <v>18</v>
      </c>
      <c r="K261" s="15" t="n">
        <v>23</v>
      </c>
      <c r="L261" s="15" t="n">
        <v>41</v>
      </c>
      <c r="M261" s="15" t="n">
        <v>0</v>
      </c>
      <c r="N261" s="14">
        <f>IF(COUNT(I261:M261)=0,"",SUM(I261:M261))</f>
        <v/>
      </c>
      <c r="O261" t="inlineStr"/>
    </row>
    <row r="262">
      <c r="A262" t="inlineStr">
        <is>
          <t>몰운대초등학교병설유치원</t>
        </is>
      </c>
      <c r="B262" t="inlineStr">
        <is>
          <t>유치원</t>
        </is>
      </c>
      <c r="C262" t="inlineStr">
        <is>
          <t>공립(병설)</t>
        </is>
      </c>
      <c r="D262" t="inlineStr">
        <is>
          <t>사하구</t>
        </is>
      </c>
      <c r="E262" t="inlineStr">
        <is>
          <t>부산광역시 사하구 다대낙조2길 110</t>
        </is>
      </c>
      <c r="F262" s="11" t="inlineStr">
        <is>
          <t>http://school.busanedu.net/morundae-k/main.do</t>
        </is>
      </c>
      <c r="G262" t="inlineStr">
        <is>
          <t>051-290-3370</t>
        </is>
      </c>
      <c r="H262" s="15" t="n">
        <v>17</v>
      </c>
      <c r="I262" s="15" t="n">
        <v>0</v>
      </c>
      <c r="J262" s="15" t="n">
        <v>0</v>
      </c>
      <c r="K262" s="15" t="n">
        <v>0</v>
      </c>
      <c r="L262" s="15" t="n">
        <v>9</v>
      </c>
      <c r="M262" s="15" t="n">
        <v>1</v>
      </c>
      <c r="N262" s="14">
        <f>IF(COUNT(I262:M262)=0,"",SUM(I262:M262))</f>
        <v/>
      </c>
      <c r="O262" t="inlineStr"/>
    </row>
    <row r="263">
      <c r="A263" t="inlineStr">
        <is>
          <t>미엘유치원</t>
        </is>
      </c>
      <c r="B263" t="inlineStr">
        <is>
          <t>유치원</t>
        </is>
      </c>
      <c r="C263" t="inlineStr">
        <is>
          <t>사립(사인)</t>
        </is>
      </c>
      <c r="D263" t="inlineStr">
        <is>
          <t>사하구</t>
        </is>
      </c>
      <c r="E263" t="inlineStr">
        <is>
          <t>부산광역시 사하구 하신번영로 365</t>
        </is>
      </c>
      <c r="F263" t="inlineStr"/>
      <c r="G263" t="inlineStr">
        <is>
          <t>051-208-7834</t>
        </is>
      </c>
      <c r="H263" s="15" t="n">
        <v>167</v>
      </c>
      <c r="I263" s="15" t="n">
        <v>0</v>
      </c>
      <c r="J263" s="15" t="n">
        <v>29</v>
      </c>
      <c r="K263" s="15" t="n">
        <v>39</v>
      </c>
      <c r="L263" s="15" t="n">
        <v>36</v>
      </c>
      <c r="M263" s="15" t="n">
        <v>0</v>
      </c>
      <c r="N263" s="14">
        <f>IF(COUNT(I263:M263)=0,"",SUM(I263:M263))</f>
        <v/>
      </c>
      <c r="O263" t="inlineStr"/>
    </row>
    <row r="264">
      <c r="A264" t="inlineStr">
        <is>
          <t>바다유치원</t>
        </is>
      </c>
      <c r="B264" t="inlineStr">
        <is>
          <t>유치원</t>
        </is>
      </c>
      <c r="C264" t="inlineStr">
        <is>
          <t>사립(사인)</t>
        </is>
      </c>
      <c r="D264" t="inlineStr">
        <is>
          <t>사하구</t>
        </is>
      </c>
      <c r="E264" t="inlineStr">
        <is>
          <t>부산광역시 사하구 다송로68번길 30</t>
        </is>
      </c>
      <c r="F264" t="inlineStr"/>
      <c r="G264" t="inlineStr">
        <is>
          <t>051-261-0385</t>
        </is>
      </c>
      <c r="H264" s="15" t="n">
        <v>144</v>
      </c>
      <c r="I264" s="15" t="n">
        <v>11</v>
      </c>
      <c r="J264" s="15" t="n">
        <v>22</v>
      </c>
      <c r="K264" s="15" t="n">
        <v>22</v>
      </c>
      <c r="L264" s="15" t="n">
        <v>0</v>
      </c>
      <c r="M264" s="15" t="n">
        <v>0</v>
      </c>
      <c r="N264" s="14">
        <f>IF(COUNT(I264:M264)=0,"",SUM(I264:M264))</f>
        <v/>
      </c>
      <c r="O264" t="inlineStr"/>
    </row>
    <row r="265">
      <c r="A265" t="inlineStr">
        <is>
          <t>봄봄유치원</t>
        </is>
      </c>
      <c r="B265" t="inlineStr">
        <is>
          <t>유치원</t>
        </is>
      </c>
      <c r="C265" t="inlineStr">
        <is>
          <t>사립(사인)</t>
        </is>
      </c>
      <c r="D265" t="inlineStr">
        <is>
          <t>사하구</t>
        </is>
      </c>
      <c r="E265" t="inlineStr">
        <is>
          <t>부산광역시 사하구 다대로 438</t>
        </is>
      </c>
      <c r="F265" t="inlineStr"/>
      <c r="G265" t="inlineStr">
        <is>
          <t>051-262-9624</t>
        </is>
      </c>
      <c r="N265" s="14">
        <f>IF(COUNT(I265:M265)=0,"",SUM(I265:M265))</f>
        <v/>
      </c>
      <c r="O265" t="inlineStr">
        <is>
          <t>연령별 현원 미공시(휴원·신설 등)</t>
        </is>
      </c>
    </row>
    <row r="266">
      <c r="A266" t="inlineStr">
        <is>
          <t>봉우리유치원</t>
        </is>
      </c>
      <c r="B266" t="inlineStr">
        <is>
          <t>유치원</t>
        </is>
      </c>
      <c r="C266" t="inlineStr">
        <is>
          <t>사립(사인)</t>
        </is>
      </c>
      <c r="D266" t="inlineStr">
        <is>
          <t>사하구</t>
        </is>
      </c>
      <c r="E266" t="inlineStr">
        <is>
          <t>부산광역시 사하구 신산북로43번길 55</t>
        </is>
      </c>
      <c r="F266" t="inlineStr"/>
      <c r="G266" t="inlineStr">
        <is>
          <t>051-205-5544</t>
        </is>
      </c>
      <c r="H266" s="15" t="n">
        <v>91</v>
      </c>
      <c r="I266" s="15" t="n">
        <v>10</v>
      </c>
      <c r="J266" s="15" t="n">
        <v>14</v>
      </c>
      <c r="K266" s="15" t="n">
        <v>12</v>
      </c>
      <c r="L266" s="15" t="n">
        <v>0</v>
      </c>
      <c r="M266" s="15" t="n">
        <v>0</v>
      </c>
      <c r="N266" s="14">
        <f>IF(COUNT(I266:M266)=0,"",SUM(I266:M266))</f>
        <v/>
      </c>
      <c r="O266" t="inlineStr"/>
    </row>
    <row r="267">
      <c r="A267" t="inlineStr">
        <is>
          <t>블루롯데유치원</t>
        </is>
      </c>
      <c r="B267" t="inlineStr">
        <is>
          <t>유치원</t>
        </is>
      </c>
      <c r="C267" t="inlineStr">
        <is>
          <t>사립(사인)</t>
        </is>
      </c>
      <c r="D267" t="inlineStr">
        <is>
          <t>사하구</t>
        </is>
      </c>
      <c r="E267" t="inlineStr">
        <is>
          <t>부산광역시 사하구 다송로 13-3</t>
        </is>
      </c>
      <c r="F267" t="inlineStr"/>
      <c r="G267" t="inlineStr">
        <is>
          <t>051-263-0670</t>
        </is>
      </c>
      <c r="H267" s="15" t="n">
        <v>112</v>
      </c>
      <c r="I267" s="15" t="n">
        <v>0</v>
      </c>
      <c r="J267" s="15" t="n">
        <v>17</v>
      </c>
      <c r="K267" s="15" t="n">
        <v>6</v>
      </c>
      <c r="L267" s="15" t="n">
        <v>19</v>
      </c>
      <c r="M267" s="15" t="n">
        <v>0</v>
      </c>
      <c r="N267" s="14">
        <f>IF(COUNT(I267:M267)=0,"",SUM(I267:M267))</f>
        <v/>
      </c>
      <c r="O267" t="inlineStr"/>
    </row>
    <row r="268">
      <c r="A268" t="inlineStr">
        <is>
          <t>사동초등학교병설유치원</t>
        </is>
      </c>
      <c r="B268" t="inlineStr">
        <is>
          <t>유치원</t>
        </is>
      </c>
      <c r="C268" t="inlineStr">
        <is>
          <t>공립(병설)</t>
        </is>
      </c>
      <c r="D268" t="inlineStr">
        <is>
          <t>사하구</t>
        </is>
      </c>
      <c r="E268" t="inlineStr">
        <is>
          <t>부산광역시 사하구 승학로 129-2</t>
        </is>
      </c>
      <c r="F268" s="11" t="inlineStr">
        <is>
          <t>http://school.busanedu.net/psadong-k/main.do</t>
        </is>
      </c>
      <c r="G268" t="inlineStr">
        <is>
          <t>051-200-3570</t>
        </is>
      </c>
      <c r="H268" s="15" t="n">
        <v>53</v>
      </c>
      <c r="I268" s="15" t="n">
        <v>4</v>
      </c>
      <c r="J268" s="15" t="n">
        <v>9</v>
      </c>
      <c r="K268" s="15" t="n">
        <v>9</v>
      </c>
      <c r="L268" s="15" t="n">
        <v>0</v>
      </c>
      <c r="M268" s="15" t="n">
        <v>2</v>
      </c>
      <c r="N268" s="14">
        <f>IF(COUNT(I268:M268)=0,"",SUM(I268:M268))</f>
        <v/>
      </c>
      <c r="O268" t="inlineStr"/>
    </row>
    <row r="269">
      <c r="A269" t="inlineStr">
        <is>
          <t>신익유치원</t>
        </is>
      </c>
      <c r="B269" t="inlineStr">
        <is>
          <t>유치원</t>
        </is>
      </c>
      <c r="C269" t="inlineStr">
        <is>
          <t>사립(사인)</t>
        </is>
      </c>
      <c r="D269" t="inlineStr">
        <is>
          <t>사하구</t>
        </is>
      </c>
      <c r="E269" t="inlineStr">
        <is>
          <t>부산광역시 사하구 비봉로 36</t>
        </is>
      </c>
      <c r="F269" s="11" t="inlineStr">
        <is>
          <t>http://school.busanedu.net/sinik-k/main.do</t>
        </is>
      </c>
      <c r="G269" t="inlineStr">
        <is>
          <t>051-206-9500</t>
        </is>
      </c>
      <c r="H269" s="15" t="n">
        <v>152</v>
      </c>
      <c r="I269" s="15" t="n">
        <v>25</v>
      </c>
      <c r="J269" s="15" t="n">
        <v>30</v>
      </c>
      <c r="K269" s="15" t="n">
        <v>40</v>
      </c>
      <c r="L269" s="15" t="n">
        <v>0</v>
      </c>
      <c r="M269" s="15" t="n">
        <v>0</v>
      </c>
      <c r="N269" s="14">
        <f>IF(COUNT(I269:M269)=0,"",SUM(I269:M269))</f>
        <v/>
      </c>
      <c r="O269" t="inlineStr"/>
    </row>
    <row r="270">
      <c r="A270" t="inlineStr">
        <is>
          <t>옥천초등학교병설유치원</t>
        </is>
      </c>
      <c r="B270" t="inlineStr">
        <is>
          <t>유치원</t>
        </is>
      </c>
      <c r="C270" t="inlineStr">
        <is>
          <t>공립(병설)</t>
        </is>
      </c>
      <c r="D270" t="inlineStr">
        <is>
          <t>사하구</t>
        </is>
      </c>
      <c r="E270" t="inlineStr">
        <is>
          <t>부산광역시 사하구 사하로 134</t>
        </is>
      </c>
      <c r="F270" s="11" t="inlineStr">
        <is>
          <t>http://school.busanedu.net/okchun-k/main.do</t>
        </is>
      </c>
      <c r="G270" t="inlineStr">
        <is>
          <t>051-200-0690</t>
        </is>
      </c>
      <c r="N270" s="14">
        <f>IF(COUNT(I270:M270)=0,"",SUM(I270:M270))</f>
        <v/>
      </c>
      <c r="O270" t="inlineStr">
        <is>
          <t>연령별 현원 미공시(휴원·신설 등)</t>
        </is>
      </c>
    </row>
    <row r="271">
      <c r="A271" t="inlineStr">
        <is>
          <t>우리아이유치원</t>
        </is>
      </c>
      <c r="B271" t="inlineStr">
        <is>
          <t>유치원</t>
        </is>
      </c>
      <c r="C271" t="inlineStr">
        <is>
          <t>사립(사인)</t>
        </is>
      </c>
      <c r="D271" t="inlineStr">
        <is>
          <t>사하구</t>
        </is>
      </c>
      <c r="E271" t="inlineStr">
        <is>
          <t>부산광역시 사하구 다대로277번길 132</t>
        </is>
      </c>
      <c r="F271" t="inlineStr"/>
      <c r="G271" t="inlineStr">
        <is>
          <t>051-264-3008</t>
        </is>
      </c>
      <c r="H271" s="15" t="n">
        <v>144</v>
      </c>
      <c r="I271" s="15" t="n">
        <v>0</v>
      </c>
      <c r="J271" s="15" t="n">
        <v>24</v>
      </c>
      <c r="K271" s="15" t="n">
        <v>0</v>
      </c>
      <c r="L271" s="15" t="n">
        <v>118</v>
      </c>
      <c r="M271" s="15" t="n">
        <v>0</v>
      </c>
      <c r="N271" s="14">
        <f>IF(COUNT(I271:M271)=0,"",SUM(I271:M271))</f>
        <v/>
      </c>
      <c r="O271" t="inlineStr"/>
    </row>
    <row r="272">
      <c r="A272" t="inlineStr">
        <is>
          <t>장림초등학교병설유치원</t>
        </is>
      </c>
      <c r="B272" t="inlineStr">
        <is>
          <t>유치원</t>
        </is>
      </c>
      <c r="C272" t="inlineStr">
        <is>
          <t>공립(병설)</t>
        </is>
      </c>
      <c r="D272" t="inlineStr">
        <is>
          <t>사하구</t>
        </is>
      </c>
      <c r="E272" t="inlineStr">
        <is>
          <t>부산광역시 사하구 장림번영로103번길 10</t>
        </is>
      </c>
      <c r="F272" s="11" t="inlineStr">
        <is>
          <t>http://school.busanedu.net/jangrim-k</t>
        </is>
      </c>
      <c r="G272" t="inlineStr">
        <is>
          <t>051-261-8475</t>
        </is>
      </c>
      <c r="H272" s="15" t="n">
        <v>53</v>
      </c>
      <c r="I272" s="15" t="n">
        <v>2</v>
      </c>
      <c r="J272" s="15" t="n">
        <v>10</v>
      </c>
      <c r="K272" s="15" t="n">
        <v>12</v>
      </c>
      <c r="L272" s="15" t="n">
        <v>0</v>
      </c>
      <c r="M272" s="15" t="n">
        <v>2</v>
      </c>
      <c r="N272" s="14">
        <f>IF(COUNT(I272:M272)=0,"",SUM(I272:M272))</f>
        <v/>
      </c>
      <c r="O272" t="inlineStr"/>
    </row>
    <row r="273">
      <c r="A273" t="inlineStr">
        <is>
          <t>중현초등학교병설유치원</t>
        </is>
      </c>
      <c r="B273" t="inlineStr">
        <is>
          <t>유치원</t>
        </is>
      </c>
      <c r="C273" t="inlineStr">
        <is>
          <t>공립(병설)</t>
        </is>
      </c>
      <c r="D273" t="inlineStr">
        <is>
          <t>사하구</t>
        </is>
      </c>
      <c r="E273" t="inlineStr">
        <is>
          <t>부산광역시 사하구 다대낙조2길 8</t>
        </is>
      </c>
      <c r="F273" s="11" t="inlineStr">
        <is>
          <t>https://school.busanedu.net/junghyun-k</t>
        </is>
      </c>
      <c r="G273" t="inlineStr">
        <is>
          <t>051-260-0535</t>
        </is>
      </c>
      <c r="N273" s="14">
        <f>IF(COUNT(I273:M273)=0,"",SUM(I273:M273))</f>
        <v/>
      </c>
      <c r="O273" t="inlineStr">
        <is>
          <t>연령별 현원 미공시(휴원·신설 등)</t>
        </is>
      </c>
    </row>
    <row r="274">
      <c r="A274" t="inlineStr">
        <is>
          <t>즐거운루다유치원</t>
        </is>
      </c>
      <c r="B274" t="inlineStr">
        <is>
          <t>유치원</t>
        </is>
      </c>
      <c r="C274" t="inlineStr">
        <is>
          <t>사립(사인)</t>
        </is>
      </c>
      <c r="D274" t="inlineStr">
        <is>
          <t>사하구</t>
        </is>
      </c>
      <c r="E274" t="inlineStr">
        <is>
          <t>부산광역시 사하구 대티로 49</t>
        </is>
      </c>
      <c r="F274" s="11" t="inlineStr">
        <is>
          <t>https://school.busanedu.net/kinderluda-k</t>
        </is>
      </c>
      <c r="G274" t="inlineStr">
        <is>
          <t>051-204-3009</t>
        </is>
      </c>
      <c r="H274" s="15" t="n">
        <v>144</v>
      </c>
      <c r="I274" s="15" t="n">
        <v>0</v>
      </c>
      <c r="J274" s="15" t="n">
        <v>48</v>
      </c>
      <c r="K274" s="15" t="n">
        <v>52</v>
      </c>
      <c r="L274" s="15" t="n">
        <v>36</v>
      </c>
      <c r="M274" s="15" t="n">
        <v>0</v>
      </c>
      <c r="N274" s="14">
        <f>IF(COUNT(I274:M274)=0,"",SUM(I274:M274))</f>
        <v/>
      </c>
      <c r="O274" t="inlineStr"/>
    </row>
    <row r="275">
      <c r="A275" t="inlineStr">
        <is>
          <t>지산유치원</t>
        </is>
      </c>
      <c r="B275" t="inlineStr">
        <is>
          <t>유치원</t>
        </is>
      </c>
      <c r="C275" t="inlineStr">
        <is>
          <t>공립(단설)</t>
        </is>
      </c>
      <c r="D275" t="inlineStr">
        <is>
          <t>사하구</t>
        </is>
      </c>
      <c r="E275" t="inlineStr">
        <is>
          <t>부산광역시 사하구 장평로 117-4</t>
        </is>
      </c>
      <c r="F275" s="11" t="inlineStr">
        <is>
          <t>https://school.busanedu.net/jisan-k</t>
        </is>
      </c>
      <c r="G275" t="inlineStr">
        <is>
          <t>051-710-2791</t>
        </is>
      </c>
      <c r="H275" s="15" t="n">
        <v>86</v>
      </c>
      <c r="I275" s="15" t="n">
        <v>20</v>
      </c>
      <c r="J275" s="15" t="n">
        <v>32</v>
      </c>
      <c r="K275" s="15" t="n">
        <v>18</v>
      </c>
      <c r="L275" s="15" t="n">
        <v>0</v>
      </c>
      <c r="M275" s="15" t="n">
        <v>4</v>
      </c>
      <c r="N275" s="14">
        <f>IF(COUNT(I275:M275)=0,"",SUM(I275:M275))</f>
        <v/>
      </c>
      <c r="O275" t="inlineStr"/>
    </row>
    <row r="276">
      <c r="A276" t="inlineStr">
        <is>
          <t>참사랑유치원</t>
        </is>
      </c>
      <c r="B276" t="inlineStr">
        <is>
          <t>유치원</t>
        </is>
      </c>
      <c r="C276" t="inlineStr">
        <is>
          <t>사립(사인)</t>
        </is>
      </c>
      <c r="D276" t="inlineStr">
        <is>
          <t>사하구</t>
        </is>
      </c>
      <c r="E276" t="inlineStr">
        <is>
          <t>부산광역시 사하구 다대로 52</t>
        </is>
      </c>
      <c r="F276" s="11" t="inlineStr">
        <is>
          <t>http://school.busanedu.net/ichamsarang-k/main.do</t>
        </is>
      </c>
      <c r="G276" t="inlineStr">
        <is>
          <t>051-291-1004</t>
        </is>
      </c>
      <c r="H276" s="15" t="n">
        <v>360</v>
      </c>
      <c r="I276" s="15" t="n">
        <v>66</v>
      </c>
      <c r="J276" s="15" t="n">
        <v>96</v>
      </c>
      <c r="K276" s="15" t="n">
        <v>104</v>
      </c>
      <c r="L276" s="15" t="n">
        <v>0</v>
      </c>
      <c r="M276" s="15" t="n">
        <v>0</v>
      </c>
      <c r="N276" s="14">
        <f>IF(COUNT(I276:M276)=0,"",SUM(I276:M276))</f>
        <v/>
      </c>
      <c r="O276" t="inlineStr"/>
    </row>
    <row r="277">
      <c r="A277" t="inlineStr">
        <is>
          <t>큰별삼환유치원</t>
        </is>
      </c>
      <c r="B277" t="inlineStr">
        <is>
          <t>유치원</t>
        </is>
      </c>
      <c r="C277" t="inlineStr">
        <is>
          <t>사립(사인)</t>
        </is>
      </c>
      <c r="D277" t="inlineStr">
        <is>
          <t>사하구</t>
        </is>
      </c>
      <c r="E277" t="inlineStr">
        <is>
          <t>부산광역시 사하구 다대로429번길 20</t>
        </is>
      </c>
      <c r="F277" t="inlineStr"/>
      <c r="G277" t="inlineStr">
        <is>
          <t>051-265-9991</t>
        </is>
      </c>
      <c r="H277" s="15" t="n">
        <v>252</v>
      </c>
      <c r="I277" s="15" t="n">
        <v>0</v>
      </c>
      <c r="J277" s="15" t="n">
        <v>70</v>
      </c>
      <c r="K277" s="15" t="n">
        <v>70</v>
      </c>
      <c r="L277" s="15" t="n">
        <v>66</v>
      </c>
      <c r="M277" s="15" t="n">
        <v>0</v>
      </c>
      <c r="N277" s="14">
        <f>IF(COUNT(I277:M277)=0,"",SUM(I277:M277))</f>
        <v/>
      </c>
      <c r="O277" t="inlineStr"/>
    </row>
    <row r="278">
      <c r="A278" t="inlineStr">
        <is>
          <t>큰별숲유치원</t>
        </is>
      </c>
      <c r="B278" t="inlineStr">
        <is>
          <t>유치원</t>
        </is>
      </c>
      <c r="C278" t="inlineStr">
        <is>
          <t>사립(사인)</t>
        </is>
      </c>
      <c r="D278" t="inlineStr">
        <is>
          <t>사하구</t>
        </is>
      </c>
      <c r="E278" t="inlineStr">
        <is>
          <t>부산광역시 사하구 다대로 473</t>
        </is>
      </c>
      <c r="F278" t="inlineStr"/>
      <c r="G278" t="inlineStr">
        <is>
          <t>051-261-3360</t>
        </is>
      </c>
      <c r="H278" s="15" t="n">
        <v>165</v>
      </c>
      <c r="I278" s="15" t="n">
        <v>32</v>
      </c>
      <c r="J278" s="15" t="n">
        <v>14</v>
      </c>
      <c r="K278" s="15" t="n">
        <v>42</v>
      </c>
      <c r="L278" s="15" t="n">
        <v>0</v>
      </c>
      <c r="M278" s="15" t="n">
        <v>0</v>
      </c>
      <c r="N278" s="14">
        <f>IF(COUNT(I278:M278)=0,"",SUM(I278:M278))</f>
        <v/>
      </c>
      <c r="O278" t="inlineStr"/>
    </row>
    <row r="279">
      <c r="A279" t="inlineStr">
        <is>
          <t>하남초등학교병설유치원</t>
        </is>
      </c>
      <c r="B279" t="inlineStr">
        <is>
          <t>유치원</t>
        </is>
      </c>
      <c r="C279" t="inlineStr">
        <is>
          <t>공립(병설)</t>
        </is>
      </c>
      <c r="D279" t="inlineStr">
        <is>
          <t>사하구</t>
        </is>
      </c>
      <c r="E279" t="inlineStr">
        <is>
          <t>부산광역시 사하구 하신번영로 186</t>
        </is>
      </c>
      <c r="F279" s="11" t="inlineStr">
        <is>
          <t>http://school.busanedu.net/hanam-k/main.do</t>
        </is>
      </c>
      <c r="G279" t="inlineStr">
        <is>
          <t>051-200-3607</t>
        </is>
      </c>
      <c r="H279" s="15" t="n">
        <v>37</v>
      </c>
      <c r="I279" s="15" t="n">
        <v>0</v>
      </c>
      <c r="J279" s="15" t="n">
        <v>0</v>
      </c>
      <c r="K279" s="15" t="n">
        <v>9</v>
      </c>
      <c r="L279" s="15" t="n">
        <v>4</v>
      </c>
      <c r="M279" s="15" t="n">
        <v>2</v>
      </c>
      <c r="N279" s="14">
        <f>IF(COUNT(I279:M279)=0,"",SUM(I279:M279))</f>
        <v/>
      </c>
      <c r="O279" t="inlineStr"/>
    </row>
    <row r="280">
      <c r="A280" t="inlineStr">
        <is>
          <t>하늘꽃유치원</t>
        </is>
      </c>
      <c r="B280" t="inlineStr">
        <is>
          <t>유치원</t>
        </is>
      </c>
      <c r="C280" t="inlineStr">
        <is>
          <t>사립(법인)</t>
        </is>
      </c>
      <c r="D280" t="inlineStr">
        <is>
          <t>사하구</t>
        </is>
      </c>
      <c r="E280" t="inlineStr">
        <is>
          <t>부산광역시 사하구 다대낙조2길 70</t>
        </is>
      </c>
      <c r="F280" s="11" t="inlineStr">
        <is>
          <t>http://skyflower.kidis.co.kr</t>
        </is>
      </c>
      <c r="G280" t="inlineStr">
        <is>
          <t>051-265-4006</t>
        </is>
      </c>
      <c r="N280" s="14">
        <f>IF(COUNT(I280:M280)=0,"",SUM(I280:M280))</f>
        <v/>
      </c>
      <c r="O280" t="inlineStr">
        <is>
          <t>연령별 현원 미공시(휴원·신설 등)</t>
        </is>
      </c>
    </row>
    <row r="281">
      <c r="A281" t="inlineStr">
        <is>
          <t>하늘유치원</t>
        </is>
      </c>
      <c r="B281" t="inlineStr">
        <is>
          <t>유치원</t>
        </is>
      </c>
      <c r="C281" t="inlineStr">
        <is>
          <t>사립(사인)</t>
        </is>
      </c>
      <c r="D281" t="inlineStr">
        <is>
          <t>사하구</t>
        </is>
      </c>
      <c r="E281" t="inlineStr">
        <is>
          <t>부산광역시 사하구 하신중앙로 170</t>
        </is>
      </c>
      <c r="F281" t="inlineStr"/>
      <c r="G281" t="inlineStr">
        <is>
          <t>051-293-5055</t>
        </is>
      </c>
      <c r="H281" s="15" t="n">
        <v>147</v>
      </c>
      <c r="I281" s="15" t="n">
        <v>0</v>
      </c>
      <c r="J281" s="15" t="n">
        <v>48</v>
      </c>
      <c r="K281" s="15" t="n">
        <v>45</v>
      </c>
      <c r="L281" s="15" t="n">
        <v>22</v>
      </c>
      <c r="M281" s="15" t="n">
        <v>0</v>
      </c>
      <c r="N281" s="14">
        <f>IF(COUNT(I281:M281)=0,"",SUM(I281:M281))</f>
        <v/>
      </c>
      <c r="O281" t="inlineStr"/>
    </row>
    <row r="282">
      <c r="A282" t="inlineStr">
        <is>
          <t>하단초등학교병설유치원</t>
        </is>
      </c>
      <c r="B282" t="inlineStr">
        <is>
          <t>유치원</t>
        </is>
      </c>
      <c r="C282" t="inlineStr">
        <is>
          <t>공립(병설)</t>
        </is>
      </c>
      <c r="D282" t="inlineStr">
        <is>
          <t>사하구</t>
        </is>
      </c>
      <c r="E282" t="inlineStr">
        <is>
          <t>부산광역시 사하구 하신중앙로 321</t>
        </is>
      </c>
      <c r="F282" s="11" t="inlineStr">
        <is>
          <t>http://school.busanedu.net</t>
        </is>
      </c>
      <c r="G282" t="inlineStr">
        <is>
          <t>051-997-1004</t>
        </is>
      </c>
      <c r="H282" s="15" t="n">
        <v>31</v>
      </c>
      <c r="I282" s="15" t="n">
        <v>6</v>
      </c>
      <c r="J282" s="15" t="n">
        <v>0</v>
      </c>
      <c r="K282" s="15" t="n">
        <v>0</v>
      </c>
      <c r="L282" s="15" t="n">
        <v>10</v>
      </c>
      <c r="M282" s="15" t="n">
        <v>0</v>
      </c>
      <c r="N282" s="14">
        <f>IF(COUNT(I282:M282)=0,"",SUM(I282:M282))</f>
        <v/>
      </c>
      <c r="O282" t="inlineStr"/>
    </row>
    <row r="283">
      <c r="A283" t="inlineStr">
        <is>
          <t>햇빛유치원</t>
        </is>
      </c>
      <c r="B283" t="inlineStr">
        <is>
          <t>유치원</t>
        </is>
      </c>
      <c r="C283" t="inlineStr">
        <is>
          <t>사립(법인)</t>
        </is>
      </c>
      <c r="D283" t="inlineStr">
        <is>
          <t>사하구</t>
        </is>
      </c>
      <c r="E283" t="inlineStr">
        <is>
          <t>부산광역시 사하구 승학로229번길 11</t>
        </is>
      </c>
      <c r="F283" t="inlineStr"/>
      <c r="G283" t="inlineStr">
        <is>
          <t>051-714-6678</t>
        </is>
      </c>
      <c r="H283" s="15" t="n">
        <v>140</v>
      </c>
      <c r="I283" s="15" t="n">
        <v>11</v>
      </c>
      <c r="J283" s="15" t="n">
        <v>33</v>
      </c>
      <c r="K283" s="15" t="n">
        <v>31</v>
      </c>
      <c r="L283" s="15" t="n">
        <v>0</v>
      </c>
      <c r="M283" s="15" t="n">
        <v>0</v>
      </c>
      <c r="N283" s="14">
        <f>IF(COUNT(I283:M283)=0,"",SUM(I283:M283))</f>
        <v/>
      </c>
      <c r="O283" t="inlineStr"/>
    </row>
    <row r="284">
      <c r="A284" t="inlineStr">
        <is>
          <t>햇살내리는유치원</t>
        </is>
      </c>
      <c r="B284" t="inlineStr">
        <is>
          <t>유치원</t>
        </is>
      </c>
      <c r="C284" t="inlineStr">
        <is>
          <t>사립(사인)</t>
        </is>
      </c>
      <c r="D284" t="inlineStr">
        <is>
          <t>사하구</t>
        </is>
      </c>
      <c r="E284" t="inlineStr">
        <is>
          <t>부산광역시 사하구 승학로 179-1</t>
        </is>
      </c>
      <c r="F284" s="11" t="inlineStr">
        <is>
          <t>http://cafe.daum.net/sunshin</t>
        </is>
      </c>
      <c r="G284" t="inlineStr">
        <is>
          <t>051-292-3545</t>
        </is>
      </c>
      <c r="H284" s="15" t="n">
        <v>168</v>
      </c>
      <c r="I284" s="15" t="n">
        <v>0</v>
      </c>
      <c r="J284" s="15" t="n">
        <v>0</v>
      </c>
      <c r="K284" s="15" t="n">
        <v>0</v>
      </c>
      <c r="L284" s="15" t="n">
        <v>5</v>
      </c>
      <c r="M284" s="15" t="n">
        <v>0</v>
      </c>
      <c r="N284" s="14">
        <f>IF(COUNT(I284:M284)=0,"",SUM(I284:M284))</f>
        <v/>
      </c>
      <c r="O284" t="inlineStr"/>
    </row>
    <row r="285">
      <c r="A285" t="inlineStr">
        <is>
          <t>호돌유치원</t>
        </is>
      </c>
      <c r="B285" t="inlineStr">
        <is>
          <t>유치원</t>
        </is>
      </c>
      <c r="C285" t="inlineStr">
        <is>
          <t>사립(법인)</t>
        </is>
      </c>
      <c r="D285" t="inlineStr">
        <is>
          <t>사하구</t>
        </is>
      </c>
      <c r="E285" t="inlineStr">
        <is>
          <t>부산광역시 사하구 제석로95번길 99</t>
        </is>
      </c>
      <c r="F285" s="11" t="inlineStr">
        <is>
          <t>http://school.busanedu.net/hodol-k/main.do</t>
        </is>
      </c>
      <c r="G285" t="inlineStr">
        <is>
          <t>051-205-5005</t>
        </is>
      </c>
      <c r="H285" s="15" t="n">
        <v>210</v>
      </c>
      <c r="I285" s="15" t="n">
        <v>10</v>
      </c>
      <c r="J285" s="15" t="n">
        <v>7</v>
      </c>
      <c r="K285" s="15" t="n">
        <v>25</v>
      </c>
      <c r="L285" s="15" t="n">
        <v>0</v>
      </c>
      <c r="M285" s="15" t="n">
        <v>0</v>
      </c>
      <c r="N285" s="14">
        <f>IF(COUNT(I285:M285)=0,"",SUM(I285:M285))</f>
        <v/>
      </c>
      <c r="O285" t="inlineStr"/>
    </row>
    <row r="286">
      <c r="A286" t="inlineStr">
        <is>
          <t>호산나유치원</t>
        </is>
      </c>
      <c r="B286" t="inlineStr">
        <is>
          <t>유치원</t>
        </is>
      </c>
      <c r="C286" t="inlineStr">
        <is>
          <t>사립(법인)</t>
        </is>
      </c>
      <c r="D286" t="inlineStr">
        <is>
          <t>사하구</t>
        </is>
      </c>
      <c r="E286" t="inlineStr">
        <is>
          <t>부산광역시 사하구 다대동로6번길 12</t>
        </is>
      </c>
      <c r="F286" t="inlineStr"/>
      <c r="G286" t="inlineStr">
        <is>
          <t>051-261-1569</t>
        </is>
      </c>
      <c r="H286" s="15" t="n">
        <v>72</v>
      </c>
      <c r="I286" s="15" t="n">
        <v>0</v>
      </c>
      <c r="J286" s="15" t="n">
        <v>0</v>
      </c>
      <c r="K286" s="15" t="n">
        <v>0</v>
      </c>
      <c r="L286" s="15" t="n">
        <v>7</v>
      </c>
      <c r="M286" s="15" t="n">
        <v>0</v>
      </c>
      <c r="N286" s="14">
        <f>IF(COUNT(I286:M286)=0,"",SUM(I286:M286))</f>
        <v/>
      </c>
      <c r="O286" t="inlineStr"/>
    </row>
    <row r="287">
      <c r="A287" t="inlineStr">
        <is>
          <t>남부민초등학교병설유치원</t>
        </is>
      </c>
      <c r="B287" t="inlineStr">
        <is>
          <t>유치원</t>
        </is>
      </c>
      <c r="C287" t="inlineStr">
        <is>
          <t>공립(병설)</t>
        </is>
      </c>
      <c r="D287" t="inlineStr">
        <is>
          <t>서구</t>
        </is>
      </c>
      <c r="E287" t="inlineStr">
        <is>
          <t>부산광역시 서구 천마로 153</t>
        </is>
      </c>
      <c r="F287" s="11" t="inlineStr">
        <is>
          <t>http://school.busanedu.net/nambumin-k/main.do</t>
        </is>
      </c>
      <c r="G287" t="inlineStr">
        <is>
          <t>051-240-0190</t>
        </is>
      </c>
      <c r="H287" s="15" t="n">
        <v>37</v>
      </c>
      <c r="I287" s="15" t="n">
        <v>0</v>
      </c>
      <c r="J287" s="15" t="n">
        <v>0</v>
      </c>
      <c r="K287" s="15" t="n">
        <v>11</v>
      </c>
      <c r="L287" s="15" t="n">
        <v>6</v>
      </c>
      <c r="M287" s="15" t="n">
        <v>1</v>
      </c>
      <c r="N287" s="14">
        <f>IF(COUNT(I287:M287)=0,"",SUM(I287:M287))</f>
        <v/>
      </c>
      <c r="O287" t="inlineStr"/>
    </row>
    <row r="288">
      <c r="A288" t="inlineStr">
        <is>
          <t>내원정사유치원</t>
        </is>
      </c>
      <c r="B288" t="inlineStr">
        <is>
          <t>유치원</t>
        </is>
      </c>
      <c r="C288" t="inlineStr">
        <is>
          <t>사립(법인)</t>
        </is>
      </c>
      <c r="D288" t="inlineStr">
        <is>
          <t>서구</t>
        </is>
      </c>
      <c r="E288" t="inlineStr">
        <is>
          <t>부산광역시 서구 엄광산로40번길 26</t>
        </is>
      </c>
      <c r="F288" s="11" t="inlineStr">
        <is>
          <t>http://www.naewon.co.kr</t>
        </is>
      </c>
      <c r="G288" t="inlineStr">
        <is>
          <t>051-244-0691</t>
        </is>
      </c>
      <c r="H288" s="15" t="n">
        <v>360</v>
      </c>
      <c r="I288" s="15" t="n">
        <v>91</v>
      </c>
      <c r="J288" s="15" t="n">
        <v>78</v>
      </c>
      <c r="K288" s="15" t="n">
        <v>58</v>
      </c>
      <c r="L288" s="15" t="n">
        <v>0</v>
      </c>
      <c r="M288" s="15" t="n">
        <v>0</v>
      </c>
      <c r="N288" s="14">
        <f>IF(COUNT(I288:M288)=0,"",SUM(I288:M288))</f>
        <v/>
      </c>
      <c r="O288" t="inlineStr"/>
    </row>
    <row r="289">
      <c r="A289" t="inlineStr">
        <is>
          <t>노틀담유치원</t>
        </is>
      </c>
      <c r="B289" t="inlineStr">
        <is>
          <t>유치원</t>
        </is>
      </c>
      <c r="C289" t="inlineStr">
        <is>
          <t>사립(법인)</t>
        </is>
      </c>
      <c r="D289" t="inlineStr">
        <is>
          <t>서구</t>
        </is>
      </c>
      <c r="E289" t="inlineStr">
        <is>
          <t>부산광역시 서구 임시수도기념로 61-32</t>
        </is>
      </c>
      <c r="F289" s="11" t="inlineStr">
        <is>
          <t>http://school.busanedu.net/notredame-k/main.do</t>
        </is>
      </c>
      <c r="G289" t="inlineStr">
        <is>
          <t>051-253-1843</t>
        </is>
      </c>
      <c r="H289" s="15" t="n">
        <v>200</v>
      </c>
      <c r="I289" s="15" t="n">
        <v>25</v>
      </c>
      <c r="J289" s="15" t="n">
        <v>22</v>
      </c>
      <c r="K289" s="15" t="n">
        <v>41</v>
      </c>
      <c r="L289" s="15" t="n">
        <v>0</v>
      </c>
      <c r="M289" s="15" t="n">
        <v>0</v>
      </c>
      <c r="N289" s="14">
        <f>IF(COUNT(I289:M289)=0,"",SUM(I289:M289))</f>
        <v/>
      </c>
      <c r="O289" t="inlineStr"/>
    </row>
    <row r="290">
      <c r="A290" t="inlineStr">
        <is>
          <t>놀이아유치원</t>
        </is>
      </c>
      <c r="B290" t="inlineStr">
        <is>
          <t>유치원</t>
        </is>
      </c>
      <c r="C290" t="inlineStr">
        <is>
          <t>사립(법인)</t>
        </is>
      </c>
      <c r="D290" t="inlineStr">
        <is>
          <t>서구</t>
        </is>
      </c>
      <c r="E290" t="inlineStr">
        <is>
          <t>부산광역시 서구 부용로32번길 9</t>
        </is>
      </c>
      <c r="F290" t="inlineStr"/>
      <c r="G290" t="inlineStr">
        <is>
          <t>051-256-3783</t>
        </is>
      </c>
      <c r="H290" s="15" t="n">
        <v>78</v>
      </c>
      <c r="I290" s="15" t="n">
        <v>14</v>
      </c>
      <c r="J290" s="15" t="n">
        <v>24</v>
      </c>
      <c r="K290" s="15" t="n">
        <v>0</v>
      </c>
      <c r="L290" s="15" t="n">
        <v>16</v>
      </c>
      <c r="M290" s="15" t="n">
        <v>0</v>
      </c>
      <c r="N290" s="14">
        <f>IF(COUNT(I290:M290)=0,"",SUM(I290:M290))</f>
        <v/>
      </c>
      <c r="O290" t="inlineStr"/>
    </row>
    <row r="291">
      <c r="A291" t="inlineStr">
        <is>
          <t>동신초등학교병설유치원</t>
        </is>
      </c>
      <c r="B291" t="inlineStr">
        <is>
          <t>유치원</t>
        </is>
      </c>
      <c r="C291" t="inlineStr">
        <is>
          <t>공립(병설)</t>
        </is>
      </c>
      <c r="D291" t="inlineStr">
        <is>
          <t>서구</t>
        </is>
      </c>
      <c r="E291" t="inlineStr">
        <is>
          <t>부산광역시 서구 대영로85번길 81-19</t>
        </is>
      </c>
      <c r="F291" s="11" t="inlineStr">
        <is>
          <t>https://school.busanedu.net/dongsin-k</t>
        </is>
      </c>
      <c r="G291" t="inlineStr">
        <is>
          <t>051-240-0790</t>
        </is>
      </c>
      <c r="H291" s="15" t="n">
        <v>37</v>
      </c>
      <c r="I291" s="15" t="n">
        <v>0</v>
      </c>
      <c r="J291" s="15" t="n">
        <v>0</v>
      </c>
      <c r="K291" s="15" t="n">
        <v>4</v>
      </c>
      <c r="L291" s="15" t="n">
        <v>11</v>
      </c>
      <c r="M291" s="15" t="n">
        <v>3</v>
      </c>
      <c r="N291" s="14">
        <f>IF(COUNT(I291:M291)=0,"",SUM(I291:M291))</f>
        <v/>
      </c>
      <c r="O291" t="inlineStr"/>
    </row>
    <row r="292">
      <c r="A292" t="inlineStr">
        <is>
          <t>마리아유치원</t>
        </is>
      </c>
      <c r="B292" t="inlineStr">
        <is>
          <t>유치원</t>
        </is>
      </c>
      <c r="C292" t="inlineStr">
        <is>
          <t>사립(법인)</t>
        </is>
      </c>
      <c r="D292" t="inlineStr">
        <is>
          <t>서구</t>
        </is>
      </c>
      <c r="E292" t="inlineStr">
        <is>
          <t>부산광역시 서구 구덕로333번길 36</t>
        </is>
      </c>
      <c r="F292" s="11" t="inlineStr">
        <is>
          <t>https://school.busanedu.net/maria-k/</t>
        </is>
      </c>
      <c r="G292" t="inlineStr">
        <is>
          <t>051-253-4885</t>
        </is>
      </c>
      <c r="H292" s="15" t="n">
        <v>160</v>
      </c>
      <c r="I292" s="15" t="n">
        <v>22</v>
      </c>
      <c r="J292" s="15" t="n">
        <v>26</v>
      </c>
      <c r="K292" s="15" t="n">
        <v>26</v>
      </c>
      <c r="L292" s="15" t="n">
        <v>0</v>
      </c>
      <c r="M292" s="15" t="n">
        <v>0</v>
      </c>
      <c r="N292" s="14">
        <f>IF(COUNT(I292:M292)=0,"",SUM(I292:M292))</f>
        <v/>
      </c>
      <c r="O292" t="inlineStr"/>
    </row>
    <row r="293">
      <c r="A293" t="inlineStr">
        <is>
          <t>아미초등학교병설유치원</t>
        </is>
      </c>
      <c r="B293" t="inlineStr">
        <is>
          <t>유치원</t>
        </is>
      </c>
      <c r="C293" t="inlineStr">
        <is>
          <t>공립(병설)</t>
        </is>
      </c>
      <c r="D293" t="inlineStr">
        <is>
          <t>서구</t>
        </is>
      </c>
      <c r="E293" t="inlineStr">
        <is>
          <t>부산광역시 서구 해돋이로 241</t>
        </is>
      </c>
      <c r="F293" s="11" t="inlineStr">
        <is>
          <t>http://school.busanedu.net/ami-k/main.do</t>
        </is>
      </c>
      <c r="G293" t="inlineStr">
        <is>
          <t>051-240-6012</t>
        </is>
      </c>
      <c r="N293" s="14">
        <f>IF(COUNT(I293:M293)=0,"",SUM(I293:M293))</f>
        <v/>
      </c>
      <c r="O293" t="inlineStr">
        <is>
          <t>연령별 현원 미공시(휴원·신설 등)</t>
        </is>
      </c>
    </row>
    <row r="294">
      <c r="A294" t="inlineStr">
        <is>
          <t>영락유치원</t>
        </is>
      </c>
      <c r="B294" t="inlineStr">
        <is>
          <t>유치원</t>
        </is>
      </c>
      <c r="C294" t="inlineStr">
        <is>
          <t>사립(사인)</t>
        </is>
      </c>
      <c r="D294" t="inlineStr">
        <is>
          <t>서구</t>
        </is>
      </c>
      <c r="E294" t="inlineStr">
        <is>
          <t>부산광역시 서구 대청로 8</t>
        </is>
      </c>
      <c r="F294" t="inlineStr"/>
      <c r="G294" t="inlineStr">
        <is>
          <t>051-244-2509</t>
        </is>
      </c>
      <c r="H294" s="15" t="n">
        <v>120</v>
      </c>
      <c r="I294" s="15" t="n">
        <v>12</v>
      </c>
      <c r="J294" s="15" t="n">
        <v>17</v>
      </c>
      <c r="K294" s="15" t="n">
        <v>14</v>
      </c>
      <c r="L294" s="15" t="n">
        <v>0</v>
      </c>
      <c r="M294" s="15" t="n">
        <v>0</v>
      </c>
      <c r="N294" s="14">
        <f>IF(COUNT(I294:M294)=0,"",SUM(I294:M294))</f>
        <v/>
      </c>
      <c r="O294" t="inlineStr"/>
    </row>
    <row r="295">
      <c r="A295" t="inlineStr">
        <is>
          <t>토성초등학교병설유치원</t>
        </is>
      </c>
      <c r="B295" t="inlineStr">
        <is>
          <t>유치원</t>
        </is>
      </c>
      <c r="C295" t="inlineStr">
        <is>
          <t>공립(병설)</t>
        </is>
      </c>
      <c r="D295" t="inlineStr">
        <is>
          <t>서구</t>
        </is>
      </c>
      <c r="E295" t="inlineStr">
        <is>
          <t>부산광역시 서구 구덕로134번길 45</t>
        </is>
      </c>
      <c r="F295" s="11" t="inlineStr">
        <is>
          <t>http://toseong.es.kr/</t>
        </is>
      </c>
      <c r="G295" t="inlineStr">
        <is>
          <t>051-250-0808</t>
        </is>
      </c>
      <c r="H295" s="15" t="n">
        <v>37</v>
      </c>
      <c r="I295" s="15" t="n">
        <v>0</v>
      </c>
      <c r="J295" s="15" t="n">
        <v>0</v>
      </c>
      <c r="K295" s="15" t="n">
        <v>13</v>
      </c>
      <c r="L295" s="15" t="n">
        <v>9</v>
      </c>
      <c r="M295" s="15" t="n">
        <v>0</v>
      </c>
      <c r="N295" s="14">
        <f>IF(COUNT(I295:M295)=0,"",SUM(I295:M295))</f>
        <v/>
      </c>
      <c r="O295" t="inlineStr"/>
    </row>
    <row r="296">
      <c r="A296" t="inlineStr">
        <is>
          <t>푸른유치원</t>
        </is>
      </c>
      <c r="B296" t="inlineStr">
        <is>
          <t>유치원</t>
        </is>
      </c>
      <c r="C296" t="inlineStr">
        <is>
          <t>사립(사인)</t>
        </is>
      </c>
      <c r="D296" t="inlineStr">
        <is>
          <t>서구</t>
        </is>
      </c>
      <c r="E296" t="inlineStr">
        <is>
          <t>부산광역시 서구 남부민로 34</t>
        </is>
      </c>
      <c r="F296" s="11" t="inlineStr">
        <is>
          <t>http://school.busanedu.net/blue-k/main.do</t>
        </is>
      </c>
      <c r="G296" t="inlineStr">
        <is>
          <t>051-242-4276</t>
        </is>
      </c>
      <c r="H296" s="15" t="n">
        <v>84</v>
      </c>
      <c r="I296" s="15" t="n">
        <v>8</v>
      </c>
      <c r="J296" s="15" t="n">
        <v>18</v>
      </c>
      <c r="K296" s="15" t="n">
        <v>26</v>
      </c>
      <c r="L296" s="15" t="n">
        <v>0</v>
      </c>
      <c r="M296" s="15" t="n">
        <v>0</v>
      </c>
      <c r="N296" s="14">
        <f>IF(COUNT(I296:M296)=0,"",SUM(I296:M296))</f>
        <v/>
      </c>
      <c r="O296" t="inlineStr"/>
    </row>
    <row r="297">
      <c r="A297" t="inlineStr">
        <is>
          <t>광남초등학교병설유치원</t>
        </is>
      </c>
      <c r="B297" t="inlineStr">
        <is>
          <t>유치원</t>
        </is>
      </c>
      <c r="C297" t="inlineStr">
        <is>
          <t>공립(병설)</t>
        </is>
      </c>
      <c r="D297" t="inlineStr">
        <is>
          <t>수영구</t>
        </is>
      </c>
      <c r="E297" t="inlineStr">
        <is>
          <t>부산광역시 수영구 광안해변로 115</t>
        </is>
      </c>
      <c r="F297" s="11" t="inlineStr">
        <is>
          <t>http://school.busanedu.net/gwangnam-k/main.do</t>
        </is>
      </c>
      <c r="G297" t="inlineStr">
        <is>
          <t>051-610-6660</t>
        </is>
      </c>
      <c r="H297" s="15" t="n">
        <v>53</v>
      </c>
      <c r="I297" s="15" t="n">
        <v>9</v>
      </c>
      <c r="J297" s="15" t="n">
        <v>4</v>
      </c>
      <c r="K297" s="15" t="n">
        <v>10</v>
      </c>
      <c r="L297" s="15" t="n">
        <v>0</v>
      </c>
      <c r="M297" s="15" t="n">
        <v>0</v>
      </c>
      <c r="N297" s="14">
        <f>IF(COUNT(I297:M297)=0,"",SUM(I297:M297))</f>
        <v/>
      </c>
      <c r="O297" t="inlineStr"/>
    </row>
    <row r="298">
      <c r="A298" t="inlineStr">
        <is>
          <t>광안유치원</t>
        </is>
      </c>
      <c r="B298" t="inlineStr">
        <is>
          <t>유치원</t>
        </is>
      </c>
      <c r="C298" t="inlineStr">
        <is>
          <t>공립(단설)</t>
        </is>
      </c>
      <c r="D298" t="inlineStr">
        <is>
          <t>수영구</t>
        </is>
      </c>
      <c r="E298" t="inlineStr">
        <is>
          <t>부산광역시 수영구 광안로35번길 38</t>
        </is>
      </c>
      <c r="F298" s="11" t="inlineStr">
        <is>
          <t>http://school.busanedu.net/gwangan-k/main.do</t>
        </is>
      </c>
      <c r="G298" t="inlineStr">
        <is>
          <t>051-780-0700</t>
        </is>
      </c>
      <c r="H298" s="15" t="n">
        <v>106</v>
      </c>
      <c r="I298" s="15" t="n">
        <v>27</v>
      </c>
      <c r="J298" s="15" t="n">
        <v>35</v>
      </c>
      <c r="K298" s="15" t="n">
        <v>38</v>
      </c>
      <c r="L298" s="15" t="n">
        <v>0</v>
      </c>
      <c r="M298" s="15" t="n">
        <v>4</v>
      </c>
      <c r="N298" s="14">
        <f>IF(COUNT(I298:M298)=0,"",SUM(I298:M298))</f>
        <v/>
      </c>
      <c r="O298" t="inlineStr"/>
    </row>
    <row r="299">
      <c r="A299" t="inlineStr">
        <is>
          <t>금련사유치원</t>
        </is>
      </c>
      <c r="B299" t="inlineStr">
        <is>
          <t>유치원</t>
        </is>
      </c>
      <c r="C299" t="inlineStr">
        <is>
          <t>사립(사인)</t>
        </is>
      </c>
      <c r="D299" t="inlineStr">
        <is>
          <t>수영구</t>
        </is>
      </c>
      <c r="E299" t="inlineStr">
        <is>
          <t>부산광역시 수영구 광일로 71</t>
        </is>
      </c>
      <c r="F299" s="11" t="inlineStr">
        <is>
          <t>https://school.busanedu.net/kumryun-k</t>
        </is>
      </c>
      <c r="G299" t="inlineStr">
        <is>
          <t>051-757-1505</t>
        </is>
      </c>
      <c r="H299" s="15" t="n">
        <v>160</v>
      </c>
      <c r="I299" s="15" t="n">
        <v>42</v>
      </c>
      <c r="J299" s="15" t="n">
        <v>19</v>
      </c>
      <c r="K299" s="15" t="n">
        <v>26</v>
      </c>
      <c r="L299" s="15" t="n">
        <v>0</v>
      </c>
      <c r="M299" s="15" t="n">
        <v>0</v>
      </c>
      <c r="N299" s="14">
        <f>IF(COUNT(I299:M299)=0,"",SUM(I299:M299))</f>
        <v/>
      </c>
      <c r="O299" t="inlineStr"/>
    </row>
    <row r="300">
      <c r="A300" t="inlineStr">
        <is>
          <t>나은유치원</t>
        </is>
      </c>
      <c r="B300" t="inlineStr">
        <is>
          <t>유치원</t>
        </is>
      </c>
      <c r="C300" t="inlineStr">
        <is>
          <t>사립(사인)</t>
        </is>
      </c>
      <c r="D300" t="inlineStr">
        <is>
          <t>수영구</t>
        </is>
      </c>
      <c r="E300" t="inlineStr">
        <is>
          <t>부산광역시 수영구 망미번영로 13</t>
        </is>
      </c>
      <c r="F300" t="inlineStr"/>
      <c r="G300" t="inlineStr">
        <is>
          <t>051-756-2600</t>
        </is>
      </c>
      <c r="N300" s="14">
        <f>IF(COUNT(I300:M300)=0,"",SUM(I300:M300))</f>
        <v/>
      </c>
      <c r="O300" t="inlineStr">
        <is>
          <t>연령별 현원 미공시(휴원·신설 등)</t>
        </is>
      </c>
    </row>
    <row r="301">
      <c r="A301" t="inlineStr">
        <is>
          <t>남천유치원</t>
        </is>
      </c>
      <c r="B301" t="inlineStr">
        <is>
          <t>유치원</t>
        </is>
      </c>
      <c r="C301" t="inlineStr">
        <is>
          <t>공립(단설)</t>
        </is>
      </c>
      <c r="D301" t="inlineStr">
        <is>
          <t>수영구</t>
        </is>
      </c>
      <c r="E301" t="inlineStr">
        <is>
          <t>부산광역시 수영구 남천서로 14</t>
        </is>
      </c>
      <c r="F301" s="11" t="inlineStr">
        <is>
          <t>https://school.busanedu.net/namcheon-k</t>
        </is>
      </c>
      <c r="G301" t="inlineStr">
        <is>
          <t>051-626-9010</t>
        </is>
      </c>
      <c r="H301" s="15" t="n">
        <v>106</v>
      </c>
      <c r="I301" s="15" t="n">
        <v>28</v>
      </c>
      <c r="J301" s="15" t="n">
        <v>35</v>
      </c>
      <c r="K301" s="15" t="n">
        <v>26</v>
      </c>
      <c r="L301" s="15" t="n">
        <v>0</v>
      </c>
      <c r="M301" s="15" t="n">
        <v>4</v>
      </c>
      <c r="N301" s="14">
        <f>IF(COUNT(I301:M301)=0,"",SUM(I301:M301))</f>
        <v/>
      </c>
      <c r="O301" t="inlineStr"/>
    </row>
    <row r="302">
      <c r="A302" t="inlineStr">
        <is>
          <t>명성유치원</t>
        </is>
      </c>
      <c r="B302" t="inlineStr">
        <is>
          <t>유치원</t>
        </is>
      </c>
      <c r="C302" t="inlineStr">
        <is>
          <t>사립(사인)</t>
        </is>
      </c>
      <c r="D302" t="inlineStr">
        <is>
          <t>수영구</t>
        </is>
      </c>
      <c r="E302" t="inlineStr">
        <is>
          <t>부산광역시 수영구 망미번영로 88</t>
        </is>
      </c>
      <c r="F302" t="inlineStr"/>
      <c r="G302" t="inlineStr">
        <is>
          <t>051-757-8935</t>
        </is>
      </c>
      <c r="H302" s="15" t="n">
        <v>168</v>
      </c>
      <c r="I302" s="15" t="n">
        <v>48</v>
      </c>
      <c r="J302" s="15" t="n">
        <v>52</v>
      </c>
      <c r="K302" s="15" t="n">
        <v>52</v>
      </c>
      <c r="L302" s="15" t="n">
        <v>0</v>
      </c>
      <c r="M302" s="15" t="n">
        <v>0</v>
      </c>
      <c r="N302" s="14">
        <f>IF(COUNT(I302:M302)=0,"",SUM(I302:M302))</f>
        <v/>
      </c>
      <c r="O302" t="inlineStr"/>
    </row>
    <row r="303">
      <c r="A303" t="inlineStr">
        <is>
          <t>민락초등학교병설유치원</t>
        </is>
      </c>
      <c r="B303" t="inlineStr">
        <is>
          <t>유치원</t>
        </is>
      </c>
      <c r="C303" t="inlineStr">
        <is>
          <t>공립(병설)</t>
        </is>
      </c>
      <c r="D303" t="inlineStr">
        <is>
          <t>수영구</t>
        </is>
      </c>
      <c r="E303" t="inlineStr">
        <is>
          <t>부산광역시 수영구 광남로257번길 12</t>
        </is>
      </c>
      <c r="F303" s="11" t="inlineStr">
        <is>
          <t>https://school.busanedu.net/minlak-k/</t>
        </is>
      </c>
      <c r="G303" t="inlineStr">
        <is>
          <t>051-752-6750</t>
        </is>
      </c>
      <c r="H303" s="15" t="n">
        <v>37</v>
      </c>
      <c r="I303" s="15" t="n">
        <v>0</v>
      </c>
      <c r="J303" s="15" t="n">
        <v>0</v>
      </c>
      <c r="K303" s="15" t="n">
        <v>4</v>
      </c>
      <c r="L303" s="15" t="n">
        <v>4</v>
      </c>
      <c r="M303" s="15" t="n">
        <v>4</v>
      </c>
      <c r="N303" s="14">
        <f>IF(COUNT(I303:M303)=0,"",SUM(I303:M303))</f>
        <v/>
      </c>
      <c r="O303" t="inlineStr"/>
    </row>
    <row r="304">
      <c r="A304" t="inlineStr">
        <is>
          <t>백산유치원</t>
        </is>
      </c>
      <c r="B304" t="inlineStr">
        <is>
          <t>유치원</t>
        </is>
      </c>
      <c r="C304" t="inlineStr">
        <is>
          <t>사립(법인)</t>
        </is>
      </c>
      <c r="D304" t="inlineStr">
        <is>
          <t>수영구</t>
        </is>
      </c>
      <c r="E304" t="inlineStr">
        <is>
          <t>부산광역시 수영구 무학로69번길 66</t>
        </is>
      </c>
      <c r="F304" t="inlineStr"/>
      <c r="G304" t="inlineStr">
        <is>
          <t>051-752-3345</t>
        </is>
      </c>
      <c r="N304" s="14">
        <f>IF(COUNT(I304:M304)=0,"",SUM(I304:M304))</f>
        <v/>
      </c>
      <c r="O304" t="inlineStr">
        <is>
          <t>연령별 현원 미공시(휴원·신설 등)</t>
        </is>
      </c>
    </row>
    <row r="305">
      <c r="A305" t="inlineStr">
        <is>
          <t>분도유치원</t>
        </is>
      </c>
      <c r="B305" t="inlineStr">
        <is>
          <t>유치원</t>
        </is>
      </c>
      <c r="C305" t="inlineStr">
        <is>
          <t>사립(법인)</t>
        </is>
      </c>
      <c r="D305" t="inlineStr">
        <is>
          <t>수영구</t>
        </is>
      </c>
      <c r="E305" t="inlineStr">
        <is>
          <t>부산광역시 수영구 수영로497번길 18</t>
        </is>
      </c>
      <c r="F305" s="11" t="inlineStr">
        <is>
          <t>https://busanbundo.com</t>
        </is>
      </c>
      <c r="G305" t="inlineStr">
        <is>
          <t>051-753-2139</t>
        </is>
      </c>
      <c r="H305" s="15" t="n">
        <v>198</v>
      </c>
      <c r="I305" s="15" t="n">
        <v>32</v>
      </c>
      <c r="J305" s="15" t="n">
        <v>72</v>
      </c>
      <c r="K305" s="15" t="n">
        <v>53</v>
      </c>
      <c r="L305" s="15" t="n">
        <v>0</v>
      </c>
      <c r="M305" s="15" t="n">
        <v>0</v>
      </c>
      <c r="N305" s="14">
        <f>IF(COUNT(I305:M305)=0,"",SUM(I305:M305))</f>
        <v/>
      </c>
      <c r="O305" t="inlineStr"/>
    </row>
    <row r="306">
      <c r="A306" t="inlineStr">
        <is>
          <t>삼성유치원</t>
        </is>
      </c>
      <c r="B306" t="inlineStr">
        <is>
          <t>유치원</t>
        </is>
      </c>
      <c r="C306" t="inlineStr">
        <is>
          <t>사립(사인)</t>
        </is>
      </c>
      <c r="D306" t="inlineStr">
        <is>
          <t>수영구</t>
        </is>
      </c>
      <c r="E306" t="inlineStr">
        <is>
          <t>부산광역시 수영구 망미로30번길 23</t>
        </is>
      </c>
      <c r="F306" s="11" t="inlineStr">
        <is>
          <t>http://cafe.daum.net/samsung1277</t>
        </is>
      </c>
      <c r="G306" t="inlineStr">
        <is>
          <t>051-751-1277</t>
        </is>
      </c>
      <c r="H306" s="15" t="n">
        <v>107</v>
      </c>
      <c r="I306" s="15" t="n">
        <v>16</v>
      </c>
      <c r="J306" s="15" t="n">
        <v>9</v>
      </c>
      <c r="K306" s="15" t="n">
        <v>19</v>
      </c>
      <c r="L306" s="15" t="n">
        <v>23</v>
      </c>
      <c r="M306" s="15" t="n">
        <v>0</v>
      </c>
      <c r="N306" s="14">
        <f>IF(COUNT(I306:M306)=0,"",SUM(I306:M306))</f>
        <v/>
      </c>
      <c r="O306" t="inlineStr"/>
    </row>
    <row r="307">
      <c r="A307" t="inlineStr">
        <is>
          <t>성모유치원</t>
        </is>
      </c>
      <c r="B307" t="inlineStr">
        <is>
          <t>유치원</t>
        </is>
      </c>
      <c r="C307" t="inlineStr">
        <is>
          <t>사립(법인)</t>
        </is>
      </c>
      <c r="D307" t="inlineStr">
        <is>
          <t>수영구</t>
        </is>
      </c>
      <c r="E307" t="inlineStr">
        <is>
          <t>부산광역시 수영구 민락본동로27번길 15</t>
        </is>
      </c>
      <c r="F307" t="inlineStr"/>
      <c r="G307" t="inlineStr">
        <is>
          <t>051-757-9554</t>
        </is>
      </c>
      <c r="H307" s="15" t="n">
        <v>120</v>
      </c>
      <c r="I307" s="15" t="n">
        <v>14</v>
      </c>
      <c r="J307" s="15" t="n">
        <v>22</v>
      </c>
      <c r="K307" s="15" t="n">
        <v>23</v>
      </c>
      <c r="L307" s="15" t="n">
        <v>0</v>
      </c>
      <c r="M307" s="15" t="n">
        <v>0</v>
      </c>
      <c r="N307" s="14">
        <f>IF(COUNT(I307:M307)=0,"",SUM(I307:M307))</f>
        <v/>
      </c>
      <c r="O307" t="inlineStr"/>
    </row>
    <row r="308">
      <c r="A308" t="inlineStr">
        <is>
          <t>수영로유치원</t>
        </is>
      </c>
      <c r="B308" t="inlineStr">
        <is>
          <t>유치원</t>
        </is>
      </c>
      <c r="C308" t="inlineStr">
        <is>
          <t>사립(법인)</t>
        </is>
      </c>
      <c r="D308" t="inlineStr">
        <is>
          <t>수영구</t>
        </is>
      </c>
      <c r="E308" t="inlineStr">
        <is>
          <t>부산광역시 수영구 수영로679번길 9</t>
        </is>
      </c>
      <c r="F308" s="11" t="inlineStr">
        <is>
          <t>http://school.busanedu.net/syrlovej-k/main.do</t>
        </is>
      </c>
      <c r="G308" t="inlineStr">
        <is>
          <t>051-751-0877</t>
        </is>
      </c>
      <c r="H308" s="15" t="n">
        <v>145</v>
      </c>
      <c r="I308" s="15" t="n">
        <v>32</v>
      </c>
      <c r="J308" s="15" t="n">
        <v>45</v>
      </c>
      <c r="K308" s="15" t="n">
        <v>40</v>
      </c>
      <c r="L308" s="15" t="n">
        <v>0</v>
      </c>
      <c r="M308" s="15" t="n">
        <v>0</v>
      </c>
      <c r="N308" s="14">
        <f>IF(COUNT(I308:M308)=0,"",SUM(I308:M308))</f>
        <v/>
      </c>
      <c r="O308" t="inlineStr"/>
    </row>
    <row r="309">
      <c r="A309" t="inlineStr">
        <is>
          <t>수영초등학교병설유치원</t>
        </is>
      </c>
      <c r="B309" t="inlineStr">
        <is>
          <t>유치원</t>
        </is>
      </c>
      <c r="C309" t="inlineStr">
        <is>
          <t>공립(병설)</t>
        </is>
      </c>
      <c r="D309" t="inlineStr">
        <is>
          <t>수영구</t>
        </is>
      </c>
      <c r="E309" t="inlineStr">
        <is>
          <t>부산광역시 수영구 광서로16번길 33</t>
        </is>
      </c>
      <c r="F309" s="11" t="inlineStr">
        <is>
          <t>http://suyoung.es.kr</t>
        </is>
      </c>
      <c r="G309" t="inlineStr">
        <is>
          <t>051-792-2591</t>
        </is>
      </c>
      <c r="H309" s="15" t="n">
        <v>53</v>
      </c>
      <c r="I309" s="15" t="n">
        <v>7</v>
      </c>
      <c r="J309" s="15" t="n">
        <v>15</v>
      </c>
      <c r="K309" s="15" t="n">
        <v>17</v>
      </c>
      <c r="L309" s="15" t="n">
        <v>0</v>
      </c>
      <c r="M309" s="15" t="n">
        <v>0</v>
      </c>
      <c r="N309" s="14">
        <f>IF(COUNT(I309:M309)=0,"",SUM(I309:M309))</f>
        <v/>
      </c>
      <c r="O309" t="inlineStr"/>
    </row>
    <row r="310">
      <c r="A310" t="inlineStr">
        <is>
          <t>에버그린유치원</t>
        </is>
      </c>
      <c r="B310" t="inlineStr">
        <is>
          <t>유치원</t>
        </is>
      </c>
      <c r="C310" t="inlineStr">
        <is>
          <t>사립(사인)</t>
        </is>
      </c>
      <c r="D310" t="inlineStr">
        <is>
          <t>수영구</t>
        </is>
      </c>
      <c r="E310" t="inlineStr">
        <is>
          <t>부산광역시 수영구 망미배산로 104-7</t>
        </is>
      </c>
      <c r="F310" t="inlineStr"/>
      <c r="G310" t="inlineStr">
        <is>
          <t>051-752-7997</t>
        </is>
      </c>
      <c r="H310" s="15" t="n">
        <v>150</v>
      </c>
      <c r="I310" s="15" t="n">
        <v>0</v>
      </c>
      <c r="J310" s="15" t="n">
        <v>44</v>
      </c>
      <c r="K310" s="15" t="n">
        <v>42</v>
      </c>
      <c r="L310" s="15" t="n">
        <v>44</v>
      </c>
      <c r="M310" s="15" t="n">
        <v>0</v>
      </c>
      <c r="N310" s="14">
        <f>IF(COUNT(I310:M310)=0,"",SUM(I310:M310))</f>
        <v/>
      </c>
      <c r="O310" t="inlineStr"/>
    </row>
    <row r="311">
      <c r="A311" t="inlineStr">
        <is>
          <t>영주암유치원</t>
        </is>
      </c>
      <c r="B311" t="inlineStr">
        <is>
          <t>유치원</t>
        </is>
      </c>
      <c r="C311" t="inlineStr">
        <is>
          <t>사립(법인)</t>
        </is>
      </c>
      <c r="D311" t="inlineStr">
        <is>
          <t>수영구</t>
        </is>
      </c>
      <c r="E311" t="inlineStr">
        <is>
          <t>부산광역시 수영구 망미배산로76번나길 11 (망미동)</t>
        </is>
      </c>
      <c r="F311" t="inlineStr"/>
      <c r="G311" t="inlineStr">
        <is>
          <t>051-754-6120</t>
        </is>
      </c>
      <c r="H311" s="15" t="n">
        <v>120</v>
      </c>
      <c r="I311" s="15" t="n">
        <v>16</v>
      </c>
      <c r="J311" s="15" t="n">
        <v>37</v>
      </c>
      <c r="K311" s="15" t="n">
        <v>40</v>
      </c>
      <c r="L311" s="15" t="n">
        <v>0</v>
      </c>
      <c r="M311" s="15" t="n">
        <v>0</v>
      </c>
      <c r="N311" s="14">
        <f>IF(COUNT(I311:M311)=0,"",SUM(I311:M311))</f>
        <v/>
      </c>
      <c r="O311" t="inlineStr"/>
    </row>
    <row r="312">
      <c r="A312" t="inlineStr">
        <is>
          <t>옥련유치원</t>
        </is>
      </c>
      <c r="B312" t="inlineStr">
        <is>
          <t>유치원</t>
        </is>
      </c>
      <c r="C312" t="inlineStr">
        <is>
          <t>사립(법인)</t>
        </is>
      </c>
      <c r="D312" t="inlineStr">
        <is>
          <t>수영구</t>
        </is>
      </c>
      <c r="E312" t="inlineStr">
        <is>
          <t>부산광역시 수영구 광남로257번길 58</t>
        </is>
      </c>
      <c r="F312" s="11" t="inlineStr">
        <is>
          <t>http://school.busanedu.net/okyeon-k/</t>
        </is>
      </c>
      <c r="G312" t="inlineStr">
        <is>
          <t>051-754-2223</t>
        </is>
      </c>
      <c r="H312" s="15" t="n">
        <v>440</v>
      </c>
      <c r="I312" s="15" t="n">
        <v>59</v>
      </c>
      <c r="J312" s="15" t="n">
        <v>48</v>
      </c>
      <c r="K312" s="15" t="n">
        <v>43</v>
      </c>
      <c r="L312" s="15" t="n">
        <v>0</v>
      </c>
      <c r="M312" s="15" t="n">
        <v>0</v>
      </c>
      <c r="N312" s="14">
        <f>IF(COUNT(I312:M312)=0,"",SUM(I312:M312))</f>
        <v/>
      </c>
      <c r="O312" t="inlineStr"/>
    </row>
    <row r="313">
      <c r="A313" t="inlineStr">
        <is>
          <t>천사유치원</t>
        </is>
      </c>
      <c r="B313" t="inlineStr">
        <is>
          <t>유치원</t>
        </is>
      </c>
      <c r="C313" t="inlineStr">
        <is>
          <t>사립(법인)</t>
        </is>
      </c>
      <c r="D313" t="inlineStr">
        <is>
          <t>수영구</t>
        </is>
      </c>
      <c r="E313" t="inlineStr">
        <is>
          <t>부산광역시 수영구 수영로427번길 15</t>
        </is>
      </c>
      <c r="F313" s="11" t="inlineStr">
        <is>
          <t>http://school.busanedu.net/chunsa-k</t>
        </is>
      </c>
      <c r="G313" t="inlineStr">
        <is>
          <t>051-622-4000</t>
        </is>
      </c>
      <c r="H313" s="15" t="n">
        <v>126</v>
      </c>
      <c r="I313" s="15" t="n">
        <v>16</v>
      </c>
      <c r="J313" s="15" t="n">
        <v>26</v>
      </c>
      <c r="K313" s="15" t="n">
        <v>18</v>
      </c>
      <c r="L313" s="15" t="n">
        <v>0</v>
      </c>
      <c r="M313" s="15" t="n">
        <v>0</v>
      </c>
      <c r="N313" s="14">
        <f>IF(COUNT(I313:M313)=0,"",SUM(I313:M313))</f>
        <v/>
      </c>
      <c r="O313" t="inlineStr"/>
    </row>
    <row r="314">
      <c r="A314" t="inlineStr">
        <is>
          <t>평화유치원</t>
        </is>
      </c>
      <c r="B314" t="inlineStr">
        <is>
          <t>유치원</t>
        </is>
      </c>
      <c r="C314" t="inlineStr">
        <is>
          <t>사립(법인)</t>
        </is>
      </c>
      <c r="D314" t="inlineStr">
        <is>
          <t>수영구</t>
        </is>
      </c>
      <c r="E314" t="inlineStr">
        <is>
          <t>부산광역시 수영구 연수로310번길 17</t>
        </is>
      </c>
      <c r="F314" s="11" t="inlineStr">
        <is>
          <t>http://school.busanedu.net/peace-k/main.do</t>
        </is>
      </c>
      <c r="G314" t="inlineStr">
        <is>
          <t>051-755-8000</t>
        </is>
      </c>
      <c r="N314" s="14">
        <f>IF(COUNT(I314:M314)=0,"",SUM(I314:M314))</f>
        <v/>
      </c>
      <c r="O314" t="inlineStr">
        <is>
          <t>연령별 현원 미공시(휴원·신설 등)</t>
        </is>
      </c>
    </row>
    <row r="315">
      <c r="A315" t="inlineStr">
        <is>
          <t>호암유치원</t>
        </is>
      </c>
      <c r="B315" t="inlineStr">
        <is>
          <t>유치원</t>
        </is>
      </c>
      <c r="C315" t="inlineStr">
        <is>
          <t>사립(사인)</t>
        </is>
      </c>
      <c r="D315" t="inlineStr">
        <is>
          <t>수영구</t>
        </is>
      </c>
      <c r="E315" t="inlineStr">
        <is>
          <t>부산광역시 수영구 수영로545번길 29</t>
        </is>
      </c>
      <c r="F315" t="inlineStr"/>
      <c r="G315" t="inlineStr">
        <is>
          <t>051-758-5255</t>
        </is>
      </c>
      <c r="H315" s="15" t="n">
        <v>46</v>
      </c>
      <c r="I315" s="15" t="n">
        <v>4</v>
      </c>
      <c r="J315" s="15" t="n">
        <v>0</v>
      </c>
      <c r="K315" s="15" t="n">
        <v>0</v>
      </c>
      <c r="L315" s="15" t="n">
        <v>15</v>
      </c>
      <c r="M315" s="15" t="n">
        <v>0</v>
      </c>
      <c r="N315" s="14">
        <f>IF(COUNT(I315:M315)=0,"",SUM(I315:M315))</f>
        <v/>
      </c>
      <c r="O315" t="inlineStr"/>
    </row>
    <row r="316">
      <c r="A316" t="inlineStr">
        <is>
          <t>거성유치원</t>
        </is>
      </c>
      <c r="B316" t="inlineStr">
        <is>
          <t>유치원</t>
        </is>
      </c>
      <c r="C316" t="inlineStr">
        <is>
          <t>사립(사인)</t>
        </is>
      </c>
      <c r="D316" t="inlineStr">
        <is>
          <t>연제구</t>
        </is>
      </c>
      <c r="E316" t="inlineStr">
        <is>
          <t>부산광역시 연제구 거제대로136번길 6</t>
        </is>
      </c>
      <c r="F316" t="inlineStr"/>
      <c r="G316" t="inlineStr">
        <is>
          <t>051-852-5697</t>
        </is>
      </c>
      <c r="H316" s="15" t="n">
        <v>80</v>
      </c>
      <c r="I316" s="15" t="n">
        <v>0</v>
      </c>
      <c r="J316" s="15" t="n">
        <v>0</v>
      </c>
      <c r="K316" s="15" t="n">
        <v>9</v>
      </c>
      <c r="L316" s="15" t="n">
        <v>10</v>
      </c>
      <c r="M316" s="15" t="n">
        <v>0</v>
      </c>
      <c r="N316" s="14">
        <f>IF(COUNT(I316:M316)=0,"",SUM(I316:M316))</f>
        <v/>
      </c>
      <c r="O316" t="inlineStr"/>
    </row>
    <row r="317">
      <c r="A317" t="inlineStr">
        <is>
          <t>거제초등학교병설유치원</t>
        </is>
      </c>
      <c r="B317" t="inlineStr">
        <is>
          <t>유치원</t>
        </is>
      </c>
      <c r="C317" t="inlineStr">
        <is>
          <t>공립(병설)</t>
        </is>
      </c>
      <c r="D317" t="inlineStr">
        <is>
          <t>연제구</t>
        </is>
      </c>
      <c r="E317" t="inlineStr">
        <is>
          <t>부산광역시 연제구 해맞이로 39</t>
        </is>
      </c>
      <c r="F317" s="11" t="inlineStr">
        <is>
          <t>https://school.busanedu.net/gue-je-k</t>
        </is>
      </c>
      <c r="G317" t="inlineStr">
        <is>
          <t>051-506-0374</t>
        </is>
      </c>
      <c r="H317" s="15" t="n">
        <v>53</v>
      </c>
      <c r="I317" s="15" t="n">
        <v>11</v>
      </c>
      <c r="J317" s="15" t="n">
        <v>15</v>
      </c>
      <c r="K317" s="15" t="n">
        <v>18</v>
      </c>
      <c r="L317" s="15" t="n">
        <v>0</v>
      </c>
      <c r="M317" s="15" t="n">
        <v>0</v>
      </c>
      <c r="N317" s="14">
        <f>IF(COUNT(I317:M317)=0,"",SUM(I317:M317))</f>
        <v/>
      </c>
      <c r="O317" t="inlineStr"/>
    </row>
    <row r="318">
      <c r="A318" t="inlineStr">
        <is>
          <t>고은유치원</t>
        </is>
      </c>
      <c r="B318" t="inlineStr">
        <is>
          <t>유치원</t>
        </is>
      </c>
      <c r="C318" t="inlineStr">
        <is>
          <t>사립(사인)</t>
        </is>
      </c>
      <c r="D318" t="inlineStr">
        <is>
          <t>연제구</t>
        </is>
      </c>
      <c r="E318" t="inlineStr">
        <is>
          <t>부산광역시 연제구 여고로 126</t>
        </is>
      </c>
      <c r="F318" t="inlineStr"/>
      <c r="G318" t="inlineStr">
        <is>
          <t>051-502-9070</t>
        </is>
      </c>
      <c r="H318" s="15" t="n">
        <v>182</v>
      </c>
      <c r="I318" s="15" t="n">
        <v>0</v>
      </c>
      <c r="J318" s="15" t="n">
        <v>48</v>
      </c>
      <c r="K318" s="15" t="n">
        <v>52</v>
      </c>
      <c r="L318" s="15" t="n">
        <v>62</v>
      </c>
      <c r="M318" s="15" t="n">
        <v>0</v>
      </c>
      <c r="N318" s="14">
        <f>IF(COUNT(I318:M318)=0,"",SUM(I318:M318))</f>
        <v/>
      </c>
      <c r="O318" t="inlineStr"/>
    </row>
    <row r="319">
      <c r="A319" t="inlineStr">
        <is>
          <t>과정유치원</t>
        </is>
      </c>
      <c r="B319" t="inlineStr">
        <is>
          <t>유치원</t>
        </is>
      </c>
      <c r="C319" t="inlineStr">
        <is>
          <t>사립(사인)</t>
        </is>
      </c>
      <c r="D319" t="inlineStr">
        <is>
          <t>연제구</t>
        </is>
      </c>
      <c r="E319" t="inlineStr">
        <is>
          <t>부산광역시 연제구 좌수영로 291</t>
        </is>
      </c>
      <c r="F319" t="inlineStr"/>
      <c r="G319" t="inlineStr">
        <is>
          <t>051-758-0672</t>
        </is>
      </c>
      <c r="H319" s="15" t="n">
        <v>96</v>
      </c>
      <c r="I319" s="15" t="n">
        <v>18</v>
      </c>
      <c r="J319" s="15" t="n">
        <v>13</v>
      </c>
      <c r="K319" s="15" t="n">
        <v>13</v>
      </c>
      <c r="L319" s="15" t="n">
        <v>0</v>
      </c>
      <c r="M319" s="15" t="n">
        <v>0</v>
      </c>
      <c r="N319" s="14">
        <f>IF(COUNT(I319:M319)=0,"",SUM(I319:M319))</f>
        <v/>
      </c>
      <c r="O319" t="inlineStr"/>
    </row>
    <row r="320">
      <c r="A320" t="inlineStr">
        <is>
          <t>글로잉유치원</t>
        </is>
      </c>
      <c r="B320" t="inlineStr">
        <is>
          <t>유치원</t>
        </is>
      </c>
      <c r="C320" t="inlineStr">
        <is>
          <t>사립(사인)</t>
        </is>
      </c>
      <c r="D320" t="inlineStr">
        <is>
          <t>연제구</t>
        </is>
      </c>
      <c r="E320" t="inlineStr">
        <is>
          <t>부산광역시 연제구 연동로14번길 33</t>
        </is>
      </c>
      <c r="F320" t="inlineStr"/>
      <c r="G320" t="inlineStr">
        <is>
          <t>051-852-0091</t>
        </is>
      </c>
      <c r="H320" s="15" t="n">
        <v>144</v>
      </c>
      <c r="I320" s="15" t="n">
        <v>31</v>
      </c>
      <c r="J320" s="15" t="n">
        <v>36</v>
      </c>
      <c r="K320" s="15" t="n">
        <v>45</v>
      </c>
      <c r="L320" s="15" t="n">
        <v>0</v>
      </c>
      <c r="M320" s="15" t="n">
        <v>0</v>
      </c>
      <c r="N320" s="14">
        <f>IF(COUNT(I320:M320)=0,"",SUM(I320:M320))</f>
        <v/>
      </c>
      <c r="O320" t="inlineStr"/>
    </row>
    <row r="321">
      <c r="A321" t="inlineStr">
        <is>
          <t>동명초등학교병설유치원</t>
        </is>
      </c>
      <c r="B321" t="inlineStr">
        <is>
          <t>유치원</t>
        </is>
      </c>
      <c r="C321" t="inlineStr">
        <is>
          <t>공립(병설)</t>
        </is>
      </c>
      <c r="D321" t="inlineStr">
        <is>
          <t>연제구</t>
        </is>
      </c>
      <c r="E321" t="inlineStr">
        <is>
          <t>부산광역시 연제구 쌍미천로44번길 17</t>
        </is>
      </c>
      <c r="F321" t="inlineStr"/>
      <c r="G321" t="inlineStr">
        <is>
          <t>051-863-9604</t>
        </is>
      </c>
      <c r="N321" s="14">
        <f>IF(COUNT(I321:M321)=0,"",SUM(I321:M321))</f>
        <v/>
      </c>
      <c r="O321" t="inlineStr">
        <is>
          <t>연령별 현원 미공시(휴원·신설 등)</t>
        </is>
      </c>
    </row>
    <row r="322">
      <c r="A322" t="inlineStr">
        <is>
          <t>동성연천유치원</t>
        </is>
      </c>
      <c r="B322" t="inlineStr">
        <is>
          <t>유치원</t>
        </is>
      </c>
      <c r="C322" t="inlineStr">
        <is>
          <t>사립(사인)</t>
        </is>
      </c>
      <c r="D322" t="inlineStr">
        <is>
          <t>연제구</t>
        </is>
      </c>
      <c r="E322" t="inlineStr">
        <is>
          <t>부산광역시 연제구 고분로 200</t>
        </is>
      </c>
      <c r="F322" s="11" t="inlineStr">
        <is>
          <t>http://yc.kidspann.net</t>
        </is>
      </c>
      <c r="G322" t="inlineStr">
        <is>
          <t>051-758-1126</t>
        </is>
      </c>
      <c r="H322" s="15" t="n">
        <v>184</v>
      </c>
      <c r="I322" s="15" t="n">
        <v>27</v>
      </c>
      <c r="J322" s="15" t="n">
        <v>40</v>
      </c>
      <c r="K322" s="15" t="n">
        <v>50</v>
      </c>
      <c r="L322" s="15" t="n">
        <v>39</v>
      </c>
      <c r="M322" s="15" t="n">
        <v>0</v>
      </c>
      <c r="N322" s="14">
        <f>IF(COUNT(I322:M322)=0,"",SUM(I322:M322))</f>
        <v/>
      </c>
      <c r="O322" t="inlineStr"/>
    </row>
    <row r="323">
      <c r="A323" t="inlineStr">
        <is>
          <t>부산경상대학교부속유치원</t>
        </is>
      </c>
      <c r="B323" t="inlineStr">
        <is>
          <t>유치원</t>
        </is>
      </c>
      <c r="C323" t="inlineStr">
        <is>
          <t>사립(법인)</t>
        </is>
      </c>
      <c r="D323" t="inlineStr">
        <is>
          <t>연제구</t>
        </is>
      </c>
      <c r="E323" t="inlineStr">
        <is>
          <t>부산광역시 연제구 고분로 170</t>
        </is>
      </c>
      <c r="F323" s="11" t="inlineStr">
        <is>
          <t>https://school.busanedu.net/bsksk-k/main.do</t>
        </is>
      </c>
      <c r="G323" t="inlineStr">
        <is>
          <t>051-851-1693</t>
        </is>
      </c>
      <c r="H323" s="15" t="n">
        <v>160</v>
      </c>
      <c r="I323" s="15" t="n">
        <v>24</v>
      </c>
      <c r="J323" s="15" t="n">
        <v>52</v>
      </c>
      <c r="K323" s="15" t="n">
        <v>52</v>
      </c>
      <c r="L323" s="15" t="n">
        <v>0</v>
      </c>
      <c r="M323" s="15" t="n">
        <v>0</v>
      </c>
      <c r="N323" s="14">
        <f>IF(COUNT(I323:M323)=0,"",SUM(I323:M323))</f>
        <v/>
      </c>
      <c r="O323" t="inlineStr"/>
    </row>
    <row r="324">
      <c r="A324" t="inlineStr">
        <is>
          <t>브니엘유치원</t>
        </is>
      </c>
      <c r="B324" t="inlineStr">
        <is>
          <t>유치원</t>
        </is>
      </c>
      <c r="C324" t="inlineStr">
        <is>
          <t>사립(사인)</t>
        </is>
      </c>
      <c r="D324" t="inlineStr">
        <is>
          <t>연제구</t>
        </is>
      </c>
      <c r="E324" t="inlineStr">
        <is>
          <t>부산광역시 연제구 중앙천로73번길 15</t>
        </is>
      </c>
      <c r="F324" t="inlineStr"/>
      <c r="G324" t="inlineStr">
        <is>
          <t>051-862-5753</t>
        </is>
      </c>
      <c r="H324" s="15" t="n">
        <v>78</v>
      </c>
      <c r="I324" s="15" t="n">
        <v>13</v>
      </c>
      <c r="J324" s="15" t="n">
        <v>12</v>
      </c>
      <c r="K324" s="15" t="n">
        <v>24</v>
      </c>
      <c r="L324" s="15" t="n">
        <v>0</v>
      </c>
      <c r="M324" s="15" t="n">
        <v>0</v>
      </c>
      <c r="N324" s="14">
        <f>IF(COUNT(I324:M324)=0,"",SUM(I324:M324))</f>
        <v/>
      </c>
      <c r="O324" t="inlineStr"/>
    </row>
    <row r="325">
      <c r="A325" t="inlineStr">
        <is>
          <t>양지유치원</t>
        </is>
      </c>
      <c r="B325" t="inlineStr">
        <is>
          <t>유치원</t>
        </is>
      </c>
      <c r="C325" t="inlineStr">
        <is>
          <t>사립(사인)</t>
        </is>
      </c>
      <c r="D325" t="inlineStr">
        <is>
          <t>연제구</t>
        </is>
      </c>
      <c r="E325" t="inlineStr">
        <is>
          <t>부산광역시 연제구 쌍미천로30번길 53</t>
        </is>
      </c>
      <c r="F325" s="11" t="inlineStr">
        <is>
          <t>http://school.busanedu.net/yangji-k/main.do</t>
        </is>
      </c>
      <c r="G325" t="inlineStr">
        <is>
          <t>051-852-2139</t>
        </is>
      </c>
      <c r="H325" s="15" t="n">
        <v>108</v>
      </c>
      <c r="I325" s="15" t="n">
        <v>24</v>
      </c>
      <c r="J325" s="15" t="n">
        <v>23</v>
      </c>
      <c r="K325" s="15" t="n">
        <v>24</v>
      </c>
      <c r="L325" s="15" t="n">
        <v>0</v>
      </c>
      <c r="M325" s="15" t="n">
        <v>0</v>
      </c>
      <c r="N325" s="14">
        <f>IF(COUNT(I325:M325)=0,"",SUM(I325:M325))</f>
        <v/>
      </c>
      <c r="O325" t="inlineStr"/>
    </row>
    <row r="326">
      <c r="A326" t="inlineStr">
        <is>
          <t>연동초등학교병설유치원</t>
        </is>
      </c>
      <c r="B326" t="inlineStr">
        <is>
          <t>유치원</t>
        </is>
      </c>
      <c r="C326" t="inlineStr">
        <is>
          <t>공립(병설)</t>
        </is>
      </c>
      <c r="D326" t="inlineStr">
        <is>
          <t>연제구</t>
        </is>
      </c>
      <c r="E326" t="inlineStr">
        <is>
          <t>부산광역시 연제구 고분로56번길 40</t>
        </is>
      </c>
      <c r="F326" t="inlineStr"/>
      <c r="G326" t="inlineStr">
        <is>
          <t>051-715-8806</t>
        </is>
      </c>
      <c r="H326" s="15" t="n">
        <v>53</v>
      </c>
      <c r="I326" s="15" t="n">
        <v>8</v>
      </c>
      <c r="J326" s="15" t="n">
        <v>15</v>
      </c>
      <c r="K326" s="15" t="n">
        <v>17</v>
      </c>
      <c r="L326" s="15" t="n">
        <v>0</v>
      </c>
      <c r="M326" s="15" t="n">
        <v>4</v>
      </c>
      <c r="N326" s="14">
        <f>IF(COUNT(I326:M326)=0,"",SUM(I326:M326))</f>
        <v/>
      </c>
      <c r="O326" t="inlineStr"/>
    </row>
    <row r="327">
      <c r="A327" t="inlineStr">
        <is>
          <t>연산유치원</t>
        </is>
      </c>
      <c r="B327" t="inlineStr">
        <is>
          <t>유치원</t>
        </is>
      </c>
      <c r="C327" t="inlineStr">
        <is>
          <t>공립(단설)</t>
        </is>
      </c>
      <c r="D327" t="inlineStr">
        <is>
          <t>연제구</t>
        </is>
      </c>
      <c r="E327" t="inlineStr">
        <is>
          <t>부산광역시 연제구 월드컵대로 41</t>
        </is>
      </c>
      <c r="F327" s="11" t="inlineStr">
        <is>
          <t>http://school.busanedu.net/yonsan-k/main.do</t>
        </is>
      </c>
      <c r="G327" t="inlineStr">
        <is>
          <t>051-867-8504</t>
        </is>
      </c>
      <c r="H327" s="15" t="n">
        <v>92</v>
      </c>
      <c r="I327" s="15" t="n">
        <v>14</v>
      </c>
      <c r="J327" s="15" t="n">
        <v>37</v>
      </c>
      <c r="K327" s="15" t="n">
        <v>38</v>
      </c>
      <c r="L327" s="15" t="n">
        <v>0</v>
      </c>
      <c r="M327" s="15" t="n">
        <v>4</v>
      </c>
      <c r="N327" s="14">
        <f>IF(COUNT(I327:M327)=0,"",SUM(I327:M327))</f>
        <v/>
      </c>
      <c r="O327" t="inlineStr"/>
    </row>
    <row r="328">
      <c r="A328" t="inlineStr">
        <is>
          <t>연제초등학교병설유치원</t>
        </is>
      </c>
      <c r="B328" t="inlineStr">
        <is>
          <t>유치원</t>
        </is>
      </c>
      <c r="C328" t="inlineStr">
        <is>
          <t>공립(병설)</t>
        </is>
      </c>
      <c r="D328" t="inlineStr">
        <is>
          <t>연제구</t>
        </is>
      </c>
      <c r="E328" t="inlineStr">
        <is>
          <t>부산광역시 연제구 중앙대로1065번길 14</t>
        </is>
      </c>
      <c r="F328" s="11" t="inlineStr">
        <is>
          <t>https://school.busanedu.net/yeonje-k/main.do</t>
        </is>
      </c>
      <c r="G328" t="inlineStr">
        <is>
          <t>051-790-7680</t>
        </is>
      </c>
      <c r="H328" s="15" t="n">
        <v>53</v>
      </c>
      <c r="I328" s="15" t="n">
        <v>11</v>
      </c>
      <c r="J328" s="15" t="n">
        <v>16</v>
      </c>
      <c r="K328" s="15" t="n">
        <v>9</v>
      </c>
      <c r="L328" s="15" t="n">
        <v>0</v>
      </c>
      <c r="M328" s="15" t="n">
        <v>3</v>
      </c>
      <c r="N328" s="14">
        <f>IF(COUNT(I328:M328)=0,"",SUM(I328:M328))</f>
        <v/>
      </c>
      <c r="O328" t="inlineStr"/>
    </row>
    <row r="329">
      <c r="A329" t="inlineStr">
        <is>
          <t>연천초등학교병설유치원</t>
        </is>
      </c>
      <c r="B329" t="inlineStr">
        <is>
          <t>유치원</t>
        </is>
      </c>
      <c r="C329" t="inlineStr">
        <is>
          <t>공립(병설)</t>
        </is>
      </c>
      <c r="D329" t="inlineStr">
        <is>
          <t>연제구</t>
        </is>
      </c>
      <c r="E329" t="inlineStr">
        <is>
          <t>부산광역시 연제구 과정로225번길 46</t>
        </is>
      </c>
      <c r="F329" s="11" t="inlineStr">
        <is>
          <t>https://school.busanedu.net/yonchon-k/main.do</t>
        </is>
      </c>
      <c r="G329" t="inlineStr">
        <is>
          <t>051-850-1831</t>
        </is>
      </c>
      <c r="H329" s="15" t="n">
        <v>53</v>
      </c>
      <c r="I329" s="15" t="n">
        <v>6</v>
      </c>
      <c r="J329" s="15" t="n">
        <v>11</v>
      </c>
      <c r="K329" s="15" t="n">
        <v>16</v>
      </c>
      <c r="L329" s="15" t="n">
        <v>0</v>
      </c>
      <c r="M329" s="15" t="n">
        <v>0</v>
      </c>
      <c r="N329" s="14">
        <f>IF(COUNT(I329:M329)=0,"",SUM(I329:M329))</f>
        <v/>
      </c>
      <c r="O329" t="inlineStr"/>
    </row>
    <row r="330">
      <c r="A330" t="inlineStr">
        <is>
          <t>이화유치원</t>
        </is>
      </c>
      <c r="B330" t="inlineStr">
        <is>
          <t>유치원</t>
        </is>
      </c>
      <c r="C330" t="inlineStr">
        <is>
          <t>사립(사인)</t>
        </is>
      </c>
      <c r="D330" t="inlineStr">
        <is>
          <t>연제구</t>
        </is>
      </c>
      <c r="E330" t="inlineStr">
        <is>
          <t>부산광역시 연제구 과정로93번길 32</t>
        </is>
      </c>
      <c r="F330" t="inlineStr"/>
      <c r="G330" t="inlineStr">
        <is>
          <t>051-759-7737</t>
        </is>
      </c>
      <c r="H330" s="15" t="n">
        <v>144</v>
      </c>
      <c r="I330" s="15" t="n">
        <v>0</v>
      </c>
      <c r="J330" s="15" t="n">
        <v>0</v>
      </c>
      <c r="K330" s="15" t="n">
        <v>0</v>
      </c>
      <c r="L330" s="15" t="n">
        <v>133</v>
      </c>
      <c r="M330" s="15" t="n">
        <v>0</v>
      </c>
      <c r="N330" s="14">
        <f>IF(COUNT(I330:M330)=0,"",SUM(I330:M330))</f>
        <v/>
      </c>
      <c r="O330" t="inlineStr"/>
    </row>
    <row r="331">
      <c r="A331" t="inlineStr">
        <is>
          <t>창신초등학교병설유치원</t>
        </is>
      </c>
      <c r="B331" t="inlineStr">
        <is>
          <t>유치원</t>
        </is>
      </c>
      <c r="C331" t="inlineStr">
        <is>
          <t>공립(병설)</t>
        </is>
      </c>
      <c r="D331" t="inlineStr">
        <is>
          <t>연제구</t>
        </is>
      </c>
      <c r="E331" t="inlineStr">
        <is>
          <t>부산광역시 연제구 종합운동장로12번길 15</t>
        </is>
      </c>
      <c r="F331" s="11" t="inlineStr">
        <is>
          <t>http://school.busanedu.net/changshin-k/main.do</t>
        </is>
      </c>
      <c r="G331" t="inlineStr">
        <is>
          <t>051-500-0648</t>
        </is>
      </c>
      <c r="H331" s="15" t="n">
        <v>53</v>
      </c>
      <c r="I331" s="15" t="n">
        <v>8</v>
      </c>
      <c r="J331" s="15" t="n">
        <v>14</v>
      </c>
      <c r="K331" s="15" t="n">
        <v>20</v>
      </c>
      <c r="L331" s="15" t="n">
        <v>0</v>
      </c>
      <c r="M331" s="15" t="n">
        <v>0</v>
      </c>
      <c r="N331" s="14">
        <f>IF(COUNT(I331:M331)=0,"",SUM(I331:M331))</f>
        <v/>
      </c>
      <c r="O331" t="inlineStr"/>
    </row>
    <row r="332">
      <c r="A332" t="inlineStr">
        <is>
          <t>토현유치원</t>
        </is>
      </c>
      <c r="B332" t="inlineStr">
        <is>
          <t>유치원</t>
        </is>
      </c>
      <c r="C332" t="inlineStr">
        <is>
          <t>사립(사인)</t>
        </is>
      </c>
      <c r="D332" t="inlineStr">
        <is>
          <t>연제구</t>
        </is>
      </c>
      <c r="E332" t="inlineStr">
        <is>
          <t>부산광역시 연제구 토현로 32</t>
        </is>
      </c>
      <c r="F332" t="inlineStr"/>
      <c r="G332" t="inlineStr">
        <is>
          <t>051-751-3456</t>
        </is>
      </c>
      <c r="H332" s="15" t="n">
        <v>222</v>
      </c>
      <c r="I332" s="15" t="n">
        <v>32</v>
      </c>
      <c r="J332" s="15" t="n">
        <v>72</v>
      </c>
      <c r="K332" s="15" t="n">
        <v>68</v>
      </c>
      <c r="L332" s="15" t="n">
        <v>0</v>
      </c>
      <c r="M332" s="15" t="n">
        <v>0</v>
      </c>
      <c r="N332" s="14">
        <f>IF(COUNT(I332:M332)=0,"",SUM(I332:M332))</f>
        <v/>
      </c>
      <c r="O332" t="inlineStr"/>
    </row>
    <row r="333">
      <c r="A333" t="inlineStr">
        <is>
          <t>꿈나무유치원</t>
        </is>
      </c>
      <c r="B333" t="inlineStr">
        <is>
          <t>유치원</t>
        </is>
      </c>
      <c r="C333" t="inlineStr">
        <is>
          <t>사립(사인)</t>
        </is>
      </c>
      <c r="D333" t="inlineStr">
        <is>
          <t>영도구</t>
        </is>
      </c>
      <c r="E333" t="inlineStr">
        <is>
          <t>부산광역시 영도구 남항새싹길 81</t>
        </is>
      </c>
      <c r="F333" s="11" t="inlineStr">
        <is>
          <t>http://cafe.daum.net/dream--tree</t>
        </is>
      </c>
      <c r="G333" t="inlineStr">
        <is>
          <t>051-417-4111</t>
        </is>
      </c>
      <c r="H333" s="15" t="n">
        <v>100</v>
      </c>
      <c r="I333" s="15" t="n">
        <v>0</v>
      </c>
      <c r="J333" s="15" t="n">
        <v>9</v>
      </c>
      <c r="K333" s="15" t="n">
        <v>9</v>
      </c>
      <c r="L333" s="15" t="n">
        <v>0</v>
      </c>
      <c r="M333" s="15" t="n">
        <v>0</v>
      </c>
      <c r="N333" s="14">
        <f>IF(COUNT(I333:M333)=0,"",SUM(I333:M333))</f>
        <v/>
      </c>
      <c r="O333" t="inlineStr"/>
    </row>
    <row r="334">
      <c r="A334" t="inlineStr">
        <is>
          <t>복자유치원</t>
        </is>
      </c>
      <c r="B334" t="inlineStr">
        <is>
          <t>유치원</t>
        </is>
      </c>
      <c r="C334" t="inlineStr">
        <is>
          <t>사립(법인)</t>
        </is>
      </c>
      <c r="D334" t="inlineStr">
        <is>
          <t>영도구</t>
        </is>
      </c>
      <c r="E334" t="inlineStr">
        <is>
          <t>부산광역시 영도구 태종로 340</t>
        </is>
      </c>
      <c r="F334" s="11" t="inlineStr">
        <is>
          <t>http://school.busanedu.net/bokja-k</t>
        </is>
      </c>
      <c r="G334" t="inlineStr">
        <is>
          <t>051-416-4208</t>
        </is>
      </c>
      <c r="H334" s="15" t="n">
        <v>144</v>
      </c>
      <c r="I334" s="15" t="n">
        <v>8</v>
      </c>
      <c r="J334" s="15" t="n">
        <v>23</v>
      </c>
      <c r="K334" s="15" t="n">
        <v>20</v>
      </c>
      <c r="L334" s="15" t="n">
        <v>0</v>
      </c>
      <c r="M334" s="15" t="n">
        <v>0</v>
      </c>
      <c r="N334" s="14">
        <f>IF(COUNT(I334:M334)=0,"",SUM(I334:M334))</f>
        <v/>
      </c>
      <c r="O334" t="inlineStr"/>
    </row>
    <row r="335">
      <c r="A335" t="inlineStr">
        <is>
          <t>봉학초등학교병설유치원</t>
        </is>
      </c>
      <c r="B335" t="inlineStr">
        <is>
          <t>유치원</t>
        </is>
      </c>
      <c r="C335" t="inlineStr">
        <is>
          <t>공립(병설)</t>
        </is>
      </c>
      <c r="D335" t="inlineStr">
        <is>
          <t>영도구</t>
        </is>
      </c>
      <c r="E335" t="inlineStr">
        <is>
          <t>부산광역시 영도구 태종로 242</t>
        </is>
      </c>
      <c r="F335" s="11" t="inlineStr">
        <is>
          <t>http://school.busanedu.net/bonghak-k</t>
        </is>
      </c>
      <c r="G335" t="inlineStr">
        <is>
          <t>051-413-6255</t>
        </is>
      </c>
      <c r="H335" s="15" t="n">
        <v>37</v>
      </c>
      <c r="I335" s="15" t="n">
        <v>0</v>
      </c>
      <c r="J335" s="15" t="n">
        <v>0</v>
      </c>
      <c r="K335" s="15" t="n">
        <v>6</v>
      </c>
      <c r="L335" s="15" t="n">
        <v>8</v>
      </c>
      <c r="M335" s="15" t="n">
        <v>0</v>
      </c>
      <c r="N335" s="14">
        <f>IF(COUNT(I335:M335)=0,"",SUM(I335:M335))</f>
        <v/>
      </c>
      <c r="O335" t="inlineStr"/>
    </row>
    <row r="336">
      <c r="A336" t="inlineStr">
        <is>
          <t>선암사유치원</t>
        </is>
      </c>
      <c r="B336" t="inlineStr">
        <is>
          <t>유치원</t>
        </is>
      </c>
      <c r="C336" t="inlineStr">
        <is>
          <t>사립(사인)</t>
        </is>
      </c>
      <c r="D336" t="inlineStr">
        <is>
          <t>영도구</t>
        </is>
      </c>
      <c r="E336" t="inlineStr">
        <is>
          <t>부산광역시 영도구 본산로 37</t>
        </is>
      </c>
      <c r="F336" s="11" t="inlineStr">
        <is>
          <t>http://school.busanedu.net/sunamsa-k/main.do</t>
        </is>
      </c>
      <c r="G336" t="inlineStr">
        <is>
          <t>051-405-5525</t>
        </is>
      </c>
      <c r="N336" s="14">
        <f>IF(COUNT(I336:M336)=0,"",SUM(I336:M336))</f>
        <v/>
      </c>
      <c r="O336" t="inlineStr">
        <is>
          <t>연령별 현원 미공시(휴원·신설 등)</t>
        </is>
      </c>
    </row>
    <row r="337">
      <c r="A337" t="inlineStr">
        <is>
          <t>영도중앙유치원</t>
        </is>
      </c>
      <c r="B337" t="inlineStr">
        <is>
          <t>유치원</t>
        </is>
      </c>
      <c r="C337" t="inlineStr">
        <is>
          <t>사립(사인)</t>
        </is>
      </c>
      <c r="D337" t="inlineStr">
        <is>
          <t>영도구</t>
        </is>
      </c>
      <c r="E337" t="inlineStr">
        <is>
          <t>부산광역시 영도구 하나길 760</t>
        </is>
      </c>
      <c r="F337" s="11" t="inlineStr">
        <is>
          <t>http://school.busanedu.net/yeongdojungang-k</t>
        </is>
      </c>
      <c r="G337" t="inlineStr">
        <is>
          <t>051-418-7144</t>
        </is>
      </c>
      <c r="H337" s="15" t="n">
        <v>95</v>
      </c>
      <c r="I337" s="15" t="n">
        <v>6</v>
      </c>
      <c r="J337" s="15" t="n">
        <v>8</v>
      </c>
      <c r="K337" s="15" t="n">
        <v>10</v>
      </c>
      <c r="L337" s="15" t="n">
        <v>0</v>
      </c>
      <c r="M337" s="15" t="n">
        <v>0</v>
      </c>
      <c r="N337" s="14">
        <f>IF(COUNT(I337:M337)=0,"",SUM(I337:M337))</f>
        <v/>
      </c>
      <c r="O337" t="inlineStr"/>
    </row>
    <row r="338">
      <c r="A338" t="inlineStr">
        <is>
          <t>영일유치원</t>
        </is>
      </c>
      <c r="B338" t="inlineStr">
        <is>
          <t>유치원</t>
        </is>
      </c>
      <c r="C338" t="inlineStr">
        <is>
          <t>공립(단설)</t>
        </is>
      </c>
      <c r="D338" t="inlineStr">
        <is>
          <t>영도구</t>
        </is>
      </c>
      <c r="E338" t="inlineStr">
        <is>
          <t>부산광역시 영도구 꿈나무길 41</t>
        </is>
      </c>
      <c r="F338" s="11" t="inlineStr">
        <is>
          <t>http://school.busanedu.net/ylschool-k</t>
        </is>
      </c>
      <c r="G338" t="inlineStr">
        <is>
          <t>051-415-0679</t>
        </is>
      </c>
      <c r="H338" s="15" t="n">
        <v>106</v>
      </c>
      <c r="I338" s="15" t="n">
        <v>28</v>
      </c>
      <c r="J338" s="15" t="n">
        <v>36</v>
      </c>
      <c r="K338" s="15" t="n">
        <v>31</v>
      </c>
      <c r="L338" s="15" t="n">
        <v>0</v>
      </c>
      <c r="M338" s="15" t="n">
        <v>4</v>
      </c>
      <c r="N338" s="14">
        <f>IF(COUNT(I338:M338)=0,"",SUM(I338:M338))</f>
        <v/>
      </c>
      <c r="O338" t="inlineStr"/>
    </row>
    <row r="339">
      <c r="A339" t="inlineStr">
        <is>
          <t>자비유치원</t>
        </is>
      </c>
      <c r="B339" t="inlineStr">
        <is>
          <t>유치원</t>
        </is>
      </c>
      <c r="C339" t="inlineStr">
        <is>
          <t>사립(사인)</t>
        </is>
      </c>
      <c r="D339" t="inlineStr">
        <is>
          <t>영도구</t>
        </is>
      </c>
      <c r="E339" t="inlineStr">
        <is>
          <t>부산광역시 영도구 일산봉로 49</t>
        </is>
      </c>
      <c r="F339" t="inlineStr"/>
      <c r="G339" t="inlineStr">
        <is>
          <t>051-412-0011</t>
        </is>
      </c>
      <c r="H339" s="15" t="n">
        <v>120</v>
      </c>
      <c r="I339" s="15" t="n">
        <v>20</v>
      </c>
      <c r="J339" s="15" t="n">
        <v>17</v>
      </c>
      <c r="K339" s="15" t="n">
        <v>15</v>
      </c>
      <c r="L339" s="15" t="n">
        <v>0</v>
      </c>
      <c r="M339" s="15" t="n">
        <v>0</v>
      </c>
      <c r="N339" s="14">
        <f>IF(COUNT(I339:M339)=0,"",SUM(I339:M339))</f>
        <v/>
      </c>
      <c r="O339" t="inlineStr"/>
    </row>
    <row r="340">
      <c r="A340" t="inlineStr">
        <is>
          <t>조아라유치원</t>
        </is>
      </c>
      <c r="B340" t="inlineStr">
        <is>
          <t>유치원</t>
        </is>
      </c>
      <c r="C340" t="inlineStr">
        <is>
          <t>사립(사인)</t>
        </is>
      </c>
      <c r="D340" t="inlineStr">
        <is>
          <t>영도구</t>
        </is>
      </c>
      <c r="E340" t="inlineStr">
        <is>
          <t>부산광역시 영도구 와치로 235</t>
        </is>
      </c>
      <c r="F340" s="11" t="inlineStr">
        <is>
          <t>http://cafe.naver.com/jir6001</t>
        </is>
      </c>
      <c r="G340" t="inlineStr">
        <is>
          <t>051-405-6001</t>
        </is>
      </c>
      <c r="N340" s="14">
        <f>IF(COUNT(I340:M340)=0,"",SUM(I340:M340))</f>
        <v/>
      </c>
      <c r="O340" t="inlineStr">
        <is>
          <t>연령별 현원 미공시(휴원·신설 등)</t>
        </is>
      </c>
    </row>
    <row r="341">
      <c r="A341" t="inlineStr">
        <is>
          <t>초롱유치원</t>
        </is>
      </c>
      <c r="B341" t="inlineStr">
        <is>
          <t>유치원</t>
        </is>
      </c>
      <c r="C341" t="inlineStr">
        <is>
          <t>사립(사인)</t>
        </is>
      </c>
      <c r="D341" t="inlineStr">
        <is>
          <t>영도구</t>
        </is>
      </c>
      <c r="E341" t="inlineStr">
        <is>
          <t>부산광역시 영도구 절영로 494</t>
        </is>
      </c>
      <c r="F341" t="inlineStr"/>
      <c r="G341" t="inlineStr">
        <is>
          <t>051-405-3321</t>
        </is>
      </c>
      <c r="N341" s="14">
        <f>IF(COUNT(I341:M341)=0,"",SUM(I341:M341))</f>
        <v/>
      </c>
      <c r="O341" t="inlineStr">
        <is>
          <t>연령별 현원 미공시(휴원·신설 등)</t>
        </is>
      </c>
    </row>
    <row r="342">
      <c r="A342" t="inlineStr">
        <is>
          <t>태종대초등학교병설유치원</t>
        </is>
      </c>
      <c r="B342" t="inlineStr">
        <is>
          <t>유치원</t>
        </is>
      </c>
      <c r="C342" t="inlineStr">
        <is>
          <t>공립(병설)</t>
        </is>
      </c>
      <c r="D342" t="inlineStr">
        <is>
          <t>영도구</t>
        </is>
      </c>
      <c r="E342" t="inlineStr">
        <is>
          <t>부산광역시 영도구 태종로802번길 38</t>
        </is>
      </c>
      <c r="F342" s="11" t="inlineStr">
        <is>
          <t>http://school.busanedu.net/taejongdae-k</t>
        </is>
      </c>
      <c r="G342" t="inlineStr">
        <is>
          <t>051-400-2150</t>
        </is>
      </c>
      <c r="H342" s="15" t="n">
        <v>37</v>
      </c>
      <c r="I342" s="15" t="n">
        <v>0</v>
      </c>
      <c r="J342" s="15" t="n">
        <v>0</v>
      </c>
      <c r="K342" s="15" t="n">
        <v>9</v>
      </c>
      <c r="L342" s="15" t="n">
        <v>17</v>
      </c>
      <c r="M342" s="15" t="n">
        <v>0</v>
      </c>
      <c r="N342" s="14">
        <f>IF(COUNT(I342:M342)=0,"",SUM(I342:M342))</f>
        <v/>
      </c>
      <c r="O342" t="inlineStr"/>
    </row>
    <row r="343">
      <c r="A343" t="inlineStr">
        <is>
          <t>한마음유치원</t>
        </is>
      </c>
      <c r="B343" t="inlineStr">
        <is>
          <t>유치원</t>
        </is>
      </c>
      <c r="C343" t="inlineStr">
        <is>
          <t>사립(법인)</t>
        </is>
      </c>
      <c r="D343" t="inlineStr">
        <is>
          <t>영도구</t>
        </is>
      </c>
      <c r="E343" t="inlineStr">
        <is>
          <t>부산광역시 영도구 함지로79번길 23-26</t>
        </is>
      </c>
      <c r="F343" s="11" t="inlineStr">
        <is>
          <t>http://www.한마음유치원.kr</t>
        </is>
      </c>
      <c r="G343" t="inlineStr">
        <is>
          <t>051-403-6701</t>
        </is>
      </c>
      <c r="H343" s="15" t="n">
        <v>162</v>
      </c>
      <c r="I343" s="15" t="n">
        <v>41</v>
      </c>
      <c r="J343" s="15" t="n">
        <v>48</v>
      </c>
      <c r="K343" s="15" t="n">
        <v>40</v>
      </c>
      <c r="L343" s="15" t="n">
        <v>0</v>
      </c>
      <c r="M343" s="15" t="n">
        <v>0</v>
      </c>
      <c r="N343" s="14">
        <f>IF(COUNT(I343:M343)=0,"",SUM(I343:M343))</f>
        <v/>
      </c>
      <c r="O343" t="inlineStr"/>
    </row>
    <row r="344">
      <c r="A344" t="inlineStr">
        <is>
          <t>광일초등학교병설유치원</t>
        </is>
      </c>
      <c r="B344" t="inlineStr">
        <is>
          <t>유치원</t>
        </is>
      </c>
      <c r="C344" t="inlineStr">
        <is>
          <t>공립(병설)</t>
        </is>
      </c>
      <c r="D344" t="inlineStr">
        <is>
          <t>중구</t>
        </is>
      </c>
      <c r="E344" t="inlineStr">
        <is>
          <t>부산광역시 중구 중구로 74</t>
        </is>
      </c>
      <c r="F344" s="11" t="inlineStr">
        <is>
          <t>http://school.busanedu.net/gwangil-k/main.do</t>
        </is>
      </c>
      <c r="G344" t="inlineStr">
        <is>
          <t>051-603-5180</t>
        </is>
      </c>
      <c r="H344" s="15" t="n">
        <v>17</v>
      </c>
      <c r="I344" s="15" t="n">
        <v>0</v>
      </c>
      <c r="J344" s="15" t="n">
        <v>0</v>
      </c>
      <c r="K344" s="15" t="n">
        <v>0</v>
      </c>
      <c r="L344" s="15" t="n">
        <v>7</v>
      </c>
      <c r="M344" s="15" t="n">
        <v>0</v>
      </c>
      <c r="N344" s="14">
        <f>IF(COUNT(I344:M344)=0,"",SUM(I344:M344))</f>
        <v/>
      </c>
      <c r="O344" t="inlineStr"/>
    </row>
    <row r="345">
      <c r="A345" t="inlineStr">
        <is>
          <t>봉래초등학교병설유치원</t>
        </is>
      </c>
      <c r="B345" t="inlineStr">
        <is>
          <t>유치원</t>
        </is>
      </c>
      <c r="C345" t="inlineStr">
        <is>
          <t>공립(병설)</t>
        </is>
      </c>
      <c r="D345" t="inlineStr">
        <is>
          <t>중구</t>
        </is>
      </c>
      <c r="E345" t="inlineStr">
        <is>
          <t>부산광역시 중구 대영로226번길 15</t>
        </is>
      </c>
      <c r="F345" s="11" t="inlineStr">
        <is>
          <t>http://school.busanedu.net/pusanbongraek-k/main.do</t>
        </is>
      </c>
      <c r="G345" t="inlineStr">
        <is>
          <t>051-719-1591</t>
        </is>
      </c>
      <c r="H345" s="15" t="n">
        <v>17</v>
      </c>
      <c r="I345" s="15" t="n">
        <v>0</v>
      </c>
      <c r="J345" s="15" t="n">
        <v>0</v>
      </c>
      <c r="K345" s="15" t="n">
        <v>0</v>
      </c>
      <c r="L345" s="15" t="n">
        <v>6</v>
      </c>
      <c r="M345" s="15" t="n">
        <v>0</v>
      </c>
      <c r="N345" s="14">
        <f>IF(COUNT(I345:M345)=0,"",SUM(I345:M345))</f>
        <v/>
      </c>
      <c r="O345" t="inlineStr"/>
    </row>
    <row r="346">
      <c r="A346" t="inlineStr">
        <is>
          <t>숲속리더유치원</t>
        </is>
      </c>
      <c r="B346" t="inlineStr">
        <is>
          <t>유치원</t>
        </is>
      </c>
      <c r="C346" t="inlineStr">
        <is>
          <t>사립(사인)</t>
        </is>
      </c>
      <c r="D346" t="inlineStr">
        <is>
          <t>중구</t>
        </is>
      </c>
      <c r="E346" t="inlineStr">
        <is>
          <t>부산광역시 중구 책방골목길 17-12</t>
        </is>
      </c>
      <c r="F346" t="inlineStr"/>
      <c r="G346" t="inlineStr">
        <is>
          <t>051-257-1843</t>
        </is>
      </c>
      <c r="H346" s="15" t="n">
        <v>72</v>
      </c>
      <c r="I346" s="15" t="n">
        <v>11</v>
      </c>
      <c r="J346" s="15" t="n">
        <v>0</v>
      </c>
      <c r="K346" s="15" t="n">
        <v>0</v>
      </c>
      <c r="L346" s="15" t="n">
        <v>39</v>
      </c>
      <c r="M346" s="15" t="n">
        <v>0</v>
      </c>
      <c r="N346" s="14">
        <f>IF(COUNT(I346:M346)=0,"",SUM(I346:M346))</f>
        <v/>
      </c>
      <c r="O346" t="inlineStr"/>
    </row>
    <row r="347">
      <c r="A347" t="inlineStr">
        <is>
          <t>강동유치원</t>
        </is>
      </c>
      <c r="B347" t="inlineStr">
        <is>
          <t>유치원</t>
        </is>
      </c>
      <c r="C347" t="inlineStr">
        <is>
          <t>공립(단설)</t>
        </is>
      </c>
      <c r="D347" t="inlineStr">
        <is>
          <t>해운대구</t>
        </is>
      </c>
      <c r="E347" t="inlineStr">
        <is>
          <t>부산광역시 해운대구 해운대로349번길 10</t>
        </is>
      </c>
      <c r="F347" s="11" t="inlineStr">
        <is>
          <t>http://school.busanedu.net/gangdong-k</t>
        </is>
      </c>
      <c r="G347" t="inlineStr">
        <is>
          <t>051-746-8915</t>
        </is>
      </c>
      <c r="H347" s="15" t="n">
        <v>126</v>
      </c>
      <c r="I347" s="15" t="n">
        <v>28</v>
      </c>
      <c r="J347" s="15" t="n">
        <v>35</v>
      </c>
      <c r="K347" s="15" t="n">
        <v>52</v>
      </c>
      <c r="L347" s="15" t="n">
        <v>0</v>
      </c>
      <c r="M347" s="15" t="n">
        <v>5</v>
      </c>
      <c r="N347" s="14">
        <f>IF(COUNT(I347:M347)=0,"",SUM(I347:M347))</f>
        <v/>
      </c>
      <c r="O347" t="inlineStr"/>
    </row>
    <row r="348">
      <c r="A348" t="inlineStr">
        <is>
          <t>고은유치원</t>
        </is>
      </c>
      <c r="B348" t="inlineStr">
        <is>
          <t>유치원</t>
        </is>
      </c>
      <c r="C348" t="inlineStr">
        <is>
          <t>사립(사인)</t>
        </is>
      </c>
      <c r="D348" t="inlineStr">
        <is>
          <t>해운대구</t>
        </is>
      </c>
      <c r="E348" t="inlineStr">
        <is>
          <t>부산광역시 해운대구 대천로 225</t>
        </is>
      </c>
      <c r="F348" s="11" t="inlineStr">
        <is>
          <t>http://school.busanedu.net/goeun-k</t>
        </is>
      </c>
      <c r="G348" t="inlineStr">
        <is>
          <t>051-701-7111</t>
        </is>
      </c>
      <c r="N348" s="14">
        <f>IF(COUNT(I348:M348)=0,"",SUM(I348:M348))</f>
        <v/>
      </c>
      <c r="O348" t="inlineStr">
        <is>
          <t>연령별 현원 미공시(휴원·신설 등)</t>
        </is>
      </c>
    </row>
    <row r="349">
      <c r="A349" t="inlineStr">
        <is>
          <t>대동유치원</t>
        </is>
      </c>
      <c r="B349" t="inlineStr">
        <is>
          <t>유치원</t>
        </is>
      </c>
      <c r="C349" t="inlineStr">
        <is>
          <t>사립(사인)</t>
        </is>
      </c>
      <c r="D349" t="inlineStr">
        <is>
          <t>해운대구</t>
        </is>
      </c>
      <c r="E349" t="inlineStr">
        <is>
          <t>부산광역시 해운대구 대천로103번길 29</t>
        </is>
      </c>
      <c r="F349" s="11" t="inlineStr">
        <is>
          <t>http://school.busanedu.net/Dae-Dong-k/main.do</t>
        </is>
      </c>
      <c r="G349" t="inlineStr">
        <is>
          <t>051-701-6030</t>
        </is>
      </c>
      <c r="H349" s="15" t="n">
        <v>200</v>
      </c>
      <c r="I349" s="15" t="n">
        <v>48</v>
      </c>
      <c r="J349" s="15" t="n">
        <v>52</v>
      </c>
      <c r="K349" s="15" t="n">
        <v>51</v>
      </c>
      <c r="L349" s="15" t="n">
        <v>0</v>
      </c>
      <c r="M349" s="15" t="n">
        <v>0</v>
      </c>
      <c r="N349" s="14">
        <f>IF(COUNT(I349:M349)=0,"",SUM(I349:M349))</f>
        <v/>
      </c>
      <c r="O349" t="inlineStr"/>
    </row>
    <row r="350">
      <c r="A350" t="inlineStr">
        <is>
          <t>대림유치원</t>
        </is>
      </c>
      <c r="B350" t="inlineStr">
        <is>
          <t>유치원</t>
        </is>
      </c>
      <c r="C350" t="inlineStr">
        <is>
          <t>사립(사인)</t>
        </is>
      </c>
      <c r="D350" t="inlineStr">
        <is>
          <t>해운대구</t>
        </is>
      </c>
      <c r="E350" t="inlineStr">
        <is>
          <t>부산광역시 해운대구 대천로103번길 47</t>
        </is>
      </c>
      <c r="F350" s="11" t="inlineStr">
        <is>
          <t>http://school.busanedu.net/daelimlove-k</t>
        </is>
      </c>
      <c r="G350" t="inlineStr">
        <is>
          <t>051-701-9803</t>
        </is>
      </c>
      <c r="H350" s="15" t="n">
        <v>137</v>
      </c>
      <c r="I350" s="15" t="n">
        <v>0</v>
      </c>
      <c r="J350" s="15" t="n">
        <v>43</v>
      </c>
      <c r="K350" s="15" t="n">
        <v>50</v>
      </c>
      <c r="L350" s="15" t="n">
        <v>42</v>
      </c>
      <c r="M350" s="15" t="n">
        <v>0</v>
      </c>
      <c r="N350" s="14">
        <f>IF(COUNT(I350:M350)=0,"",SUM(I350:M350))</f>
        <v/>
      </c>
      <c r="O350" t="inlineStr"/>
    </row>
    <row r="351">
      <c r="A351" t="inlineStr">
        <is>
          <t>대우사랑유치원</t>
        </is>
      </c>
      <c r="B351" t="inlineStr">
        <is>
          <t>유치원</t>
        </is>
      </c>
      <c r="C351" t="inlineStr">
        <is>
          <t>사립(사인)</t>
        </is>
      </c>
      <c r="D351" t="inlineStr">
        <is>
          <t>해운대구</t>
        </is>
      </c>
      <c r="E351" t="inlineStr">
        <is>
          <t>부산광역시 해운대구 좌동순환로 275</t>
        </is>
      </c>
      <c r="F351" t="inlineStr"/>
      <c r="G351" t="inlineStr">
        <is>
          <t>051-703-3435</t>
        </is>
      </c>
      <c r="H351" s="15" t="n">
        <v>142</v>
      </c>
      <c r="I351" s="15" t="n">
        <v>0</v>
      </c>
      <c r="J351" s="15" t="n">
        <v>46</v>
      </c>
      <c r="K351" s="15" t="n">
        <v>50</v>
      </c>
      <c r="L351" s="15" t="n">
        <v>42</v>
      </c>
      <c r="M351" s="15" t="n">
        <v>0</v>
      </c>
      <c r="N351" s="14">
        <f>IF(COUNT(I351:M351)=0,"",SUM(I351:M351))</f>
        <v/>
      </c>
      <c r="O351" t="inlineStr"/>
    </row>
    <row r="352">
      <c r="A352" t="inlineStr">
        <is>
          <t>더푸른유치원</t>
        </is>
      </c>
      <c r="B352" t="inlineStr">
        <is>
          <t>유치원</t>
        </is>
      </c>
      <c r="C352" t="inlineStr">
        <is>
          <t>사립(사인)</t>
        </is>
      </c>
      <c r="D352" t="inlineStr">
        <is>
          <t>해운대구</t>
        </is>
      </c>
      <c r="E352" t="inlineStr">
        <is>
          <t>부산광역시 해운대구 좌동순환로433번길 30-3</t>
        </is>
      </c>
      <c r="F352" s="11" t="inlineStr">
        <is>
          <t>https://school.busanedu.net/thepurun-k</t>
        </is>
      </c>
      <c r="G352" t="inlineStr">
        <is>
          <t>051-747-7971</t>
        </is>
      </c>
      <c r="H352" s="15" t="n">
        <v>226</v>
      </c>
      <c r="I352" s="15" t="n">
        <v>48</v>
      </c>
      <c r="J352" s="15" t="n">
        <v>0</v>
      </c>
      <c r="K352" s="15" t="n">
        <v>0</v>
      </c>
      <c r="L352" s="15" t="n">
        <v>139</v>
      </c>
      <c r="M352" s="15" t="n">
        <v>0</v>
      </c>
      <c r="N352" s="14">
        <f>IF(COUNT(I352:M352)=0,"",SUM(I352:M352))</f>
        <v/>
      </c>
      <c r="O352" t="inlineStr"/>
    </row>
    <row r="353">
      <c r="A353" t="inlineStr">
        <is>
          <t>동부산대학교부속유치원</t>
        </is>
      </c>
      <c r="B353" t="inlineStr">
        <is>
          <t>유치원</t>
        </is>
      </c>
      <c r="C353" t="inlineStr">
        <is>
          <t>사립(법인)</t>
        </is>
      </c>
      <c r="D353" t="inlineStr">
        <is>
          <t>해운대구</t>
        </is>
      </c>
      <c r="E353" t="inlineStr">
        <is>
          <t>부산광역시 해운대구 운봉길 60</t>
        </is>
      </c>
      <c r="F353" s="11" t="inlineStr">
        <is>
          <t>https://school.busanedu.net/dpckinder-k</t>
        </is>
      </c>
      <c r="G353" t="inlineStr">
        <is>
          <t>051-714-0177</t>
        </is>
      </c>
      <c r="H353" s="15" t="n">
        <v>160</v>
      </c>
      <c r="I353" s="15" t="n">
        <v>0</v>
      </c>
      <c r="J353" s="15" t="n">
        <v>0</v>
      </c>
      <c r="K353" s="15" t="n">
        <v>0</v>
      </c>
      <c r="L353" s="15" t="n">
        <v>7</v>
      </c>
      <c r="M353" s="15" t="n">
        <v>0</v>
      </c>
      <c r="N353" s="14">
        <f>IF(COUNT(I353:M353)=0,"",SUM(I353:M353))</f>
        <v/>
      </c>
      <c r="O353" t="inlineStr"/>
    </row>
    <row r="354">
      <c r="A354" t="inlineStr">
        <is>
          <t>동성제일유치원</t>
        </is>
      </c>
      <c r="B354" t="inlineStr">
        <is>
          <t>유치원</t>
        </is>
      </c>
      <c r="C354" t="inlineStr">
        <is>
          <t>사립(법인)</t>
        </is>
      </c>
      <c r="D354" t="inlineStr">
        <is>
          <t>해운대구</t>
        </is>
      </c>
      <c r="E354" t="inlineStr">
        <is>
          <t>부산광역시 해운대구 해운대로349번길 24</t>
        </is>
      </c>
      <c r="F354" s="11" t="inlineStr">
        <is>
          <t>http://school.busanedu.net/dongsung-k</t>
        </is>
      </c>
      <c r="G354" t="inlineStr">
        <is>
          <t>051-742-7201</t>
        </is>
      </c>
      <c r="N354" s="14">
        <f>IF(COUNT(I354:M354)=0,"",SUM(I354:M354))</f>
        <v/>
      </c>
      <c r="O354" t="inlineStr">
        <is>
          <t>연령별 현원 미공시(휴원·신설 등)</t>
        </is>
      </c>
    </row>
    <row r="355">
      <c r="A355" t="inlineStr">
        <is>
          <t>마리나유치원</t>
        </is>
      </c>
      <c r="B355" t="inlineStr">
        <is>
          <t>유치원</t>
        </is>
      </c>
      <c r="C355" t="inlineStr">
        <is>
          <t>사립(사인)</t>
        </is>
      </c>
      <c r="D355" t="inlineStr">
        <is>
          <t>해운대구</t>
        </is>
      </c>
      <c r="E355" t="inlineStr">
        <is>
          <t>부산광역시 해운대구 해운대해변로 139</t>
        </is>
      </c>
      <c r="F355" s="11" t="inlineStr">
        <is>
          <t>http://school.busanedu.net/marina-k</t>
        </is>
      </c>
      <c r="G355" t="inlineStr">
        <is>
          <t>051-742-0115</t>
        </is>
      </c>
      <c r="H355" s="15" t="n">
        <v>232</v>
      </c>
      <c r="I355" s="15" t="n">
        <v>60</v>
      </c>
      <c r="J355" s="15" t="n">
        <v>50</v>
      </c>
      <c r="K355" s="15" t="n">
        <v>47</v>
      </c>
      <c r="L355" s="15" t="n">
        <v>0</v>
      </c>
      <c r="M355" s="15" t="n">
        <v>0</v>
      </c>
      <c r="N355" s="14">
        <f>IF(COUNT(I355:M355)=0,"",SUM(I355:M355))</f>
        <v/>
      </c>
      <c r="O355" t="inlineStr"/>
    </row>
    <row r="356">
      <c r="A356" t="inlineStr">
        <is>
          <t>반산초등학교병설유치원</t>
        </is>
      </c>
      <c r="B356" t="inlineStr">
        <is>
          <t>유치원</t>
        </is>
      </c>
      <c r="C356" t="inlineStr">
        <is>
          <t>공립(병설)</t>
        </is>
      </c>
      <c r="D356" t="inlineStr">
        <is>
          <t>해운대구</t>
        </is>
      </c>
      <c r="E356" t="inlineStr">
        <is>
          <t>부산광역시 해운대구 재반로 171</t>
        </is>
      </c>
      <c r="F356" s="11" t="inlineStr">
        <is>
          <t>http://www.bansan.es.kr</t>
        </is>
      </c>
      <c r="G356" t="inlineStr">
        <is>
          <t>051-780-2015</t>
        </is>
      </c>
      <c r="H356" s="15" t="n">
        <v>17</v>
      </c>
      <c r="I356" s="15" t="n">
        <v>0</v>
      </c>
      <c r="J356" s="15" t="n">
        <v>0</v>
      </c>
      <c r="K356" s="15" t="n">
        <v>0</v>
      </c>
      <c r="L356" s="15" t="n">
        <v>5</v>
      </c>
      <c r="M356" s="15" t="n">
        <v>0</v>
      </c>
      <c r="N356" s="14">
        <f>IF(COUNT(I356:M356)=0,"",SUM(I356:M356))</f>
        <v/>
      </c>
      <c r="O356" t="inlineStr"/>
    </row>
    <row r="357">
      <c r="A357" t="inlineStr">
        <is>
          <t>반여초등학교병설유치원</t>
        </is>
      </c>
      <c r="B357" t="inlineStr">
        <is>
          <t>유치원</t>
        </is>
      </c>
      <c r="C357" t="inlineStr">
        <is>
          <t>공립(병설)</t>
        </is>
      </c>
      <c r="D357" t="inlineStr">
        <is>
          <t>해운대구</t>
        </is>
      </c>
      <c r="E357" t="inlineStr">
        <is>
          <t>부산광역시 해운대구 재반로 301</t>
        </is>
      </c>
      <c r="F357" s="11" t="inlineStr">
        <is>
          <t>http://school.busanedu.net/banyeo-k</t>
        </is>
      </c>
      <c r="G357" t="inlineStr">
        <is>
          <t>051-783-3063</t>
        </is>
      </c>
      <c r="H357" s="15" t="n">
        <v>53</v>
      </c>
      <c r="I357" s="15" t="n">
        <v>14</v>
      </c>
      <c r="J357" s="15" t="n">
        <v>17</v>
      </c>
      <c r="K357" s="15" t="n">
        <v>17</v>
      </c>
      <c r="L357" s="15" t="n">
        <v>0</v>
      </c>
      <c r="M357" s="15" t="n">
        <v>2</v>
      </c>
      <c r="N357" s="14">
        <f>IF(COUNT(I357:M357)=0,"",SUM(I357:M357))</f>
        <v/>
      </c>
      <c r="O357" t="inlineStr"/>
    </row>
    <row r="358">
      <c r="A358" t="inlineStr">
        <is>
          <t>버드내유치원</t>
        </is>
      </c>
      <c r="B358" t="inlineStr">
        <is>
          <t>유치원</t>
        </is>
      </c>
      <c r="C358" t="inlineStr">
        <is>
          <t>사립(사인)</t>
        </is>
      </c>
      <c r="D358" t="inlineStr">
        <is>
          <t>해운대구</t>
        </is>
      </c>
      <c r="E358" t="inlineStr">
        <is>
          <t>부산광역시 해운대구 우동2로 40-5</t>
        </is>
      </c>
      <c r="F358" s="11" t="inlineStr">
        <is>
          <t>http://school.busanedu.net/beodnae-k</t>
        </is>
      </c>
      <c r="G358" t="inlineStr">
        <is>
          <t>0517437388</t>
        </is>
      </c>
      <c r="N358" s="14">
        <f>IF(COUNT(I358:M358)=0,"",SUM(I358:M358))</f>
        <v/>
      </c>
      <c r="O358" t="inlineStr">
        <is>
          <t>연령별 현원 미공시(휴원·신설 등)</t>
        </is>
      </c>
    </row>
    <row r="359">
      <c r="A359" t="inlineStr">
        <is>
          <t>쁘띠포레유치원</t>
        </is>
      </c>
      <c r="B359" t="inlineStr">
        <is>
          <t>유치원</t>
        </is>
      </c>
      <c r="C359" t="inlineStr">
        <is>
          <t>사립(사인)</t>
        </is>
      </c>
      <c r="D359" t="inlineStr">
        <is>
          <t>해운대구</t>
        </is>
      </c>
      <c r="E359" t="inlineStr">
        <is>
          <t>부산광역시 해운대구 양운로 182</t>
        </is>
      </c>
      <c r="F359" s="11" t="inlineStr">
        <is>
          <t>http://school.busanedu.net/petiteforet-k/main.do</t>
        </is>
      </c>
      <c r="G359" t="inlineStr">
        <is>
          <t>051-701-1815</t>
        </is>
      </c>
      <c r="H359" s="15" t="n">
        <v>224</v>
      </c>
      <c r="I359" s="15" t="n">
        <v>0</v>
      </c>
      <c r="J359" s="15" t="n">
        <v>49</v>
      </c>
      <c r="K359" s="15" t="n">
        <v>52</v>
      </c>
      <c r="L359" s="15" t="n">
        <v>65</v>
      </c>
      <c r="M359" s="15" t="n">
        <v>0</v>
      </c>
      <c r="N359" s="14">
        <f>IF(COUNT(I359:M359)=0,"",SUM(I359:M359))</f>
        <v/>
      </c>
      <c r="O359" t="inlineStr"/>
    </row>
    <row r="360">
      <c r="A360" t="inlineStr">
        <is>
          <t>센텀유치원</t>
        </is>
      </c>
      <c r="B360" t="inlineStr">
        <is>
          <t>유치원</t>
        </is>
      </c>
      <c r="C360" t="inlineStr">
        <is>
          <t>사립(사인)</t>
        </is>
      </c>
      <c r="D360" t="inlineStr">
        <is>
          <t>해운대구</t>
        </is>
      </c>
      <c r="E360" t="inlineStr">
        <is>
          <t>부산광역시 해운대구 센텀중앙로 142</t>
        </is>
      </c>
      <c r="F360" s="11" t="inlineStr">
        <is>
          <t>https://school.busanedu.net/centumkid-k</t>
        </is>
      </c>
      <c r="G360" t="inlineStr">
        <is>
          <t>051-784-3755</t>
        </is>
      </c>
      <c r="H360" s="15" t="n">
        <v>300</v>
      </c>
      <c r="I360" s="15" t="n">
        <v>0</v>
      </c>
      <c r="J360" s="15" t="n">
        <v>40</v>
      </c>
      <c r="K360" s="15" t="n">
        <v>104</v>
      </c>
      <c r="L360" s="15" t="n">
        <v>138</v>
      </c>
      <c r="M360" s="15" t="n">
        <v>0</v>
      </c>
      <c r="N360" s="14">
        <f>IF(COUNT(I360:M360)=0,"",SUM(I360:M360))</f>
        <v/>
      </c>
      <c r="O360" t="inlineStr"/>
    </row>
    <row r="361">
      <c r="A361" t="inlineStr">
        <is>
          <t>센텀항도유치원</t>
        </is>
      </c>
      <c r="B361" t="inlineStr">
        <is>
          <t>유치원</t>
        </is>
      </c>
      <c r="C361" t="inlineStr">
        <is>
          <t>사립(사인)</t>
        </is>
      </c>
      <c r="D361" t="inlineStr">
        <is>
          <t>해운대구</t>
        </is>
      </c>
      <c r="E361" t="inlineStr">
        <is>
          <t>부산광역시 해운대구 해운대로61번길 107-22</t>
        </is>
      </c>
      <c r="F361" s="11" t="inlineStr">
        <is>
          <t>http://school.busanedu.net/centumhangdo-k</t>
        </is>
      </c>
      <c r="G361" t="inlineStr">
        <is>
          <t>051-781-4829</t>
        </is>
      </c>
      <c r="H361" s="15" t="n">
        <v>130</v>
      </c>
      <c r="I361" s="15" t="n">
        <v>32</v>
      </c>
      <c r="J361" s="15" t="n">
        <v>0</v>
      </c>
      <c r="K361" s="15" t="n">
        <v>26</v>
      </c>
      <c r="L361" s="15" t="n">
        <v>40</v>
      </c>
      <c r="M361" s="15" t="n">
        <v>0</v>
      </c>
      <c r="N361" s="14">
        <f>IF(COUNT(I361:M361)=0,"",SUM(I361:M361))</f>
        <v/>
      </c>
      <c r="O361" t="inlineStr"/>
    </row>
    <row r="362">
      <c r="A362" t="inlineStr">
        <is>
          <t>센텀해운대유치원</t>
        </is>
      </c>
      <c r="B362" t="inlineStr">
        <is>
          <t>유치원</t>
        </is>
      </c>
      <c r="C362" t="inlineStr">
        <is>
          <t>사립(법인)</t>
        </is>
      </c>
      <c r="D362" t="inlineStr">
        <is>
          <t>해운대구</t>
        </is>
      </c>
      <c r="E362" t="inlineStr">
        <is>
          <t>부산광역시 해운대구 선수촌로 95</t>
        </is>
      </c>
      <c r="F362" s="11" t="inlineStr">
        <is>
          <t>http://school.busanedu.net/wooju-k/main.do</t>
        </is>
      </c>
      <c r="G362" t="inlineStr">
        <is>
          <t>051-526-1113</t>
        </is>
      </c>
      <c r="H362" s="15" t="n">
        <v>148</v>
      </c>
      <c r="I362" s="15" t="n">
        <v>0</v>
      </c>
      <c r="J362" s="15" t="n">
        <v>48</v>
      </c>
      <c r="K362" s="15" t="n">
        <v>52</v>
      </c>
      <c r="L362" s="15" t="n">
        <v>48</v>
      </c>
      <c r="M362" s="15" t="n">
        <v>0</v>
      </c>
      <c r="N362" s="14">
        <f>IF(COUNT(I362:M362)=0,"",SUM(I362:M362))</f>
        <v/>
      </c>
      <c r="O362" t="inlineStr"/>
    </row>
    <row r="363">
      <c r="A363" t="inlineStr">
        <is>
          <t>송수초등학교병설유치원</t>
        </is>
      </c>
      <c r="B363" t="inlineStr">
        <is>
          <t>유치원</t>
        </is>
      </c>
      <c r="C363" t="inlineStr">
        <is>
          <t>공립(병설)</t>
        </is>
      </c>
      <c r="D363" t="inlineStr">
        <is>
          <t>해운대구</t>
        </is>
      </c>
      <c r="E363" t="inlineStr">
        <is>
          <t>부산광역시 해운대구 해운대로76번길 35</t>
        </is>
      </c>
      <c r="F363" s="11" t="inlineStr">
        <is>
          <t>http://school.busanedu.net/songsu-k/main.do</t>
        </is>
      </c>
      <c r="G363" t="inlineStr">
        <is>
          <t>051-780-2797</t>
        </is>
      </c>
      <c r="H363" s="15" t="n">
        <v>73</v>
      </c>
      <c r="I363" s="15" t="n">
        <v>14</v>
      </c>
      <c r="J363" s="15" t="n">
        <v>19</v>
      </c>
      <c r="K363" s="15" t="n">
        <v>23</v>
      </c>
      <c r="L363" s="15" t="n">
        <v>0</v>
      </c>
      <c r="M363" s="15" t="n">
        <v>0</v>
      </c>
      <c r="N363" s="14">
        <f>IF(COUNT(I363:M363)=0,"",SUM(I363:M363))</f>
        <v/>
      </c>
      <c r="O363" t="inlineStr"/>
    </row>
    <row r="364">
      <c r="A364" t="inlineStr">
        <is>
          <t>아이윌유치원</t>
        </is>
      </c>
      <c r="B364" t="inlineStr">
        <is>
          <t>유치원</t>
        </is>
      </c>
      <c r="C364" t="inlineStr">
        <is>
          <t>사립(사인)</t>
        </is>
      </c>
      <c r="D364" t="inlineStr">
        <is>
          <t>해운대구</t>
        </is>
      </c>
      <c r="E364" t="inlineStr">
        <is>
          <t>부산광역시 해운대구 송정중앙로15번길 107</t>
        </is>
      </c>
      <c r="F364" s="11" t="inlineStr">
        <is>
          <t>http://school.busanedu.net/iwill-k/main.do</t>
        </is>
      </c>
      <c r="G364" t="inlineStr">
        <is>
          <t>051-703-7594</t>
        </is>
      </c>
      <c r="H364" s="15" t="n">
        <v>142</v>
      </c>
      <c r="I364" s="15" t="n">
        <v>0</v>
      </c>
      <c r="J364" s="15" t="n">
        <v>46</v>
      </c>
      <c r="K364" s="15" t="n">
        <v>32</v>
      </c>
      <c r="L364" s="15" t="n">
        <v>55</v>
      </c>
      <c r="M364" s="15" t="n">
        <v>0</v>
      </c>
      <c r="N364" s="14">
        <f>IF(COUNT(I364:M364)=0,"",SUM(I364:M364))</f>
        <v/>
      </c>
      <c r="O364" t="inlineStr"/>
    </row>
    <row r="365">
      <c r="A365" t="inlineStr">
        <is>
          <t>양운초등학교병설유치원</t>
        </is>
      </c>
      <c r="B365" t="inlineStr">
        <is>
          <t>유치원</t>
        </is>
      </c>
      <c r="C365" t="inlineStr">
        <is>
          <t>공립(병설)</t>
        </is>
      </c>
      <c r="D365" t="inlineStr">
        <is>
          <t>해운대구</t>
        </is>
      </c>
      <c r="E365" t="inlineStr">
        <is>
          <t>부산광역시 해운대구 대천로67번길 36</t>
        </is>
      </c>
      <c r="F365" s="11" t="inlineStr">
        <is>
          <t>http://school.busanedu.net/yangun-k</t>
        </is>
      </c>
      <c r="G365" t="inlineStr">
        <is>
          <t>051-709-6882</t>
        </is>
      </c>
      <c r="H365" s="15" t="n">
        <v>53</v>
      </c>
      <c r="I365" s="15" t="n">
        <v>8</v>
      </c>
      <c r="J365" s="15" t="n">
        <v>12</v>
      </c>
      <c r="K365" s="15" t="n">
        <v>11</v>
      </c>
      <c r="L365" s="15" t="n">
        <v>0</v>
      </c>
      <c r="M365" s="15" t="n">
        <v>3</v>
      </c>
      <c r="N365" s="14">
        <f>IF(COUNT(I365:M365)=0,"",SUM(I365:M365))</f>
        <v/>
      </c>
      <c r="O365" t="inlineStr"/>
    </row>
    <row r="366">
      <c r="A366" t="inlineStr">
        <is>
          <t>여명유치원</t>
        </is>
      </c>
      <c r="B366" t="inlineStr">
        <is>
          <t>유치원</t>
        </is>
      </c>
      <c r="C366" t="inlineStr">
        <is>
          <t>사립(법인)</t>
        </is>
      </c>
      <c r="D366" t="inlineStr">
        <is>
          <t>해운대구</t>
        </is>
      </c>
      <c r="E366" t="inlineStr">
        <is>
          <t>부산광역시 해운대구 재반로118번길 92</t>
        </is>
      </c>
      <c r="F366" s="11" t="inlineStr">
        <is>
          <t>http://school.busanedu.net/ymk-k</t>
        </is>
      </c>
      <c r="G366" t="inlineStr">
        <is>
          <t>051-781-3813</t>
        </is>
      </c>
      <c r="N366" s="14">
        <f>IF(COUNT(I366:M366)=0,"",SUM(I366:M366))</f>
        <v/>
      </c>
      <c r="O366" t="inlineStr">
        <is>
          <t>연령별 현원 미공시(휴원·신설 등)</t>
        </is>
      </c>
    </row>
    <row r="367">
      <c r="A367" t="inlineStr">
        <is>
          <t>왕자와공주유치원</t>
        </is>
      </c>
      <c r="B367" t="inlineStr">
        <is>
          <t>유치원</t>
        </is>
      </c>
      <c r="C367" t="inlineStr">
        <is>
          <t>사립(사인)</t>
        </is>
      </c>
      <c r="D367" t="inlineStr">
        <is>
          <t>해운대구</t>
        </is>
      </c>
      <c r="E367" t="inlineStr">
        <is>
          <t>부산광역시 해운대구 좌동순환로299번길 11</t>
        </is>
      </c>
      <c r="F367" s="11" t="inlineStr">
        <is>
          <t>http://school.busanedu.net/ppschool-k/main.do</t>
        </is>
      </c>
      <c r="G367" t="inlineStr">
        <is>
          <t>051-701-8178</t>
        </is>
      </c>
      <c r="H367" s="15" t="n">
        <v>195</v>
      </c>
      <c r="I367" s="15" t="n">
        <v>32</v>
      </c>
      <c r="J367" s="15" t="n">
        <v>44</v>
      </c>
      <c r="K367" s="15" t="n">
        <v>34</v>
      </c>
      <c r="L367" s="15" t="n">
        <v>0</v>
      </c>
      <c r="M367" s="15" t="n">
        <v>0</v>
      </c>
      <c r="N367" s="14">
        <f>IF(COUNT(I367:M367)=0,"",SUM(I367:M367))</f>
        <v/>
      </c>
      <c r="O367" t="inlineStr"/>
    </row>
    <row r="368">
      <c r="A368" t="inlineStr">
        <is>
          <t>운봉초등학교병설유치원</t>
        </is>
      </c>
      <c r="B368" t="inlineStr">
        <is>
          <t>유치원</t>
        </is>
      </c>
      <c r="C368" t="inlineStr">
        <is>
          <t>공립(병설)</t>
        </is>
      </c>
      <c r="D368" t="inlineStr">
        <is>
          <t>해운대구</t>
        </is>
      </c>
      <c r="E368" t="inlineStr">
        <is>
          <t>부산광역시 해운대구 신반송로 11-20</t>
        </is>
      </c>
      <c r="F368" s="11" t="inlineStr">
        <is>
          <t>http://school.busanedu.net/unbong-k/main.do</t>
        </is>
      </c>
      <c r="G368" t="inlineStr">
        <is>
          <t>051-545-8273</t>
        </is>
      </c>
      <c r="H368" s="15" t="n">
        <v>37</v>
      </c>
      <c r="I368" s="15" t="n">
        <v>0</v>
      </c>
      <c r="J368" s="15" t="n">
        <v>0</v>
      </c>
      <c r="K368" s="15" t="n">
        <v>12</v>
      </c>
      <c r="L368" s="15" t="n">
        <v>5</v>
      </c>
      <c r="M368" s="15" t="n">
        <v>0</v>
      </c>
      <c r="N368" s="14">
        <f>IF(COUNT(I368:M368)=0,"",SUM(I368:M368))</f>
        <v/>
      </c>
      <c r="O368" t="inlineStr"/>
    </row>
    <row r="369">
      <c r="A369" t="inlineStr">
        <is>
          <t>은혜유치원</t>
        </is>
      </c>
      <c r="B369" t="inlineStr">
        <is>
          <t>유치원</t>
        </is>
      </c>
      <c r="C369" t="inlineStr">
        <is>
          <t>사립(사인)</t>
        </is>
      </c>
      <c r="D369" t="inlineStr">
        <is>
          <t>해운대구</t>
        </is>
      </c>
      <c r="E369" t="inlineStr">
        <is>
          <t>부산광역시 해운대구 선수촌로21번길 35</t>
        </is>
      </c>
      <c r="F369" t="inlineStr"/>
      <c r="G369" t="inlineStr">
        <is>
          <t>051-521-2323</t>
        </is>
      </c>
      <c r="H369" s="15" t="n">
        <v>252</v>
      </c>
      <c r="I369" s="15" t="n">
        <v>0</v>
      </c>
      <c r="J369" s="15" t="n">
        <v>0</v>
      </c>
      <c r="K369" s="15" t="n">
        <v>0</v>
      </c>
      <c r="L369" s="15" t="n">
        <v>213</v>
      </c>
      <c r="M369" s="15" t="n">
        <v>0</v>
      </c>
      <c r="N369" s="14">
        <f>IF(COUNT(I369:M369)=0,"",SUM(I369:M369))</f>
        <v/>
      </c>
      <c r="O369" t="inlineStr"/>
    </row>
    <row r="370">
      <c r="A370" t="inlineStr">
        <is>
          <t>인천유치원</t>
        </is>
      </c>
      <c r="B370" t="inlineStr">
        <is>
          <t>유치원</t>
        </is>
      </c>
      <c r="C370" t="inlineStr">
        <is>
          <t>사립(법인)</t>
        </is>
      </c>
      <c r="D370" t="inlineStr">
        <is>
          <t>해운대구</t>
        </is>
      </c>
      <c r="E370" t="inlineStr">
        <is>
          <t>부산광역시 해운대구 재반로12번길 16</t>
        </is>
      </c>
      <c r="F370" s="11" t="inlineStr">
        <is>
          <t>http://school.busanedu.net/h-inchon-k/main.do</t>
        </is>
      </c>
      <c r="G370" t="inlineStr">
        <is>
          <t>051-784-7428</t>
        </is>
      </c>
      <c r="H370" s="15" t="n">
        <v>170</v>
      </c>
      <c r="I370" s="15" t="n">
        <v>0</v>
      </c>
      <c r="J370" s="15" t="n">
        <v>26</v>
      </c>
      <c r="K370" s="15" t="n">
        <v>50</v>
      </c>
      <c r="L370" s="15" t="n">
        <v>25</v>
      </c>
      <c r="M370" s="15" t="n">
        <v>0</v>
      </c>
      <c r="N370" s="14">
        <f>IF(COUNT(I370:M370)=0,"",SUM(I370:M370))</f>
        <v/>
      </c>
      <c r="O370" t="inlineStr"/>
    </row>
    <row r="371">
      <c r="A371" t="inlineStr">
        <is>
          <t>재송유치원</t>
        </is>
      </c>
      <c r="B371" t="inlineStr">
        <is>
          <t>유치원</t>
        </is>
      </c>
      <c r="C371" t="inlineStr">
        <is>
          <t>사립(사인)</t>
        </is>
      </c>
      <c r="D371" t="inlineStr">
        <is>
          <t>해운대구</t>
        </is>
      </c>
      <c r="E371" t="inlineStr">
        <is>
          <t>부산광역시 해운대구 재반로50번길 22</t>
        </is>
      </c>
      <c r="F371" s="11" t="inlineStr">
        <is>
          <t>http://school.busanedu.net/jaesong-k/main.do</t>
        </is>
      </c>
      <c r="G371" t="inlineStr">
        <is>
          <t>051-783-7600</t>
        </is>
      </c>
      <c r="H371" s="15" t="n">
        <v>127</v>
      </c>
      <c r="I371" s="15" t="n">
        <v>25</v>
      </c>
      <c r="J371" s="15" t="n">
        <v>28</v>
      </c>
      <c r="K371" s="15" t="n">
        <v>27</v>
      </c>
      <c r="L371" s="15" t="n">
        <v>0</v>
      </c>
      <c r="M371" s="15" t="n">
        <v>0</v>
      </c>
      <c r="N371" s="14">
        <f>IF(COUNT(I371:M371)=0,"",SUM(I371:M371))</f>
        <v/>
      </c>
      <c r="O371" t="inlineStr"/>
    </row>
    <row r="372">
      <c r="A372" t="inlineStr">
        <is>
          <t>좌동초등학교병설유치원</t>
        </is>
      </c>
      <c r="B372" t="inlineStr">
        <is>
          <t>유치원</t>
        </is>
      </c>
      <c r="C372" t="inlineStr">
        <is>
          <t>공립(병설)</t>
        </is>
      </c>
      <c r="D372" t="inlineStr">
        <is>
          <t>해운대구</t>
        </is>
      </c>
      <c r="E372" t="inlineStr">
        <is>
          <t>부산광역시 해운대구 세실로 127</t>
        </is>
      </c>
      <c r="F372" s="11" t="inlineStr">
        <is>
          <t>http://school.busanedu.net/jwadong-k/main.do</t>
        </is>
      </c>
      <c r="G372" t="inlineStr">
        <is>
          <t>051-709-0885</t>
        </is>
      </c>
      <c r="H372" s="15" t="n">
        <v>53</v>
      </c>
      <c r="I372" s="15" t="n">
        <v>7</v>
      </c>
      <c r="J372" s="15" t="n">
        <v>10</v>
      </c>
      <c r="K372" s="15" t="n">
        <v>19</v>
      </c>
      <c r="L372" s="15" t="n">
        <v>0</v>
      </c>
      <c r="M372" s="15" t="n">
        <v>0</v>
      </c>
      <c r="N372" s="14">
        <f>IF(COUNT(I372:M372)=0,"",SUM(I372:M372))</f>
        <v/>
      </c>
      <c r="O372" t="inlineStr"/>
    </row>
    <row r="373">
      <c r="A373" t="inlineStr">
        <is>
          <t>중일유치원</t>
        </is>
      </c>
      <c r="B373" t="inlineStr">
        <is>
          <t>유치원</t>
        </is>
      </c>
      <c r="C373" t="inlineStr">
        <is>
          <t>사립(사인)</t>
        </is>
      </c>
      <c r="D373" t="inlineStr">
        <is>
          <t>해운대구</t>
        </is>
      </c>
      <c r="E373" t="inlineStr">
        <is>
          <t>부산광역시 해운대구 좌동순환로468번길 29</t>
        </is>
      </c>
      <c r="F373" s="11" t="inlineStr">
        <is>
          <t>http://school.busanedu.net/joongil-k</t>
        </is>
      </c>
      <c r="G373" t="inlineStr">
        <is>
          <t>051-747-8900</t>
        </is>
      </c>
      <c r="H373" s="15" t="n">
        <v>168</v>
      </c>
      <c r="I373" s="15" t="n">
        <v>0</v>
      </c>
      <c r="J373" s="15" t="n">
        <v>46</v>
      </c>
      <c r="K373" s="15" t="n">
        <v>52</v>
      </c>
      <c r="L373" s="15" t="n">
        <v>44</v>
      </c>
      <c r="M373" s="15" t="n">
        <v>0</v>
      </c>
      <c r="N373" s="14">
        <f>IF(COUNT(I373:M373)=0,"",SUM(I373:M373))</f>
        <v/>
      </c>
      <c r="O373" t="inlineStr"/>
    </row>
    <row r="374">
      <c r="A374" t="inlineStr">
        <is>
          <t>파랑새유치원</t>
        </is>
      </c>
      <c r="B374" t="inlineStr">
        <is>
          <t>유치원</t>
        </is>
      </c>
      <c r="C374" t="inlineStr">
        <is>
          <t>사립(사인)</t>
        </is>
      </c>
      <c r="D374" t="inlineStr">
        <is>
          <t>해운대구</t>
        </is>
      </c>
      <c r="E374" t="inlineStr">
        <is>
          <t>부산광역시 해운대구 신반송로 21</t>
        </is>
      </c>
      <c r="F374" t="inlineStr"/>
      <c r="G374" t="inlineStr">
        <is>
          <t>051-543-0066</t>
        </is>
      </c>
      <c r="N374" s="14">
        <f>IF(COUNT(I374:M374)=0,"",SUM(I374:M374))</f>
        <v/>
      </c>
      <c r="O374" t="inlineStr">
        <is>
          <t>연령별 현원 미공시(휴원·신설 등)</t>
        </is>
      </c>
    </row>
    <row r="375">
      <c r="A375" t="inlineStr">
        <is>
          <t>푸른유치원</t>
        </is>
      </c>
      <c r="B375" t="inlineStr">
        <is>
          <t>유치원</t>
        </is>
      </c>
      <c r="C375" t="inlineStr">
        <is>
          <t>사립(사인)</t>
        </is>
      </c>
      <c r="D375" t="inlineStr">
        <is>
          <t>해운대구</t>
        </is>
      </c>
      <c r="E375" t="inlineStr">
        <is>
          <t>부산광역시 해운대구 세실로 19</t>
        </is>
      </c>
      <c r="F375" t="inlineStr"/>
      <c r="G375" t="inlineStr">
        <is>
          <t>051-701-2070</t>
        </is>
      </c>
      <c r="H375" s="15" t="n">
        <v>174</v>
      </c>
      <c r="I375" s="15" t="n">
        <v>40</v>
      </c>
      <c r="J375" s="15" t="n">
        <v>23</v>
      </c>
      <c r="K375" s="15" t="n">
        <v>21</v>
      </c>
      <c r="L375" s="15" t="n">
        <v>46</v>
      </c>
      <c r="M375" s="15" t="n">
        <v>0</v>
      </c>
      <c r="N375" s="14">
        <f>IF(COUNT(I375:M375)=0,"",SUM(I375:M375))</f>
        <v/>
      </c>
      <c r="O375" t="inlineStr"/>
    </row>
    <row r="376">
      <c r="A376" t="inlineStr">
        <is>
          <t>풀꽃유치원</t>
        </is>
      </c>
      <c r="B376" t="inlineStr">
        <is>
          <t>유치원</t>
        </is>
      </c>
      <c r="C376" t="inlineStr">
        <is>
          <t>사립(사인)</t>
        </is>
      </c>
      <c r="D376" t="inlineStr">
        <is>
          <t>해운대구</t>
        </is>
      </c>
      <c r="E376" t="inlineStr">
        <is>
          <t>부산광역시 해운대구 선수촌로 122</t>
        </is>
      </c>
      <c r="F376" s="11" t="inlineStr">
        <is>
          <t>https://cafe.daum.net/vnfRhcdbcldnjs</t>
        </is>
      </c>
      <c r="G376" t="inlineStr">
        <is>
          <t>051-525-1121</t>
        </is>
      </c>
      <c r="H376" s="15" t="n">
        <v>193</v>
      </c>
      <c r="I376" s="15" t="n">
        <v>32</v>
      </c>
      <c r="J376" s="15" t="n">
        <v>48</v>
      </c>
      <c r="K376" s="15" t="n">
        <v>69</v>
      </c>
      <c r="L376" s="15" t="n">
        <v>0</v>
      </c>
      <c r="M376" s="15" t="n">
        <v>0</v>
      </c>
      <c r="N376" s="14">
        <f>IF(COUNT(I376:M376)=0,"",SUM(I376:M376))</f>
        <v/>
      </c>
      <c r="O376" t="inlineStr"/>
    </row>
    <row r="377">
      <c r="A377" t="inlineStr">
        <is>
          <t>해강유치원</t>
        </is>
      </c>
      <c r="B377" t="inlineStr">
        <is>
          <t>유치원</t>
        </is>
      </c>
      <c r="C377" t="inlineStr">
        <is>
          <t>사립(사인)</t>
        </is>
      </c>
      <c r="D377" t="inlineStr">
        <is>
          <t>해운대구</t>
        </is>
      </c>
      <c r="E377" t="inlineStr">
        <is>
          <t>부산광역시 해운대구 해운대해변로 87</t>
        </is>
      </c>
      <c r="F377" t="inlineStr"/>
      <c r="G377" t="inlineStr">
        <is>
          <t>051-741-9122</t>
        </is>
      </c>
      <c r="H377" s="15" t="n">
        <v>196</v>
      </c>
      <c r="I377" s="15" t="n">
        <v>32</v>
      </c>
      <c r="J377" s="15" t="n">
        <v>48</v>
      </c>
      <c r="K377" s="15" t="n">
        <v>78</v>
      </c>
      <c r="L377" s="15" t="n">
        <v>0</v>
      </c>
      <c r="M377" s="15" t="n">
        <v>0</v>
      </c>
      <c r="N377" s="14">
        <f>IF(COUNT(I377:M377)=0,"",SUM(I377:M377))</f>
        <v/>
      </c>
      <c r="O377" t="inlineStr"/>
    </row>
    <row r="378">
      <c r="A378" t="inlineStr">
        <is>
          <t>해뜨는유치원</t>
        </is>
      </c>
      <c r="B378" t="inlineStr">
        <is>
          <t>유치원</t>
        </is>
      </c>
      <c r="C378" t="inlineStr">
        <is>
          <t>사립(사인)</t>
        </is>
      </c>
      <c r="D378" t="inlineStr">
        <is>
          <t>해운대구</t>
        </is>
      </c>
      <c r="E378" t="inlineStr">
        <is>
          <t>부산광역시 해운대구 청사포로 27</t>
        </is>
      </c>
      <c r="F378" s="11" t="inlineStr">
        <is>
          <t>http://lucky.kidspann.net</t>
        </is>
      </c>
      <c r="G378" t="inlineStr">
        <is>
          <t>051-701-8093</t>
        </is>
      </c>
      <c r="H378" s="15" t="n">
        <v>168</v>
      </c>
      <c r="I378" s="15" t="n">
        <v>24</v>
      </c>
      <c r="J378" s="15" t="n">
        <v>16</v>
      </c>
      <c r="K378" s="15" t="n">
        <v>29</v>
      </c>
      <c r="L378" s="15" t="n">
        <v>0</v>
      </c>
      <c r="M378" s="15" t="n">
        <v>0</v>
      </c>
      <c r="N378" s="14">
        <f>IF(COUNT(I378:M378)=0,"",SUM(I378:M378))</f>
        <v/>
      </c>
      <c r="O378" t="inlineStr"/>
    </row>
    <row r="379">
      <c r="A379" t="inlineStr">
        <is>
          <t>해성유치원</t>
        </is>
      </c>
      <c r="B379" t="inlineStr">
        <is>
          <t>유치원</t>
        </is>
      </c>
      <c r="C379" t="inlineStr">
        <is>
          <t>사립(법인)</t>
        </is>
      </c>
      <c r="D379" t="inlineStr">
        <is>
          <t>해운대구</t>
        </is>
      </c>
      <c r="E379" t="inlineStr">
        <is>
          <t>부산광역시 해운대구 중동2로 20-3</t>
        </is>
      </c>
      <c r="F379" s="11" t="inlineStr">
        <is>
          <t>https://school.busanedu.net/haesungkids-k</t>
        </is>
      </c>
      <c r="G379" t="inlineStr">
        <is>
          <t>051-746-5885</t>
        </is>
      </c>
      <c r="H379" s="15" t="n">
        <v>220</v>
      </c>
      <c r="I379" s="15" t="n">
        <v>48</v>
      </c>
      <c r="J379" s="15" t="n">
        <v>41</v>
      </c>
      <c r="K379" s="15" t="n">
        <v>52</v>
      </c>
      <c r="L379" s="15" t="n">
        <v>0</v>
      </c>
      <c r="M379" s="15" t="n">
        <v>0</v>
      </c>
      <c r="N379" s="14">
        <f>IF(COUNT(I379:M379)=0,"",SUM(I379:M379))</f>
        <v/>
      </c>
      <c r="O379" t="inlineStr"/>
    </row>
    <row r="380">
      <c r="A380" t="inlineStr">
        <is>
          <t>해운대자연유치원</t>
        </is>
      </c>
      <c r="B380" t="inlineStr">
        <is>
          <t>유치원</t>
        </is>
      </c>
      <c r="C380" t="inlineStr">
        <is>
          <t>사립(사인)</t>
        </is>
      </c>
      <c r="D380" t="inlineStr">
        <is>
          <t>해운대구</t>
        </is>
      </c>
      <c r="E380" t="inlineStr">
        <is>
          <t>부산광역시 해운대구 대천로103번길 61</t>
        </is>
      </c>
      <c r="F380" t="inlineStr"/>
      <c r="G380" t="inlineStr">
        <is>
          <t>051-636-6677</t>
        </is>
      </c>
      <c r="H380" s="15" t="n">
        <v>308</v>
      </c>
      <c r="I380" s="15" t="n">
        <v>32</v>
      </c>
      <c r="J380" s="15" t="n">
        <v>66</v>
      </c>
      <c r="K380" s="15" t="n">
        <v>75</v>
      </c>
      <c r="L380" s="15" t="n">
        <v>38</v>
      </c>
      <c r="M380" s="15" t="n">
        <v>0</v>
      </c>
      <c r="N380" s="14">
        <f>IF(COUNT(I380:M380)=0,"",SUM(I380:M380))</f>
        <v/>
      </c>
      <c r="O380" t="inlineStr"/>
    </row>
  </sheetData>
  <autoFilter ref="A1:O380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5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6" r:id="rId29"/>
    <hyperlink xmlns:r="http://schemas.openxmlformats.org/officeDocument/2006/relationships" ref="F37" r:id="rId30"/>
    <hyperlink xmlns:r="http://schemas.openxmlformats.org/officeDocument/2006/relationships" ref="F38" r:id="rId31"/>
    <hyperlink xmlns:r="http://schemas.openxmlformats.org/officeDocument/2006/relationships" ref="F40" r:id="rId32"/>
    <hyperlink xmlns:r="http://schemas.openxmlformats.org/officeDocument/2006/relationships" ref="F41" r:id="rId33"/>
    <hyperlink xmlns:r="http://schemas.openxmlformats.org/officeDocument/2006/relationships" ref="F42" r:id="rId34"/>
    <hyperlink xmlns:r="http://schemas.openxmlformats.org/officeDocument/2006/relationships" ref="F43" r:id="rId35"/>
    <hyperlink xmlns:r="http://schemas.openxmlformats.org/officeDocument/2006/relationships" ref="F44" r:id="rId36"/>
    <hyperlink xmlns:r="http://schemas.openxmlformats.org/officeDocument/2006/relationships" ref="F47" r:id="rId37"/>
    <hyperlink xmlns:r="http://schemas.openxmlformats.org/officeDocument/2006/relationships" ref="F48" r:id="rId38"/>
    <hyperlink xmlns:r="http://schemas.openxmlformats.org/officeDocument/2006/relationships" ref="F49" r:id="rId39"/>
    <hyperlink xmlns:r="http://schemas.openxmlformats.org/officeDocument/2006/relationships" ref="F50" r:id="rId40"/>
    <hyperlink xmlns:r="http://schemas.openxmlformats.org/officeDocument/2006/relationships" ref="F52" r:id="rId41"/>
    <hyperlink xmlns:r="http://schemas.openxmlformats.org/officeDocument/2006/relationships" ref="F53" r:id="rId42"/>
    <hyperlink xmlns:r="http://schemas.openxmlformats.org/officeDocument/2006/relationships" ref="F54" r:id="rId43"/>
    <hyperlink xmlns:r="http://schemas.openxmlformats.org/officeDocument/2006/relationships" ref="F56" r:id="rId44"/>
    <hyperlink xmlns:r="http://schemas.openxmlformats.org/officeDocument/2006/relationships" ref="F57" r:id="rId45"/>
    <hyperlink xmlns:r="http://schemas.openxmlformats.org/officeDocument/2006/relationships" ref="F59" r:id="rId46"/>
    <hyperlink xmlns:r="http://schemas.openxmlformats.org/officeDocument/2006/relationships" ref="F61" r:id="rId47"/>
    <hyperlink xmlns:r="http://schemas.openxmlformats.org/officeDocument/2006/relationships" ref="F62" r:id="rId48"/>
    <hyperlink xmlns:r="http://schemas.openxmlformats.org/officeDocument/2006/relationships" ref="F63" r:id="rId49"/>
    <hyperlink xmlns:r="http://schemas.openxmlformats.org/officeDocument/2006/relationships" ref="F64" r:id="rId50"/>
    <hyperlink xmlns:r="http://schemas.openxmlformats.org/officeDocument/2006/relationships" ref="F66" r:id="rId51"/>
    <hyperlink xmlns:r="http://schemas.openxmlformats.org/officeDocument/2006/relationships" ref="F68" r:id="rId52"/>
    <hyperlink xmlns:r="http://schemas.openxmlformats.org/officeDocument/2006/relationships" ref="F69" r:id="rId53"/>
    <hyperlink xmlns:r="http://schemas.openxmlformats.org/officeDocument/2006/relationships" ref="F70" r:id="rId54"/>
    <hyperlink xmlns:r="http://schemas.openxmlformats.org/officeDocument/2006/relationships" ref="F71" r:id="rId55"/>
    <hyperlink xmlns:r="http://schemas.openxmlformats.org/officeDocument/2006/relationships" ref="F72" r:id="rId56"/>
    <hyperlink xmlns:r="http://schemas.openxmlformats.org/officeDocument/2006/relationships" ref="F73" r:id="rId57"/>
    <hyperlink xmlns:r="http://schemas.openxmlformats.org/officeDocument/2006/relationships" ref="F74" r:id="rId58"/>
    <hyperlink xmlns:r="http://schemas.openxmlformats.org/officeDocument/2006/relationships" ref="F77" r:id="rId59"/>
    <hyperlink xmlns:r="http://schemas.openxmlformats.org/officeDocument/2006/relationships" ref="F78" r:id="rId60"/>
    <hyperlink xmlns:r="http://schemas.openxmlformats.org/officeDocument/2006/relationships" ref="F79" r:id="rId61"/>
    <hyperlink xmlns:r="http://schemas.openxmlformats.org/officeDocument/2006/relationships" ref="F80" r:id="rId62"/>
    <hyperlink xmlns:r="http://schemas.openxmlformats.org/officeDocument/2006/relationships" ref="F83" r:id="rId63"/>
    <hyperlink xmlns:r="http://schemas.openxmlformats.org/officeDocument/2006/relationships" ref="F92" r:id="rId64"/>
    <hyperlink xmlns:r="http://schemas.openxmlformats.org/officeDocument/2006/relationships" ref="F94" r:id="rId65"/>
    <hyperlink xmlns:r="http://schemas.openxmlformats.org/officeDocument/2006/relationships" ref="F95" r:id="rId66"/>
    <hyperlink xmlns:r="http://schemas.openxmlformats.org/officeDocument/2006/relationships" ref="F98" r:id="rId67"/>
    <hyperlink xmlns:r="http://schemas.openxmlformats.org/officeDocument/2006/relationships" ref="F99" r:id="rId68"/>
    <hyperlink xmlns:r="http://schemas.openxmlformats.org/officeDocument/2006/relationships" ref="F100" r:id="rId69"/>
    <hyperlink xmlns:r="http://schemas.openxmlformats.org/officeDocument/2006/relationships" ref="F101" r:id="rId70"/>
    <hyperlink xmlns:r="http://schemas.openxmlformats.org/officeDocument/2006/relationships" ref="F102" r:id="rId71"/>
    <hyperlink xmlns:r="http://schemas.openxmlformats.org/officeDocument/2006/relationships" ref="F103" r:id="rId72"/>
    <hyperlink xmlns:r="http://schemas.openxmlformats.org/officeDocument/2006/relationships" ref="F104" r:id="rId73"/>
    <hyperlink xmlns:r="http://schemas.openxmlformats.org/officeDocument/2006/relationships" ref="F105" r:id="rId74"/>
    <hyperlink xmlns:r="http://schemas.openxmlformats.org/officeDocument/2006/relationships" ref="F107" r:id="rId75"/>
    <hyperlink xmlns:r="http://schemas.openxmlformats.org/officeDocument/2006/relationships" ref="F108" r:id="rId76"/>
    <hyperlink xmlns:r="http://schemas.openxmlformats.org/officeDocument/2006/relationships" ref="F110" r:id="rId77"/>
    <hyperlink xmlns:r="http://schemas.openxmlformats.org/officeDocument/2006/relationships" ref="F111" r:id="rId78"/>
    <hyperlink xmlns:r="http://schemas.openxmlformats.org/officeDocument/2006/relationships" ref="F112" r:id="rId79"/>
    <hyperlink xmlns:r="http://schemas.openxmlformats.org/officeDocument/2006/relationships" ref="F114" r:id="rId80"/>
    <hyperlink xmlns:r="http://schemas.openxmlformats.org/officeDocument/2006/relationships" ref="F115" r:id="rId81"/>
    <hyperlink xmlns:r="http://schemas.openxmlformats.org/officeDocument/2006/relationships" ref="F116" r:id="rId82"/>
    <hyperlink xmlns:r="http://schemas.openxmlformats.org/officeDocument/2006/relationships" ref="F117" r:id="rId83"/>
    <hyperlink xmlns:r="http://schemas.openxmlformats.org/officeDocument/2006/relationships" ref="F119" r:id="rId84"/>
    <hyperlink xmlns:r="http://schemas.openxmlformats.org/officeDocument/2006/relationships" ref="F122" r:id="rId85"/>
    <hyperlink xmlns:r="http://schemas.openxmlformats.org/officeDocument/2006/relationships" ref="F123" r:id="rId86"/>
    <hyperlink xmlns:r="http://schemas.openxmlformats.org/officeDocument/2006/relationships" ref="F125" r:id="rId87"/>
    <hyperlink xmlns:r="http://schemas.openxmlformats.org/officeDocument/2006/relationships" ref="F126" r:id="rId88"/>
    <hyperlink xmlns:r="http://schemas.openxmlformats.org/officeDocument/2006/relationships" ref="F127" r:id="rId89"/>
    <hyperlink xmlns:r="http://schemas.openxmlformats.org/officeDocument/2006/relationships" ref="F131" r:id="rId90"/>
    <hyperlink xmlns:r="http://schemas.openxmlformats.org/officeDocument/2006/relationships" ref="F133" r:id="rId91"/>
    <hyperlink xmlns:r="http://schemas.openxmlformats.org/officeDocument/2006/relationships" ref="F134" r:id="rId92"/>
    <hyperlink xmlns:r="http://schemas.openxmlformats.org/officeDocument/2006/relationships" ref="F136" r:id="rId93"/>
    <hyperlink xmlns:r="http://schemas.openxmlformats.org/officeDocument/2006/relationships" ref="F137" r:id="rId94"/>
    <hyperlink xmlns:r="http://schemas.openxmlformats.org/officeDocument/2006/relationships" ref="F138" r:id="rId95"/>
    <hyperlink xmlns:r="http://schemas.openxmlformats.org/officeDocument/2006/relationships" ref="F140" r:id="rId96"/>
    <hyperlink xmlns:r="http://schemas.openxmlformats.org/officeDocument/2006/relationships" ref="F141" r:id="rId97"/>
    <hyperlink xmlns:r="http://schemas.openxmlformats.org/officeDocument/2006/relationships" ref="F143" r:id="rId98"/>
    <hyperlink xmlns:r="http://schemas.openxmlformats.org/officeDocument/2006/relationships" ref="F144" r:id="rId99"/>
    <hyperlink xmlns:r="http://schemas.openxmlformats.org/officeDocument/2006/relationships" ref="F146" r:id="rId100"/>
    <hyperlink xmlns:r="http://schemas.openxmlformats.org/officeDocument/2006/relationships" ref="F147" r:id="rId101"/>
    <hyperlink xmlns:r="http://schemas.openxmlformats.org/officeDocument/2006/relationships" ref="F148" r:id="rId102"/>
    <hyperlink xmlns:r="http://schemas.openxmlformats.org/officeDocument/2006/relationships" ref="F149" r:id="rId103"/>
    <hyperlink xmlns:r="http://schemas.openxmlformats.org/officeDocument/2006/relationships" ref="F151" r:id="rId104"/>
    <hyperlink xmlns:r="http://schemas.openxmlformats.org/officeDocument/2006/relationships" ref="F155" r:id="rId105"/>
    <hyperlink xmlns:r="http://schemas.openxmlformats.org/officeDocument/2006/relationships" ref="F156" r:id="rId106"/>
    <hyperlink xmlns:r="http://schemas.openxmlformats.org/officeDocument/2006/relationships" ref="F157" r:id="rId107"/>
    <hyperlink xmlns:r="http://schemas.openxmlformats.org/officeDocument/2006/relationships" ref="F161" r:id="rId108"/>
    <hyperlink xmlns:r="http://schemas.openxmlformats.org/officeDocument/2006/relationships" ref="F162" r:id="rId109"/>
    <hyperlink xmlns:r="http://schemas.openxmlformats.org/officeDocument/2006/relationships" ref="F164" r:id="rId110"/>
    <hyperlink xmlns:r="http://schemas.openxmlformats.org/officeDocument/2006/relationships" ref="F168" r:id="rId111"/>
    <hyperlink xmlns:r="http://schemas.openxmlformats.org/officeDocument/2006/relationships" ref="F170" r:id="rId112"/>
    <hyperlink xmlns:r="http://schemas.openxmlformats.org/officeDocument/2006/relationships" ref="F172" r:id="rId113"/>
    <hyperlink xmlns:r="http://schemas.openxmlformats.org/officeDocument/2006/relationships" ref="F173" r:id="rId114"/>
    <hyperlink xmlns:r="http://schemas.openxmlformats.org/officeDocument/2006/relationships" ref="F177" r:id="rId115"/>
    <hyperlink xmlns:r="http://schemas.openxmlformats.org/officeDocument/2006/relationships" ref="F178" r:id="rId116"/>
    <hyperlink xmlns:r="http://schemas.openxmlformats.org/officeDocument/2006/relationships" ref="F183" r:id="rId117"/>
    <hyperlink xmlns:r="http://schemas.openxmlformats.org/officeDocument/2006/relationships" ref="F184" r:id="rId118"/>
    <hyperlink xmlns:r="http://schemas.openxmlformats.org/officeDocument/2006/relationships" ref="F186" r:id="rId119"/>
    <hyperlink xmlns:r="http://schemas.openxmlformats.org/officeDocument/2006/relationships" ref="F187" r:id="rId120"/>
    <hyperlink xmlns:r="http://schemas.openxmlformats.org/officeDocument/2006/relationships" ref="F189" r:id="rId121"/>
    <hyperlink xmlns:r="http://schemas.openxmlformats.org/officeDocument/2006/relationships" ref="F190" r:id="rId122"/>
    <hyperlink xmlns:r="http://schemas.openxmlformats.org/officeDocument/2006/relationships" ref="F194" r:id="rId123"/>
    <hyperlink xmlns:r="http://schemas.openxmlformats.org/officeDocument/2006/relationships" ref="F195" r:id="rId124"/>
    <hyperlink xmlns:r="http://schemas.openxmlformats.org/officeDocument/2006/relationships" ref="F196" r:id="rId125"/>
    <hyperlink xmlns:r="http://schemas.openxmlformats.org/officeDocument/2006/relationships" ref="F197" r:id="rId126"/>
    <hyperlink xmlns:r="http://schemas.openxmlformats.org/officeDocument/2006/relationships" ref="F198" r:id="rId127"/>
    <hyperlink xmlns:r="http://schemas.openxmlformats.org/officeDocument/2006/relationships" ref="F200" r:id="rId128"/>
    <hyperlink xmlns:r="http://schemas.openxmlformats.org/officeDocument/2006/relationships" ref="F201" r:id="rId129"/>
    <hyperlink xmlns:r="http://schemas.openxmlformats.org/officeDocument/2006/relationships" ref="F203" r:id="rId130"/>
    <hyperlink xmlns:r="http://schemas.openxmlformats.org/officeDocument/2006/relationships" ref="F204" r:id="rId131"/>
    <hyperlink xmlns:r="http://schemas.openxmlformats.org/officeDocument/2006/relationships" ref="F209" r:id="rId132"/>
    <hyperlink xmlns:r="http://schemas.openxmlformats.org/officeDocument/2006/relationships" ref="F210" r:id="rId133"/>
    <hyperlink xmlns:r="http://schemas.openxmlformats.org/officeDocument/2006/relationships" ref="F211" r:id="rId134"/>
    <hyperlink xmlns:r="http://schemas.openxmlformats.org/officeDocument/2006/relationships" ref="F212" r:id="rId135"/>
    <hyperlink xmlns:r="http://schemas.openxmlformats.org/officeDocument/2006/relationships" ref="F213" r:id="rId136"/>
    <hyperlink xmlns:r="http://schemas.openxmlformats.org/officeDocument/2006/relationships" ref="F214" r:id="rId137"/>
    <hyperlink xmlns:r="http://schemas.openxmlformats.org/officeDocument/2006/relationships" ref="F215" r:id="rId138"/>
    <hyperlink xmlns:r="http://schemas.openxmlformats.org/officeDocument/2006/relationships" ref="F216" r:id="rId139"/>
    <hyperlink xmlns:r="http://schemas.openxmlformats.org/officeDocument/2006/relationships" ref="F217" r:id="rId140"/>
    <hyperlink xmlns:r="http://schemas.openxmlformats.org/officeDocument/2006/relationships" ref="F219" r:id="rId141"/>
    <hyperlink xmlns:r="http://schemas.openxmlformats.org/officeDocument/2006/relationships" ref="F221" r:id="rId142"/>
    <hyperlink xmlns:r="http://schemas.openxmlformats.org/officeDocument/2006/relationships" ref="F222" r:id="rId143"/>
    <hyperlink xmlns:r="http://schemas.openxmlformats.org/officeDocument/2006/relationships" ref="F223" r:id="rId144"/>
    <hyperlink xmlns:r="http://schemas.openxmlformats.org/officeDocument/2006/relationships" ref="F225" r:id="rId145"/>
    <hyperlink xmlns:r="http://schemas.openxmlformats.org/officeDocument/2006/relationships" ref="F226" r:id="rId146"/>
    <hyperlink xmlns:r="http://schemas.openxmlformats.org/officeDocument/2006/relationships" ref="F227" r:id="rId147"/>
    <hyperlink xmlns:r="http://schemas.openxmlformats.org/officeDocument/2006/relationships" ref="F228" r:id="rId148"/>
    <hyperlink xmlns:r="http://schemas.openxmlformats.org/officeDocument/2006/relationships" ref="F229" r:id="rId149"/>
    <hyperlink xmlns:r="http://schemas.openxmlformats.org/officeDocument/2006/relationships" ref="F230" r:id="rId150"/>
    <hyperlink xmlns:r="http://schemas.openxmlformats.org/officeDocument/2006/relationships" ref="F232" r:id="rId151"/>
    <hyperlink xmlns:r="http://schemas.openxmlformats.org/officeDocument/2006/relationships" ref="F233" r:id="rId152"/>
    <hyperlink xmlns:r="http://schemas.openxmlformats.org/officeDocument/2006/relationships" ref="F234" r:id="rId153"/>
    <hyperlink xmlns:r="http://schemas.openxmlformats.org/officeDocument/2006/relationships" ref="F235" r:id="rId154"/>
    <hyperlink xmlns:r="http://schemas.openxmlformats.org/officeDocument/2006/relationships" ref="F237" r:id="rId155"/>
    <hyperlink xmlns:r="http://schemas.openxmlformats.org/officeDocument/2006/relationships" ref="F239" r:id="rId156"/>
    <hyperlink xmlns:r="http://schemas.openxmlformats.org/officeDocument/2006/relationships" ref="F240" r:id="rId157"/>
    <hyperlink xmlns:r="http://schemas.openxmlformats.org/officeDocument/2006/relationships" ref="F241" r:id="rId158"/>
    <hyperlink xmlns:r="http://schemas.openxmlformats.org/officeDocument/2006/relationships" ref="F242" r:id="rId159"/>
    <hyperlink xmlns:r="http://schemas.openxmlformats.org/officeDocument/2006/relationships" ref="F243" r:id="rId160"/>
    <hyperlink xmlns:r="http://schemas.openxmlformats.org/officeDocument/2006/relationships" ref="F244" r:id="rId161"/>
    <hyperlink xmlns:r="http://schemas.openxmlformats.org/officeDocument/2006/relationships" ref="F245" r:id="rId162"/>
    <hyperlink xmlns:r="http://schemas.openxmlformats.org/officeDocument/2006/relationships" ref="F247" r:id="rId163"/>
    <hyperlink xmlns:r="http://schemas.openxmlformats.org/officeDocument/2006/relationships" ref="F249" r:id="rId164"/>
    <hyperlink xmlns:r="http://schemas.openxmlformats.org/officeDocument/2006/relationships" ref="F250" r:id="rId165"/>
    <hyperlink xmlns:r="http://schemas.openxmlformats.org/officeDocument/2006/relationships" ref="F252" r:id="rId166"/>
    <hyperlink xmlns:r="http://schemas.openxmlformats.org/officeDocument/2006/relationships" ref="F254" r:id="rId167"/>
    <hyperlink xmlns:r="http://schemas.openxmlformats.org/officeDocument/2006/relationships" ref="F255" r:id="rId168"/>
    <hyperlink xmlns:r="http://schemas.openxmlformats.org/officeDocument/2006/relationships" ref="F256" r:id="rId169"/>
    <hyperlink xmlns:r="http://schemas.openxmlformats.org/officeDocument/2006/relationships" ref="F257" r:id="rId170"/>
    <hyperlink xmlns:r="http://schemas.openxmlformats.org/officeDocument/2006/relationships" ref="F258" r:id="rId171"/>
    <hyperlink xmlns:r="http://schemas.openxmlformats.org/officeDocument/2006/relationships" ref="F260" r:id="rId172"/>
    <hyperlink xmlns:r="http://schemas.openxmlformats.org/officeDocument/2006/relationships" ref="F261" r:id="rId173"/>
    <hyperlink xmlns:r="http://schemas.openxmlformats.org/officeDocument/2006/relationships" ref="F262" r:id="rId174"/>
    <hyperlink xmlns:r="http://schemas.openxmlformats.org/officeDocument/2006/relationships" ref="F268" r:id="rId175"/>
    <hyperlink xmlns:r="http://schemas.openxmlformats.org/officeDocument/2006/relationships" ref="F269" r:id="rId176"/>
    <hyperlink xmlns:r="http://schemas.openxmlformats.org/officeDocument/2006/relationships" ref="F270" r:id="rId177"/>
    <hyperlink xmlns:r="http://schemas.openxmlformats.org/officeDocument/2006/relationships" ref="F272" r:id="rId178"/>
    <hyperlink xmlns:r="http://schemas.openxmlformats.org/officeDocument/2006/relationships" ref="F273" r:id="rId179"/>
    <hyperlink xmlns:r="http://schemas.openxmlformats.org/officeDocument/2006/relationships" ref="F274" r:id="rId180"/>
    <hyperlink xmlns:r="http://schemas.openxmlformats.org/officeDocument/2006/relationships" ref="F275" r:id="rId181"/>
    <hyperlink xmlns:r="http://schemas.openxmlformats.org/officeDocument/2006/relationships" ref="F276" r:id="rId182"/>
    <hyperlink xmlns:r="http://schemas.openxmlformats.org/officeDocument/2006/relationships" ref="F279" r:id="rId183"/>
    <hyperlink xmlns:r="http://schemas.openxmlformats.org/officeDocument/2006/relationships" ref="F280" r:id="rId184"/>
    <hyperlink xmlns:r="http://schemas.openxmlformats.org/officeDocument/2006/relationships" ref="F282" r:id="rId185"/>
    <hyperlink xmlns:r="http://schemas.openxmlformats.org/officeDocument/2006/relationships" ref="F284" r:id="rId186"/>
    <hyperlink xmlns:r="http://schemas.openxmlformats.org/officeDocument/2006/relationships" ref="F285" r:id="rId187"/>
    <hyperlink xmlns:r="http://schemas.openxmlformats.org/officeDocument/2006/relationships" ref="F287" r:id="rId188"/>
    <hyperlink xmlns:r="http://schemas.openxmlformats.org/officeDocument/2006/relationships" ref="F288" r:id="rId189"/>
    <hyperlink xmlns:r="http://schemas.openxmlformats.org/officeDocument/2006/relationships" ref="F289" r:id="rId190"/>
    <hyperlink xmlns:r="http://schemas.openxmlformats.org/officeDocument/2006/relationships" ref="F291" r:id="rId191"/>
    <hyperlink xmlns:r="http://schemas.openxmlformats.org/officeDocument/2006/relationships" ref="F292" r:id="rId192"/>
    <hyperlink xmlns:r="http://schemas.openxmlformats.org/officeDocument/2006/relationships" ref="F293" r:id="rId193"/>
    <hyperlink xmlns:r="http://schemas.openxmlformats.org/officeDocument/2006/relationships" ref="F295" r:id="rId194"/>
    <hyperlink xmlns:r="http://schemas.openxmlformats.org/officeDocument/2006/relationships" ref="F296" r:id="rId195"/>
    <hyperlink xmlns:r="http://schemas.openxmlformats.org/officeDocument/2006/relationships" ref="F297" r:id="rId196"/>
    <hyperlink xmlns:r="http://schemas.openxmlformats.org/officeDocument/2006/relationships" ref="F298" r:id="rId197"/>
    <hyperlink xmlns:r="http://schemas.openxmlformats.org/officeDocument/2006/relationships" ref="F299" r:id="rId198"/>
    <hyperlink xmlns:r="http://schemas.openxmlformats.org/officeDocument/2006/relationships" ref="F301" r:id="rId199"/>
    <hyperlink xmlns:r="http://schemas.openxmlformats.org/officeDocument/2006/relationships" ref="F303" r:id="rId200"/>
    <hyperlink xmlns:r="http://schemas.openxmlformats.org/officeDocument/2006/relationships" ref="F305" r:id="rId201"/>
    <hyperlink xmlns:r="http://schemas.openxmlformats.org/officeDocument/2006/relationships" ref="F306" r:id="rId202"/>
    <hyperlink xmlns:r="http://schemas.openxmlformats.org/officeDocument/2006/relationships" ref="F308" r:id="rId203"/>
    <hyperlink xmlns:r="http://schemas.openxmlformats.org/officeDocument/2006/relationships" ref="F309" r:id="rId204"/>
    <hyperlink xmlns:r="http://schemas.openxmlformats.org/officeDocument/2006/relationships" ref="F312" r:id="rId205"/>
    <hyperlink xmlns:r="http://schemas.openxmlformats.org/officeDocument/2006/relationships" ref="F313" r:id="rId206"/>
    <hyperlink xmlns:r="http://schemas.openxmlformats.org/officeDocument/2006/relationships" ref="F314" r:id="rId207"/>
    <hyperlink xmlns:r="http://schemas.openxmlformats.org/officeDocument/2006/relationships" ref="F317" r:id="rId208"/>
    <hyperlink xmlns:r="http://schemas.openxmlformats.org/officeDocument/2006/relationships" ref="F322" r:id="rId209"/>
    <hyperlink xmlns:r="http://schemas.openxmlformats.org/officeDocument/2006/relationships" ref="F323" r:id="rId210"/>
    <hyperlink xmlns:r="http://schemas.openxmlformats.org/officeDocument/2006/relationships" ref="F325" r:id="rId211"/>
    <hyperlink xmlns:r="http://schemas.openxmlformats.org/officeDocument/2006/relationships" ref="F327" r:id="rId212"/>
    <hyperlink xmlns:r="http://schemas.openxmlformats.org/officeDocument/2006/relationships" ref="F328" r:id="rId213"/>
    <hyperlink xmlns:r="http://schemas.openxmlformats.org/officeDocument/2006/relationships" ref="F329" r:id="rId214"/>
    <hyperlink xmlns:r="http://schemas.openxmlformats.org/officeDocument/2006/relationships" ref="F331" r:id="rId215"/>
    <hyperlink xmlns:r="http://schemas.openxmlformats.org/officeDocument/2006/relationships" ref="F333" r:id="rId216"/>
    <hyperlink xmlns:r="http://schemas.openxmlformats.org/officeDocument/2006/relationships" ref="F334" r:id="rId217"/>
    <hyperlink xmlns:r="http://schemas.openxmlformats.org/officeDocument/2006/relationships" ref="F335" r:id="rId218"/>
    <hyperlink xmlns:r="http://schemas.openxmlformats.org/officeDocument/2006/relationships" ref="F336" r:id="rId219"/>
    <hyperlink xmlns:r="http://schemas.openxmlformats.org/officeDocument/2006/relationships" ref="F337" r:id="rId220"/>
    <hyperlink xmlns:r="http://schemas.openxmlformats.org/officeDocument/2006/relationships" ref="F338" r:id="rId221"/>
    <hyperlink xmlns:r="http://schemas.openxmlformats.org/officeDocument/2006/relationships" ref="F340" r:id="rId222"/>
    <hyperlink xmlns:r="http://schemas.openxmlformats.org/officeDocument/2006/relationships" ref="F342" r:id="rId223"/>
    <hyperlink xmlns:r="http://schemas.openxmlformats.org/officeDocument/2006/relationships" ref="F343" r:id="rId224"/>
    <hyperlink xmlns:r="http://schemas.openxmlformats.org/officeDocument/2006/relationships" ref="F344" r:id="rId225"/>
    <hyperlink xmlns:r="http://schemas.openxmlformats.org/officeDocument/2006/relationships" ref="F345" r:id="rId226"/>
    <hyperlink xmlns:r="http://schemas.openxmlformats.org/officeDocument/2006/relationships" ref="F347" r:id="rId227"/>
    <hyperlink xmlns:r="http://schemas.openxmlformats.org/officeDocument/2006/relationships" ref="F348" r:id="rId228"/>
    <hyperlink xmlns:r="http://schemas.openxmlformats.org/officeDocument/2006/relationships" ref="F349" r:id="rId229"/>
    <hyperlink xmlns:r="http://schemas.openxmlformats.org/officeDocument/2006/relationships" ref="F350" r:id="rId230"/>
    <hyperlink xmlns:r="http://schemas.openxmlformats.org/officeDocument/2006/relationships" ref="F352" r:id="rId231"/>
    <hyperlink xmlns:r="http://schemas.openxmlformats.org/officeDocument/2006/relationships" ref="F353" r:id="rId232"/>
    <hyperlink xmlns:r="http://schemas.openxmlformats.org/officeDocument/2006/relationships" ref="F354" r:id="rId233"/>
    <hyperlink xmlns:r="http://schemas.openxmlformats.org/officeDocument/2006/relationships" ref="F355" r:id="rId234"/>
    <hyperlink xmlns:r="http://schemas.openxmlformats.org/officeDocument/2006/relationships" ref="F356" r:id="rId235"/>
    <hyperlink xmlns:r="http://schemas.openxmlformats.org/officeDocument/2006/relationships" ref="F357" r:id="rId236"/>
    <hyperlink xmlns:r="http://schemas.openxmlformats.org/officeDocument/2006/relationships" ref="F358" r:id="rId237"/>
    <hyperlink xmlns:r="http://schemas.openxmlformats.org/officeDocument/2006/relationships" ref="F359" r:id="rId238"/>
    <hyperlink xmlns:r="http://schemas.openxmlformats.org/officeDocument/2006/relationships" ref="F360" r:id="rId239"/>
    <hyperlink xmlns:r="http://schemas.openxmlformats.org/officeDocument/2006/relationships" ref="F361" r:id="rId240"/>
    <hyperlink xmlns:r="http://schemas.openxmlformats.org/officeDocument/2006/relationships" ref="F362" r:id="rId241"/>
    <hyperlink xmlns:r="http://schemas.openxmlformats.org/officeDocument/2006/relationships" ref="F363" r:id="rId242"/>
    <hyperlink xmlns:r="http://schemas.openxmlformats.org/officeDocument/2006/relationships" ref="F364" r:id="rId243"/>
    <hyperlink xmlns:r="http://schemas.openxmlformats.org/officeDocument/2006/relationships" ref="F365" r:id="rId244"/>
    <hyperlink xmlns:r="http://schemas.openxmlformats.org/officeDocument/2006/relationships" ref="F366" r:id="rId245"/>
    <hyperlink xmlns:r="http://schemas.openxmlformats.org/officeDocument/2006/relationships" ref="F367" r:id="rId246"/>
    <hyperlink xmlns:r="http://schemas.openxmlformats.org/officeDocument/2006/relationships" ref="F368" r:id="rId247"/>
    <hyperlink xmlns:r="http://schemas.openxmlformats.org/officeDocument/2006/relationships" ref="F370" r:id="rId248"/>
    <hyperlink xmlns:r="http://schemas.openxmlformats.org/officeDocument/2006/relationships" ref="F371" r:id="rId249"/>
    <hyperlink xmlns:r="http://schemas.openxmlformats.org/officeDocument/2006/relationships" ref="F372" r:id="rId250"/>
    <hyperlink xmlns:r="http://schemas.openxmlformats.org/officeDocument/2006/relationships" ref="F373" r:id="rId251"/>
    <hyperlink xmlns:r="http://schemas.openxmlformats.org/officeDocument/2006/relationships" ref="F376" r:id="rId252"/>
    <hyperlink xmlns:r="http://schemas.openxmlformats.org/officeDocument/2006/relationships" ref="F378" r:id="rId253"/>
    <hyperlink xmlns:r="http://schemas.openxmlformats.org/officeDocument/2006/relationships" ref="F379" r:id="rId25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9" customWidth="1" min="4" max="4"/>
    <col width="40" customWidth="1" min="5" max="5"/>
    <col width="34" customWidth="1" min="6" max="6"/>
    <col width="14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9" customWidth="1" min="15" max="15"/>
    <col width="9" customWidth="1" min="16" max="16"/>
    <col width="9" customWidth="1" min="17" max="17"/>
    <col width="10" customWidth="1" min="18" max="18"/>
    <col width="11" customWidth="1" min="19" max="19"/>
    <col width="10" customWidth="1" min="20" max="20"/>
    <col width="20" customWidth="1" min="21" max="21"/>
  </cols>
  <sheetData>
    <row r="1" ht="32" customHeight="1">
      <c r="A1" s="10" t="inlineStr">
        <is>
          <t>원명</t>
        </is>
      </c>
      <c r="B1" s="10" t="inlineStr">
        <is>
          <t>구분</t>
        </is>
      </c>
      <c r="C1" s="10" t="inlineStr">
        <is>
          <t>설립유형</t>
        </is>
      </c>
      <c r="D1" s="10" t="inlineStr">
        <is>
          <t>구/군</t>
        </is>
      </c>
      <c r="E1" s="10" t="inlineStr">
        <is>
          <t>주소</t>
        </is>
      </c>
      <c r="F1" s="10" t="inlineStr">
        <is>
          <t>공식 홈페이지</t>
        </is>
      </c>
      <c r="G1" s="10" t="inlineStr">
        <is>
          <t>전화번호</t>
        </is>
      </c>
      <c r="H1" s="10" t="inlineStr">
        <is>
          <t>정원</t>
        </is>
      </c>
      <c r="I1" s="13" t="inlineStr">
        <is>
          <t>만0세</t>
        </is>
      </c>
      <c r="J1" s="13" t="inlineStr">
        <is>
          <t>만1세</t>
        </is>
      </c>
      <c r="K1" s="13" t="inlineStr">
        <is>
          <t>만2세</t>
        </is>
      </c>
      <c r="L1" s="13" t="inlineStr">
        <is>
          <t>만3세</t>
        </is>
      </c>
      <c r="M1" s="13" t="inlineStr">
        <is>
          <t>만4세</t>
        </is>
      </c>
      <c r="N1" s="13" t="inlineStr">
        <is>
          <t>만5세</t>
        </is>
      </c>
      <c r="O1" s="13" t="inlineStr">
        <is>
          <t>영아혼합반</t>
        </is>
      </c>
      <c r="P1" s="13" t="inlineStr">
        <is>
          <t>유아혼합반</t>
        </is>
      </c>
      <c r="Q1" s="13" t="inlineStr">
        <is>
          <t>영유아혼합반</t>
        </is>
      </c>
      <c r="R1" s="13" t="inlineStr">
        <is>
          <t>장애아반(특수)</t>
        </is>
      </c>
      <c r="S1" s="13" t="inlineStr">
        <is>
          <t>기타(연령구분 없음)</t>
        </is>
      </c>
      <c r="T1" s="10" t="inlineStr">
        <is>
          <t>현원 합계</t>
        </is>
      </c>
      <c r="U1" s="10" t="inlineStr">
        <is>
          <t>비고</t>
        </is>
      </c>
    </row>
    <row r="2">
      <c r="A2" t="inlineStr">
        <is>
          <t>KR 단미래 어린이집</t>
        </is>
      </c>
      <c r="B2" t="inlineStr">
        <is>
          <t>어린이집</t>
        </is>
      </c>
      <c r="C2" t="inlineStr">
        <is>
          <t>직장</t>
        </is>
      </c>
      <c r="D2" t="inlineStr">
        <is>
          <t>강서구</t>
        </is>
      </c>
      <c r="E2" t="inlineStr">
        <is>
          <t>부산광역시 강서구 명지오션시티9로 36</t>
        </is>
      </c>
      <c r="F2" t="inlineStr"/>
      <c r="G2" t="inlineStr">
        <is>
          <t>070-8799-8170</t>
        </is>
      </c>
      <c r="H2" s="15" t="n">
        <v>155</v>
      </c>
      <c r="I2" s="15" t="n">
        <v>0</v>
      </c>
      <c r="J2" s="15" t="n">
        <v>11</v>
      </c>
      <c r="K2" s="15" t="n">
        <v>8</v>
      </c>
      <c r="L2" s="15" t="n">
        <v>11</v>
      </c>
      <c r="M2" s="15" t="n">
        <v>21</v>
      </c>
      <c r="N2" s="15" t="n">
        <v>14</v>
      </c>
      <c r="O2" s="15" t="n">
        <v>0</v>
      </c>
      <c r="P2" s="15" t="n">
        <v>0</v>
      </c>
      <c r="Q2" s="15" t="n">
        <v>0</v>
      </c>
      <c r="R2" s="15" t="n">
        <v>0</v>
      </c>
      <c r="S2" s="15" t="n">
        <v>56</v>
      </c>
      <c r="T2" s="14">
        <f>IF(COUNT(I2:S2)=0,"",SUM(I2:S2))</f>
        <v/>
      </c>
      <c r="U2" t="inlineStr"/>
    </row>
    <row r="3">
      <c r="A3" t="inlineStr">
        <is>
          <t>PNC어린이집</t>
        </is>
      </c>
      <c r="B3" t="inlineStr">
        <is>
          <t>어린이집</t>
        </is>
      </c>
      <c r="C3" t="inlineStr">
        <is>
          <t>직장</t>
        </is>
      </c>
      <c r="D3" t="inlineStr">
        <is>
          <t>강서구</t>
        </is>
      </c>
      <c r="E3" t="inlineStr">
        <is>
          <t>부산광역시 강서구 신항남로 372</t>
        </is>
      </c>
      <c r="F3" t="inlineStr"/>
      <c r="G3" t="inlineStr">
        <is>
          <t>070-4145-5327</t>
        </is>
      </c>
      <c r="H3" s="15" t="n">
        <v>20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5" t="n">
        <v>0</v>
      </c>
      <c r="O3" s="15" t="n">
        <v>2</v>
      </c>
      <c r="P3" s="15" t="n">
        <v>0</v>
      </c>
      <c r="Q3" s="15" t="n">
        <v>0</v>
      </c>
      <c r="R3" s="15" t="n">
        <v>0</v>
      </c>
      <c r="S3" s="15" t="n">
        <v>0</v>
      </c>
      <c r="T3" s="14">
        <f>IF(COUNT(I3:S3)=0,"",SUM(I3:S3))</f>
        <v/>
      </c>
      <c r="U3" t="inlineStr"/>
    </row>
    <row r="4">
      <c r="A4" t="inlineStr">
        <is>
          <t>가온어린이집</t>
        </is>
      </c>
      <c r="B4" t="inlineStr">
        <is>
          <t>어린이집</t>
        </is>
      </c>
      <c r="C4" t="inlineStr">
        <is>
          <t>가정</t>
        </is>
      </c>
      <c r="D4" t="inlineStr">
        <is>
          <t>강서구</t>
        </is>
      </c>
      <c r="E4" t="inlineStr">
        <is>
          <t>부산광역시 강서구 명지국제7로 111 101동 101호(명지동, 명지더웨스턴)</t>
        </is>
      </c>
      <c r="F4" t="inlineStr"/>
      <c r="G4" t="inlineStr">
        <is>
          <t>051-201-3811</t>
        </is>
      </c>
      <c r="H4" s="15" t="n">
        <v>20</v>
      </c>
      <c r="I4" s="15" t="n">
        <v>4</v>
      </c>
      <c r="J4" s="15" t="n">
        <v>5</v>
      </c>
      <c r="K4" s="15" t="n">
        <v>0</v>
      </c>
      <c r="L4" s="15" t="n">
        <v>0</v>
      </c>
      <c r="M4" s="15" t="n">
        <v>0</v>
      </c>
      <c r="N4" s="15" t="n">
        <v>0</v>
      </c>
      <c r="O4" s="15" t="n">
        <v>0</v>
      </c>
      <c r="P4" s="15" t="n">
        <v>0</v>
      </c>
      <c r="Q4" s="15" t="n">
        <v>0</v>
      </c>
      <c r="R4" s="15" t="n">
        <v>0</v>
      </c>
      <c r="S4" s="15" t="n">
        <v>0</v>
      </c>
      <c r="T4" s="14">
        <f>IF(COUNT(I4:S4)=0,"",SUM(I4:S4))</f>
        <v/>
      </c>
      <c r="U4" t="inlineStr"/>
    </row>
    <row r="5">
      <c r="A5" t="inlineStr">
        <is>
          <t>강변어린이집</t>
        </is>
      </c>
      <c r="B5" t="inlineStr">
        <is>
          <t>어린이집</t>
        </is>
      </c>
      <c r="C5" t="inlineStr">
        <is>
          <t>사회복지법인</t>
        </is>
      </c>
      <c r="D5" t="inlineStr">
        <is>
          <t>강서구</t>
        </is>
      </c>
      <c r="E5" t="inlineStr">
        <is>
          <t>부산광역시 강서구 공항로361번길 26 (대저2동)</t>
        </is>
      </c>
      <c r="F5" t="inlineStr"/>
      <c r="G5" t="inlineStr">
        <is>
          <t>051-971-0695</t>
        </is>
      </c>
      <c r="H5" s="15" t="n">
        <v>129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  <c r="P5" s="15" t="n">
        <v>0</v>
      </c>
      <c r="Q5" s="15" t="n">
        <v>0</v>
      </c>
      <c r="R5" s="15" t="n">
        <v>0</v>
      </c>
      <c r="S5" s="15" t="n">
        <v>0</v>
      </c>
      <c r="T5" s="14">
        <f>IF(COUNT(I5:S5)=0,"",SUM(I5:S5))</f>
        <v/>
      </c>
      <c r="U5" t="inlineStr"/>
    </row>
    <row r="6">
      <c r="A6" t="inlineStr">
        <is>
          <t>강서다온어린이집</t>
        </is>
      </c>
      <c r="B6" t="inlineStr">
        <is>
          <t>어린이집</t>
        </is>
      </c>
      <c r="C6" t="inlineStr">
        <is>
          <t>국공립</t>
        </is>
      </c>
      <c r="D6" t="inlineStr">
        <is>
          <t>강서구</t>
        </is>
      </c>
      <c r="E6" t="inlineStr">
        <is>
          <t>부산광역시 강서구 명지국제6로318번길 58 (명지동)</t>
        </is>
      </c>
      <c r="F6" s="11" t="inlineStr">
        <is>
          <t>https://m.cafe.naver.com/ca-fe/gangseodaon</t>
        </is>
      </c>
      <c r="G6" t="inlineStr">
        <is>
          <t>051-203-3690</t>
        </is>
      </c>
      <c r="H6" s="15" t="n">
        <v>79</v>
      </c>
      <c r="I6" s="15" t="n">
        <v>0</v>
      </c>
      <c r="J6" s="15" t="n">
        <v>10</v>
      </c>
      <c r="K6" s="15" t="n">
        <v>14</v>
      </c>
      <c r="L6" s="15" t="n">
        <v>24</v>
      </c>
      <c r="M6" s="15" t="n">
        <v>0</v>
      </c>
      <c r="N6" s="15" t="n">
        <v>8</v>
      </c>
      <c r="O6" s="15" t="n">
        <v>0</v>
      </c>
      <c r="P6" s="15" t="n">
        <v>0</v>
      </c>
      <c r="Q6" s="15" t="n">
        <v>0</v>
      </c>
      <c r="R6" s="15" t="n">
        <v>0</v>
      </c>
      <c r="S6" s="15" t="n">
        <v>17</v>
      </c>
      <c r="T6" s="14">
        <f>IF(COUNT(I6:S6)=0,"",SUM(I6:S6))</f>
        <v/>
      </c>
      <c r="U6" t="inlineStr"/>
    </row>
    <row r="7">
      <c r="A7" t="inlineStr">
        <is>
          <t>강서어린이집</t>
        </is>
      </c>
      <c r="B7" t="inlineStr">
        <is>
          <t>어린이집</t>
        </is>
      </c>
      <c r="C7" t="inlineStr">
        <is>
          <t>국공립</t>
        </is>
      </c>
      <c r="D7" t="inlineStr">
        <is>
          <t>강서구</t>
        </is>
      </c>
      <c r="E7" t="inlineStr">
        <is>
          <t>부산광역시 강서구 대저로63번길 31 (대저1동)</t>
        </is>
      </c>
      <c r="F7" t="inlineStr"/>
      <c r="G7" t="inlineStr">
        <is>
          <t>051-941-4591</t>
        </is>
      </c>
      <c r="H7" s="15" t="n">
        <v>89</v>
      </c>
      <c r="I7" s="15" t="n">
        <v>9</v>
      </c>
      <c r="J7" s="15" t="n">
        <v>8</v>
      </c>
      <c r="K7" s="15" t="n">
        <v>17</v>
      </c>
      <c r="L7" s="15" t="n">
        <v>6</v>
      </c>
      <c r="M7" s="15" t="n">
        <v>0</v>
      </c>
      <c r="N7" s="15" t="n">
        <v>0</v>
      </c>
      <c r="O7" s="15" t="n">
        <v>0</v>
      </c>
      <c r="P7" s="15" t="n">
        <v>10</v>
      </c>
      <c r="Q7" s="15" t="n">
        <v>0</v>
      </c>
      <c r="R7" s="15" t="n">
        <v>2</v>
      </c>
      <c r="S7" s="15" t="n">
        <v>16</v>
      </c>
      <c r="T7" s="14">
        <f>IF(COUNT(I7:S7)=0,"",SUM(I7:S7))</f>
        <v/>
      </c>
      <c r="U7" t="inlineStr"/>
    </row>
    <row r="8">
      <c r="A8" t="inlineStr">
        <is>
          <t>강서자이어린이집</t>
        </is>
      </c>
      <c r="B8" t="inlineStr">
        <is>
          <t>어린이집</t>
        </is>
      </c>
      <c r="C8" t="inlineStr">
        <is>
          <t>국공립</t>
        </is>
      </c>
      <c r="D8" t="inlineStr">
        <is>
          <t>강서구</t>
        </is>
      </c>
      <c r="E8" t="inlineStr">
        <is>
          <t>부산광역시 강서구 에코델타1로 24 관리동</t>
        </is>
      </c>
      <c r="F8" t="inlineStr"/>
      <c r="G8" t="inlineStr">
        <is>
          <t>051-832-0150</t>
        </is>
      </c>
      <c r="H8" s="15" t="n">
        <v>57</v>
      </c>
      <c r="I8" s="15" t="n">
        <v>9</v>
      </c>
      <c r="J8" s="15" t="n">
        <v>20</v>
      </c>
      <c r="K8" s="15" t="n">
        <v>28</v>
      </c>
      <c r="L8" s="15" t="n">
        <v>0</v>
      </c>
      <c r="M8" s="15" t="n">
        <v>0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10</v>
      </c>
      <c r="T8" s="14">
        <f>IF(COUNT(I8:S8)=0,"",SUM(I8:S8))</f>
        <v/>
      </c>
      <c r="U8" t="inlineStr"/>
    </row>
    <row r="9">
      <c r="A9" t="inlineStr">
        <is>
          <t>곰돌이어린이집</t>
        </is>
      </c>
      <c r="B9" t="inlineStr">
        <is>
          <t>어린이집</t>
        </is>
      </c>
      <c r="C9" t="inlineStr">
        <is>
          <t>가정</t>
        </is>
      </c>
      <c r="D9" t="inlineStr">
        <is>
          <t>강서구</t>
        </is>
      </c>
      <c r="E9" t="inlineStr">
        <is>
          <t>부산광역시 강서구 과학산단2로20번길 91 105동 103호 (지사동, 삼정그린코아)</t>
        </is>
      </c>
      <c r="F9" t="inlineStr"/>
      <c r="G9" t="inlineStr">
        <is>
          <t>051-972-8817</t>
        </is>
      </c>
      <c r="H9" s="15" t="n">
        <v>20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4">
        <f>IF(COUNT(I9:S9)=0,"",SUM(I9:S9))</f>
        <v/>
      </c>
      <c r="U9" t="inlineStr"/>
    </row>
    <row r="10">
      <c r="A10" t="inlineStr">
        <is>
          <t>그린코아어린이집</t>
        </is>
      </c>
      <c r="B10" t="inlineStr">
        <is>
          <t>어린이집</t>
        </is>
      </c>
      <c r="C10" t="inlineStr">
        <is>
          <t>민간</t>
        </is>
      </c>
      <c r="D10" t="inlineStr">
        <is>
          <t>강서구</t>
        </is>
      </c>
      <c r="E10" t="inlineStr">
        <is>
          <t>부산광역시 강서구 과학산단2로20번길 91 (지사동, 삼정그린코아)</t>
        </is>
      </c>
      <c r="F10" t="inlineStr"/>
      <c r="G10" t="inlineStr">
        <is>
          <t>051-973-7399</t>
        </is>
      </c>
      <c r="H10" s="15" t="n">
        <v>47</v>
      </c>
      <c r="I10" s="15" t="n">
        <v>5</v>
      </c>
      <c r="J10" s="15" t="n">
        <v>10</v>
      </c>
      <c r="K10" s="15" t="n">
        <v>21</v>
      </c>
      <c r="L10" s="15" t="n">
        <v>0</v>
      </c>
      <c r="M10" s="15" t="n">
        <v>0</v>
      </c>
      <c r="N10" s="15" t="n">
        <v>0</v>
      </c>
      <c r="O10" s="15" t="n">
        <v>3</v>
      </c>
      <c r="P10" s="15" t="n">
        <v>0</v>
      </c>
      <c r="Q10" s="15" t="n">
        <v>0</v>
      </c>
      <c r="R10" s="15" t="n">
        <v>0</v>
      </c>
      <c r="S10" s="15" t="n">
        <v>5</v>
      </c>
      <c r="T10" s="14">
        <f>IF(COUNT(I10:S10)=0,"",SUM(I10:S10))</f>
        <v/>
      </c>
      <c r="U10" t="inlineStr"/>
    </row>
    <row r="11">
      <c r="A11" t="inlineStr">
        <is>
          <t>글로벌새싹어린이집</t>
        </is>
      </c>
      <c r="B11" t="inlineStr">
        <is>
          <t>어린이집</t>
        </is>
      </c>
      <c r="C11" t="inlineStr">
        <is>
          <t>민간</t>
        </is>
      </c>
      <c r="D11" t="inlineStr">
        <is>
          <t>강서구</t>
        </is>
      </c>
      <c r="E11" t="inlineStr">
        <is>
          <t>부산광역시 강서구 명지오션시티9로 19</t>
        </is>
      </c>
      <c r="F11" t="inlineStr"/>
      <c r="G11" t="inlineStr">
        <is>
          <t>051-271-1278</t>
        </is>
      </c>
      <c r="H11" s="15" t="n">
        <v>128</v>
      </c>
      <c r="I11" s="15" t="n">
        <v>3</v>
      </c>
      <c r="J11" s="15" t="n">
        <v>15</v>
      </c>
      <c r="K11" s="15" t="n">
        <v>28</v>
      </c>
      <c r="L11" s="15" t="n">
        <v>45</v>
      </c>
      <c r="M11" s="15" t="n">
        <v>18</v>
      </c>
      <c r="N11" s="15" t="n">
        <v>18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16</v>
      </c>
      <c r="T11" s="14">
        <f>IF(COUNT(I11:S11)=0,"",SUM(I11:S11))</f>
        <v/>
      </c>
      <c r="U11" t="inlineStr"/>
    </row>
    <row r="12">
      <c r="A12" t="inlineStr">
        <is>
          <t>금강3차어린이집</t>
        </is>
      </c>
      <c r="B12" t="inlineStr">
        <is>
          <t>어린이집</t>
        </is>
      </c>
      <c r="C12" t="inlineStr">
        <is>
          <t>민간</t>
        </is>
      </c>
      <c r="D12" t="inlineStr">
        <is>
          <t>강서구</t>
        </is>
      </c>
      <c r="E12" t="inlineStr">
        <is>
          <t>부산광역시 강서구 명지국제5로 110 명지금강펜테리움센트럴파크3차아파트 302동 1층 관리동 보육시설</t>
        </is>
      </c>
      <c r="F12" t="inlineStr"/>
      <c r="G12" t="inlineStr">
        <is>
          <t>051-208-3338</t>
        </is>
      </c>
      <c r="H12" s="15" t="n">
        <v>38</v>
      </c>
      <c r="I12" s="15" t="n">
        <v>4</v>
      </c>
      <c r="J12" s="15" t="n">
        <v>8</v>
      </c>
      <c r="K12" s="15" t="n">
        <v>5</v>
      </c>
      <c r="L12" s="15" t="n">
        <v>0</v>
      </c>
      <c r="M12" s="15" t="n">
        <v>0</v>
      </c>
      <c r="N12" s="15" t="n">
        <v>0</v>
      </c>
      <c r="O12" s="15" t="n">
        <v>5</v>
      </c>
      <c r="P12" s="15" t="n">
        <v>0</v>
      </c>
      <c r="Q12" s="15" t="n">
        <v>0</v>
      </c>
      <c r="R12" s="15" t="n">
        <v>0</v>
      </c>
      <c r="S12" s="15" t="n">
        <v>6</v>
      </c>
      <c r="T12" s="14">
        <f>IF(COUNT(I12:S12)=0,"",SUM(I12:S12))</f>
        <v/>
      </c>
      <c r="U12" t="inlineStr"/>
    </row>
    <row r="13">
      <c r="A13" t="inlineStr">
        <is>
          <t>금강꿈동이어린이집</t>
        </is>
      </c>
      <c r="B13" t="inlineStr">
        <is>
          <t>어린이집</t>
        </is>
      </c>
      <c r="C13" t="inlineStr">
        <is>
          <t>민간</t>
        </is>
      </c>
      <c r="D13" t="inlineStr">
        <is>
          <t>강서구</t>
        </is>
      </c>
      <c r="E13" t="inlineStr">
        <is>
          <t>부산광역시 강서구 명지국제5로 109 명지2차 금강펜트리움센트럴파크 관리동</t>
        </is>
      </c>
      <c r="F13" t="inlineStr"/>
      <c r="G13" t="inlineStr">
        <is>
          <t>051-204-5880</t>
        </is>
      </c>
      <c r="H13" s="15" t="n">
        <v>49</v>
      </c>
      <c r="I13" s="15" t="n">
        <v>9</v>
      </c>
      <c r="J13" s="15" t="n">
        <v>16</v>
      </c>
      <c r="K13" s="15" t="n">
        <v>13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5</v>
      </c>
      <c r="T13" s="14">
        <f>IF(COUNT(I13:S13)=0,"",SUM(I13:S13))</f>
        <v/>
      </c>
      <c r="U13" t="inlineStr"/>
    </row>
    <row r="14">
      <c r="A14" t="inlineStr">
        <is>
          <t>금강누리봄어린이집</t>
        </is>
      </c>
      <c r="B14" t="inlineStr">
        <is>
          <t>어린이집</t>
        </is>
      </c>
      <c r="C14" t="inlineStr">
        <is>
          <t>민간</t>
        </is>
      </c>
      <c r="D14" t="inlineStr">
        <is>
          <t>강서구</t>
        </is>
      </c>
      <c r="E14" t="inlineStr">
        <is>
          <t>부산광역시 강서구 명지국제5로 59 (명지동, 명지1차금강펜테리움센트럴파크아파트)</t>
        </is>
      </c>
      <c r="F14" t="inlineStr"/>
      <c r="G14" t="inlineStr">
        <is>
          <t>051-293-4628</t>
        </is>
      </c>
      <c r="H14" s="15" t="n">
        <v>54</v>
      </c>
      <c r="I14" s="15" t="n">
        <v>9</v>
      </c>
      <c r="J14" s="15" t="n">
        <v>13</v>
      </c>
      <c r="K14" s="15" t="n">
        <v>20</v>
      </c>
      <c r="L14" s="15" t="n">
        <v>0</v>
      </c>
      <c r="M14" s="15" t="n">
        <v>0</v>
      </c>
      <c r="N14" s="15" t="n">
        <v>0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10</v>
      </c>
      <c r="T14" s="14">
        <f>IF(COUNT(I14:S14)=0,"",SUM(I14:S14))</f>
        <v/>
      </c>
      <c r="U14" t="inlineStr"/>
    </row>
    <row r="15">
      <c r="A15" t="inlineStr">
        <is>
          <t>금강아이뜰어린이집</t>
        </is>
      </c>
      <c r="B15" t="inlineStr">
        <is>
          <t>어린이집</t>
        </is>
      </c>
      <c r="C15" t="inlineStr">
        <is>
          <t>가정</t>
        </is>
      </c>
      <c r="D15" t="inlineStr">
        <is>
          <t>강서구</t>
        </is>
      </c>
      <c r="E15" t="inlineStr">
        <is>
          <t>부산광역시 강서구 명지국제5로 110 312동 101호 (명지동, 금강펜테리움센트럴파크3차)</t>
        </is>
      </c>
      <c r="F15" t="inlineStr"/>
      <c r="G15" t="inlineStr">
        <is>
          <t>051-204-3388</t>
        </is>
      </c>
      <c r="H15" s="15" t="n">
        <v>19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5" t="n">
        <v>0</v>
      </c>
      <c r="R15" s="15" t="n">
        <v>0</v>
      </c>
      <c r="S15" s="15" t="n">
        <v>0</v>
      </c>
      <c r="T15" s="14">
        <f>IF(COUNT(I15:S15)=0,"",SUM(I15:S15))</f>
        <v/>
      </c>
      <c r="U15" t="inlineStr"/>
    </row>
    <row r="16">
      <c r="A16" t="inlineStr">
        <is>
          <t>금강아이어린이집</t>
        </is>
      </c>
      <c r="B16" t="inlineStr">
        <is>
          <t>어린이집</t>
        </is>
      </c>
      <c r="C16" t="inlineStr">
        <is>
          <t>가정</t>
        </is>
      </c>
      <c r="D16" t="inlineStr">
        <is>
          <t>강서구</t>
        </is>
      </c>
      <c r="E16" t="inlineStr">
        <is>
          <t>부산광역시 강서구 명지국제5로 59 105동 102호(명지동, 금강펜테리움)</t>
        </is>
      </c>
      <c r="F16" s="11" t="inlineStr">
        <is>
          <t>http://jg8514@hanmail.net</t>
        </is>
      </c>
      <c r="G16" t="inlineStr">
        <is>
          <t>051-907-8896</t>
        </is>
      </c>
      <c r="H16" s="15" t="n">
        <v>20</v>
      </c>
      <c r="I16" s="15" t="n">
        <v>7</v>
      </c>
      <c r="J16" s="15" t="n">
        <v>5</v>
      </c>
      <c r="K16" s="15" t="n">
        <v>6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3</v>
      </c>
      <c r="T16" s="14">
        <f>IF(COUNT(I16:S16)=0,"",SUM(I16:S16))</f>
        <v/>
      </c>
      <c r="U16" t="inlineStr"/>
    </row>
    <row r="17">
      <c r="A17" t="inlineStr">
        <is>
          <t>금강펜테리움어린이집</t>
        </is>
      </c>
      <c r="B17" t="inlineStr">
        <is>
          <t>어린이집</t>
        </is>
      </c>
      <c r="C17" t="inlineStr">
        <is>
          <t>민간</t>
        </is>
      </c>
      <c r="D17" t="inlineStr">
        <is>
          <t>강서구</t>
        </is>
      </c>
      <c r="E17" t="inlineStr">
        <is>
          <t>부산광역시 강서구 과학산단2로20번길 69 지사동, 금강펜테리움아파트</t>
        </is>
      </c>
      <c r="F17" t="inlineStr"/>
      <c r="G17" t="inlineStr">
        <is>
          <t>051-973-1149</t>
        </is>
      </c>
      <c r="H17" s="15" t="n">
        <v>45</v>
      </c>
      <c r="I17" s="15" t="n">
        <v>3</v>
      </c>
      <c r="J17" s="15" t="n">
        <v>16</v>
      </c>
      <c r="K17" s="15" t="n">
        <v>21</v>
      </c>
      <c r="L17" s="15" t="n">
        <v>0</v>
      </c>
      <c r="M17" s="15" t="n">
        <v>0</v>
      </c>
      <c r="N17" s="15" t="n">
        <v>0</v>
      </c>
      <c r="O17" s="15" t="n">
        <v>0</v>
      </c>
      <c r="P17" s="15" t="n">
        <v>0</v>
      </c>
      <c r="Q17" s="15" t="n">
        <v>0</v>
      </c>
      <c r="R17" s="15" t="n">
        <v>0</v>
      </c>
      <c r="S17" s="15" t="n">
        <v>10</v>
      </c>
      <c r="T17" s="14">
        <f>IF(COUNT(I17:S17)=0,"",SUM(I17:S17))</f>
        <v/>
      </c>
      <c r="U17" t="inlineStr"/>
    </row>
    <row r="18">
      <c r="A18" t="inlineStr">
        <is>
          <t>꿈나래어린이집</t>
        </is>
      </c>
      <c r="B18" t="inlineStr">
        <is>
          <t>어린이집</t>
        </is>
      </c>
      <c r="C18" t="inlineStr">
        <is>
          <t>가정</t>
        </is>
      </c>
      <c r="D18" t="inlineStr">
        <is>
          <t>강서구</t>
        </is>
      </c>
      <c r="E18" t="inlineStr">
        <is>
          <t>부산광역시 강서구 명지국제7로 37 205동 106호(명지동, 더샵명지퍼스트월드2단지)</t>
        </is>
      </c>
      <c r="F18" t="inlineStr"/>
      <c r="G18" t="inlineStr">
        <is>
          <t>051-201-0928</t>
        </is>
      </c>
      <c r="H18" s="15" t="n">
        <v>20</v>
      </c>
      <c r="I18" s="15" t="n">
        <v>3</v>
      </c>
      <c r="J18" s="15" t="n">
        <v>10</v>
      </c>
      <c r="K18" s="15" t="n">
        <v>7</v>
      </c>
      <c r="L18" s="15" t="n">
        <v>0</v>
      </c>
      <c r="M18" s="15" t="n">
        <v>0</v>
      </c>
      <c r="N18" s="15" t="n">
        <v>0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4</v>
      </c>
      <c r="T18" s="14">
        <f>IF(COUNT(I18:S18)=0,"",SUM(I18:S18))</f>
        <v/>
      </c>
      <c r="U18" t="inlineStr"/>
    </row>
    <row r="19">
      <c r="A19" t="inlineStr">
        <is>
          <t>꿈담은어린이집</t>
        </is>
      </c>
      <c r="B19" t="inlineStr">
        <is>
          <t>어린이집</t>
        </is>
      </c>
      <c r="C19" t="inlineStr">
        <is>
          <t>가정</t>
        </is>
      </c>
      <c r="D19" t="inlineStr">
        <is>
          <t>강서구</t>
        </is>
      </c>
      <c r="E19" t="inlineStr">
        <is>
          <t>부산광역시 강서구 과학산단2로20번길 69 107동101호(지사동,지사금강펜테리움)</t>
        </is>
      </c>
      <c r="F19" s="11" t="inlineStr">
        <is>
          <t>https://www.instagram.com/ddc_s2</t>
        </is>
      </c>
      <c r="G19" t="inlineStr">
        <is>
          <t>051-973-0892</t>
        </is>
      </c>
      <c r="H19" s="15" t="n">
        <v>18</v>
      </c>
      <c r="I19" s="15" t="n">
        <v>2</v>
      </c>
      <c r="J19" s="15" t="n">
        <v>0</v>
      </c>
      <c r="K19" s="15" t="n">
        <v>4</v>
      </c>
      <c r="L19" s="15" t="n">
        <v>0</v>
      </c>
      <c r="M19" s="15" t="n">
        <v>0</v>
      </c>
      <c r="N19" s="15" t="n">
        <v>0</v>
      </c>
      <c r="O19" s="15" t="n">
        <v>2</v>
      </c>
      <c r="P19" s="15" t="n">
        <v>0</v>
      </c>
      <c r="Q19" s="15" t="n">
        <v>0</v>
      </c>
      <c r="R19" s="15" t="n">
        <v>0</v>
      </c>
      <c r="S19" s="15" t="n">
        <v>4</v>
      </c>
      <c r="T19" s="14">
        <f>IF(COUNT(I19:S19)=0,"",SUM(I19:S19))</f>
        <v/>
      </c>
      <c r="U19" t="inlineStr"/>
    </row>
    <row r="20">
      <c r="A20" t="inlineStr">
        <is>
          <t>나무야어린이집</t>
        </is>
      </c>
      <c r="B20" t="inlineStr">
        <is>
          <t>어린이집</t>
        </is>
      </c>
      <c r="C20" t="inlineStr">
        <is>
          <t>가정</t>
        </is>
      </c>
      <c r="D20" t="inlineStr">
        <is>
          <t>강서구</t>
        </is>
      </c>
      <c r="E20" t="inlineStr">
        <is>
          <t>부산광역시 강서구 명지국제7로 111 110동 102호(명지동, 명지더웨스턴)</t>
        </is>
      </c>
      <c r="F20" t="inlineStr"/>
      <c r="G20" t="inlineStr">
        <is>
          <t>051-996-2028</t>
        </is>
      </c>
      <c r="H20" s="15" t="n">
        <v>20</v>
      </c>
      <c r="I20" s="15" t="n">
        <v>5</v>
      </c>
      <c r="J20" s="15" t="n">
        <v>5</v>
      </c>
      <c r="K20" s="15" t="n">
        <v>0</v>
      </c>
      <c r="L20" s="15" t="n">
        <v>0</v>
      </c>
      <c r="M20" s="15" t="n">
        <v>0</v>
      </c>
      <c r="N20" s="15" t="n">
        <v>0</v>
      </c>
      <c r="O20" s="15" t="n">
        <v>8</v>
      </c>
      <c r="P20" s="15" t="n">
        <v>0</v>
      </c>
      <c r="Q20" s="15" t="n">
        <v>0</v>
      </c>
      <c r="R20" s="15" t="n">
        <v>0</v>
      </c>
      <c r="S20" s="15" t="n">
        <v>3</v>
      </c>
      <c r="T20" s="14">
        <f>IF(COUNT(I20:S20)=0,"",SUM(I20:S20))</f>
        <v/>
      </c>
      <c r="U20" t="inlineStr"/>
    </row>
    <row r="21">
      <c r="A21" t="inlineStr">
        <is>
          <t>낙동어린이집</t>
        </is>
      </c>
      <c r="B21" t="inlineStr">
        <is>
          <t>어린이집</t>
        </is>
      </c>
      <c r="C21" t="inlineStr">
        <is>
          <t>국공립</t>
        </is>
      </c>
      <c r="D21" t="inlineStr">
        <is>
          <t>강서구</t>
        </is>
      </c>
      <c r="E21" t="inlineStr">
        <is>
          <t>부산광역시 강서구 순아강변길 5 (명지동)</t>
        </is>
      </c>
      <c r="F21" s="11" t="inlineStr">
        <is>
          <t>http://www.ndswc.or.kr</t>
        </is>
      </c>
      <c r="G21" t="inlineStr">
        <is>
          <t>051-271-0535</t>
        </is>
      </c>
      <c r="H21" s="15" t="n">
        <v>43</v>
      </c>
      <c r="I21" s="15" t="n">
        <v>0</v>
      </c>
      <c r="J21" s="15" t="n">
        <v>15</v>
      </c>
      <c r="K21" s="15" t="n">
        <v>24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0</v>
      </c>
      <c r="S21" s="15" t="n">
        <v>5</v>
      </c>
      <c r="T21" s="14">
        <f>IF(COUNT(I21:S21)=0,"",SUM(I21:S21))</f>
        <v/>
      </c>
      <c r="U21" t="inlineStr"/>
    </row>
    <row r="22">
      <c r="A22" t="inlineStr">
        <is>
          <t>노리숲어린이집</t>
        </is>
      </c>
      <c r="B22" t="inlineStr">
        <is>
          <t>어린이집</t>
        </is>
      </c>
      <c r="C22" t="inlineStr">
        <is>
          <t>가정</t>
        </is>
      </c>
      <c r="D22" t="inlineStr">
        <is>
          <t>강서구</t>
        </is>
      </c>
      <c r="E22" t="inlineStr">
        <is>
          <t>부산광역시 강서구 명지국제7로 110 102동102호(명지동, 더 힐 시그니처)</t>
        </is>
      </c>
      <c r="F22" t="inlineStr"/>
      <c r="G22" t="inlineStr">
        <is>
          <t>051-208-1020</t>
        </is>
      </c>
      <c r="H22" s="15" t="n">
        <v>20</v>
      </c>
      <c r="I22" s="15" t="n">
        <v>2</v>
      </c>
      <c r="J22" s="15" t="n">
        <v>9</v>
      </c>
      <c r="K22" s="15" t="n">
        <v>7</v>
      </c>
      <c r="L22" s="15" t="n">
        <v>0</v>
      </c>
      <c r="M22" s="15" t="n">
        <v>0</v>
      </c>
      <c r="N22" s="15" t="n">
        <v>0</v>
      </c>
      <c r="O22" s="15" t="n">
        <v>0</v>
      </c>
      <c r="P22" s="15" t="n">
        <v>0</v>
      </c>
      <c r="Q22" s="15" t="n">
        <v>0</v>
      </c>
      <c r="R22" s="15" t="n">
        <v>0</v>
      </c>
      <c r="S22" s="15" t="n">
        <v>4</v>
      </c>
      <c r="T22" s="14">
        <f>IF(COUNT(I22:S22)=0,"",SUM(I22:S22))</f>
        <v/>
      </c>
      <c r="U22" t="inlineStr"/>
    </row>
    <row r="23">
      <c r="A23" t="inlineStr">
        <is>
          <t>노블랜드에코어린이집</t>
        </is>
      </c>
      <c r="B23" t="inlineStr">
        <is>
          <t>어린이집</t>
        </is>
      </c>
      <c r="C23" t="inlineStr">
        <is>
          <t>민간</t>
        </is>
      </c>
      <c r="D23" t="inlineStr">
        <is>
          <t>강서구</t>
        </is>
      </c>
      <c r="E23" t="inlineStr">
        <is>
          <t>부산광역시 강서구 명지국제5로 11 (명지동, 대방노블랜드오션뷰2차아파트)</t>
        </is>
      </c>
      <c r="F23" t="inlineStr"/>
      <c r="G23" t="inlineStr">
        <is>
          <t>051-201-2871</t>
        </is>
      </c>
      <c r="H23" s="15" t="n">
        <v>45</v>
      </c>
      <c r="I23" s="15" t="n">
        <v>14</v>
      </c>
      <c r="J23" s="15" t="n">
        <v>11</v>
      </c>
      <c r="K23" s="15" t="n">
        <v>10</v>
      </c>
      <c r="L23" s="15" t="n">
        <v>0</v>
      </c>
      <c r="M23" s="15" t="n">
        <v>0</v>
      </c>
      <c r="N23" s="15" t="n">
        <v>0</v>
      </c>
      <c r="O23" s="15" t="n">
        <v>0</v>
      </c>
      <c r="P23" s="15" t="n">
        <v>0</v>
      </c>
      <c r="Q23" s="15" t="n">
        <v>0</v>
      </c>
      <c r="R23" s="15" t="n">
        <v>0</v>
      </c>
      <c r="S23" s="15" t="n">
        <v>8</v>
      </c>
      <c r="T23" s="14">
        <f>IF(COUNT(I23:S23)=0,"",SUM(I23:S23))</f>
        <v/>
      </c>
      <c r="U23" t="inlineStr"/>
    </row>
    <row r="24">
      <c r="A24" t="inlineStr">
        <is>
          <t>녹산산단바른어린이집</t>
        </is>
      </c>
      <c r="B24" t="inlineStr">
        <is>
          <t>어린이집</t>
        </is>
      </c>
      <c r="C24" t="inlineStr">
        <is>
          <t>직장</t>
        </is>
      </c>
      <c r="D24" t="inlineStr">
        <is>
          <t>강서구</t>
        </is>
      </c>
      <c r="E24" t="inlineStr">
        <is>
          <t>부산광역시 강서구 녹산산단335로 11 (송정동)</t>
        </is>
      </c>
      <c r="F24" t="inlineStr"/>
      <c r="G24" t="inlineStr">
        <is>
          <t>051-831-5022</t>
        </is>
      </c>
      <c r="H24" s="15" t="n">
        <v>99</v>
      </c>
      <c r="I24" s="15" t="n">
        <v>0</v>
      </c>
      <c r="J24" s="15" t="n">
        <v>9</v>
      </c>
      <c r="K24" s="15" t="n">
        <v>13</v>
      </c>
      <c r="L24" s="15" t="n">
        <v>23</v>
      </c>
      <c r="M24" s="15" t="n">
        <v>22</v>
      </c>
      <c r="N24" s="15" t="n">
        <v>19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12</v>
      </c>
      <c r="T24" s="14">
        <f>IF(COUNT(I24:S24)=0,"",SUM(I24:S24))</f>
        <v/>
      </c>
      <c r="U24" t="inlineStr"/>
    </row>
    <row r="25">
      <c r="A25" t="inlineStr">
        <is>
          <t>늘푸른어린이집</t>
        </is>
      </c>
      <c r="B25" t="inlineStr">
        <is>
          <t>어린이집</t>
        </is>
      </c>
      <c r="C25" t="inlineStr">
        <is>
          <t>가정</t>
        </is>
      </c>
      <c r="D25" t="inlineStr">
        <is>
          <t>강서구</t>
        </is>
      </c>
      <c r="E25" t="inlineStr">
        <is>
          <t>부산광역시 강서구 명지국제7로 111 108동 101호(명지1동, 명지더웨스턴)</t>
        </is>
      </c>
      <c r="F25" t="inlineStr"/>
      <c r="G25" t="inlineStr">
        <is>
          <t>051-204-8116</t>
        </is>
      </c>
      <c r="H25" s="15" t="n">
        <v>20</v>
      </c>
      <c r="I25" s="15" t="n">
        <v>3</v>
      </c>
      <c r="J25" s="15" t="n">
        <v>10</v>
      </c>
      <c r="K25" s="15" t="n">
        <v>7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5</v>
      </c>
      <c r="T25" s="14">
        <f>IF(COUNT(I25:S25)=0,"",SUM(I25:S25))</f>
        <v/>
      </c>
      <c r="U25" t="inlineStr"/>
    </row>
    <row r="26">
      <c r="A26" t="inlineStr">
        <is>
          <t>다솜어린이집</t>
        </is>
      </c>
      <c r="B26" t="inlineStr">
        <is>
          <t>어린이집</t>
        </is>
      </c>
      <c r="C26" t="inlineStr">
        <is>
          <t>가정</t>
        </is>
      </c>
      <c r="D26" t="inlineStr">
        <is>
          <t>강서구</t>
        </is>
      </c>
      <c r="E26" t="inlineStr">
        <is>
          <t>부산광역시 강서구 명지국제7로 110 109동 102호(명지동, 더 힐 시그니처)</t>
        </is>
      </c>
      <c r="F26" t="inlineStr"/>
      <c r="G26" t="inlineStr">
        <is>
          <t>070-8115-1022</t>
        </is>
      </c>
      <c r="H26" s="15" t="n">
        <v>20</v>
      </c>
      <c r="I26" s="15" t="n">
        <v>6</v>
      </c>
      <c r="J26" s="15" t="n">
        <v>0</v>
      </c>
      <c r="K26" s="15" t="n">
        <v>7</v>
      </c>
      <c r="L26" s="15" t="n">
        <v>0</v>
      </c>
      <c r="M26" s="15" t="n">
        <v>0</v>
      </c>
      <c r="N26" s="15" t="n">
        <v>0</v>
      </c>
      <c r="O26" s="15" t="n">
        <v>6</v>
      </c>
      <c r="P26" s="15" t="n">
        <v>0</v>
      </c>
      <c r="Q26" s="15" t="n">
        <v>0</v>
      </c>
      <c r="R26" s="15" t="n">
        <v>0</v>
      </c>
      <c r="S26" s="15" t="n">
        <v>3</v>
      </c>
      <c r="T26" s="14">
        <f>IF(COUNT(I26:S26)=0,"",SUM(I26:S26))</f>
        <v/>
      </c>
      <c r="U26" t="inlineStr"/>
    </row>
    <row r="27">
      <c r="A27" t="inlineStr">
        <is>
          <t>대방1차아름드리어린이집</t>
        </is>
      </c>
      <c r="B27" t="inlineStr">
        <is>
          <t>어린이집</t>
        </is>
      </c>
      <c r="C27" t="inlineStr">
        <is>
          <t>민간</t>
        </is>
      </c>
      <c r="D27" t="inlineStr">
        <is>
          <t>강서구</t>
        </is>
      </c>
      <c r="E27" t="inlineStr">
        <is>
          <t>부산광역시 강서구 명지국제5로 30 관리동 어린이집(명지동, 대방노블랜드오션뷰1차아파트)</t>
        </is>
      </c>
      <c r="F27" t="inlineStr"/>
      <c r="G27" t="inlineStr">
        <is>
          <t>051-292-0029</t>
        </is>
      </c>
      <c r="H27" s="15" t="n">
        <v>43</v>
      </c>
      <c r="I27" s="15" t="n">
        <v>9</v>
      </c>
      <c r="J27" s="15" t="n">
        <v>20</v>
      </c>
      <c r="K27" s="15" t="n">
        <v>8</v>
      </c>
      <c r="L27" s="15" t="n">
        <v>0</v>
      </c>
      <c r="M27" s="15" t="n">
        <v>0</v>
      </c>
      <c r="N27" s="15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9</v>
      </c>
      <c r="T27" s="14">
        <f>IF(COUNT(I27:S27)=0,"",SUM(I27:S27))</f>
        <v/>
      </c>
      <c r="U27" t="inlineStr"/>
    </row>
    <row r="28">
      <c r="A28" t="inlineStr">
        <is>
          <t>대방아이어린이집</t>
        </is>
      </c>
      <c r="B28" t="inlineStr">
        <is>
          <t>어린이집</t>
        </is>
      </c>
      <c r="C28" t="inlineStr">
        <is>
          <t>가정</t>
        </is>
      </c>
      <c r="D28" t="inlineStr">
        <is>
          <t>강서구</t>
        </is>
      </c>
      <c r="E28" t="inlineStr">
        <is>
          <t>부산광역시 강서구 에코델타3로 120 114동 102호</t>
        </is>
      </c>
      <c r="F28" t="inlineStr"/>
      <c r="G28" t="inlineStr">
        <is>
          <t>051-941-4911</t>
        </is>
      </c>
      <c r="H28" s="15" t="n">
        <v>20</v>
      </c>
      <c r="I28" s="15" t="n">
        <v>9</v>
      </c>
      <c r="J28" s="15" t="n">
        <v>3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14">
        <f>IF(COUNT(I28:S28)=0,"",SUM(I28:S28))</f>
        <v/>
      </c>
      <c r="U28" t="inlineStr"/>
    </row>
    <row r="29">
      <c r="A29" t="inlineStr">
        <is>
          <t>대사라온어린이집</t>
        </is>
      </c>
      <c r="B29" t="inlineStr">
        <is>
          <t>어린이집</t>
        </is>
      </c>
      <c r="C29" t="inlineStr">
        <is>
          <t>민간</t>
        </is>
      </c>
      <c r="D29" t="inlineStr">
        <is>
          <t>강서구</t>
        </is>
      </c>
      <c r="E29" t="inlineStr">
        <is>
          <t>부산광역시 강서구 제도로 1166-11 3통5반 (강동동)</t>
        </is>
      </c>
      <c r="F29" t="inlineStr"/>
      <c r="G29" t="inlineStr">
        <is>
          <t>051-973-5254</t>
        </is>
      </c>
      <c r="H29" s="15" t="n">
        <v>63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</v>
      </c>
      <c r="T29" s="14">
        <f>IF(COUNT(I29:S29)=0,"",SUM(I29:S29))</f>
        <v/>
      </c>
      <c r="U29" t="inlineStr"/>
    </row>
    <row r="30">
      <c r="A30" t="inlineStr">
        <is>
          <t>대저어린이집</t>
        </is>
      </c>
      <c r="B30" t="inlineStr">
        <is>
          <t>어린이집</t>
        </is>
      </c>
      <c r="C30" t="inlineStr">
        <is>
          <t>사회복지법인</t>
        </is>
      </c>
      <c r="D30" t="inlineStr">
        <is>
          <t>강서구</t>
        </is>
      </c>
      <c r="E30" t="inlineStr">
        <is>
          <t>부산광역시 강서구 공항로767번나길 7 (대저2동)</t>
        </is>
      </c>
      <c r="F30" t="inlineStr"/>
      <c r="G30" t="inlineStr">
        <is>
          <t>051-973-4026</t>
        </is>
      </c>
      <c r="H30" s="15" t="n">
        <v>72</v>
      </c>
      <c r="I30" s="15" t="n">
        <v>3</v>
      </c>
      <c r="J30" s="15" t="n">
        <v>16</v>
      </c>
      <c r="K30" s="15" t="n">
        <v>21</v>
      </c>
      <c r="L30" s="15" t="n">
        <v>0</v>
      </c>
      <c r="M30" s="15" t="n">
        <v>0</v>
      </c>
      <c r="N30" s="15" t="n">
        <v>0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14">
        <f>IF(COUNT(I30:S30)=0,"",SUM(I30:S30))</f>
        <v/>
      </c>
      <c r="U30" t="inlineStr"/>
    </row>
    <row r="31">
      <c r="A31" t="inlineStr">
        <is>
          <t>더베르힐어린이집</t>
        </is>
      </c>
      <c r="B31" t="inlineStr">
        <is>
          <t>어린이집</t>
        </is>
      </c>
      <c r="C31" t="inlineStr">
        <is>
          <t>국공립</t>
        </is>
      </c>
      <c r="D31" t="inlineStr">
        <is>
          <t>강서구</t>
        </is>
      </c>
      <c r="E31" t="inlineStr">
        <is>
          <t>부산광역시 강서구 에코델타5로 60</t>
        </is>
      </c>
      <c r="F31" t="inlineStr"/>
      <c r="G31" t="inlineStr">
        <is>
          <t>051-941-4888</t>
        </is>
      </c>
      <c r="H31" s="15" t="n">
        <v>68</v>
      </c>
      <c r="I31" s="15" t="n">
        <v>8</v>
      </c>
      <c r="J31" s="15" t="n">
        <v>35</v>
      </c>
      <c r="K31" s="15" t="n">
        <v>19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5</v>
      </c>
      <c r="T31" s="14">
        <f>IF(COUNT(I31:S31)=0,"",SUM(I31:S31))</f>
        <v/>
      </c>
      <c r="U31" t="inlineStr"/>
    </row>
    <row r="32">
      <c r="A32" t="inlineStr">
        <is>
          <t>더샵해누리어린이집</t>
        </is>
      </c>
      <c r="B32" t="inlineStr">
        <is>
          <t>어린이집</t>
        </is>
      </c>
      <c r="C32" t="inlineStr">
        <is>
          <t>가정</t>
        </is>
      </c>
      <c r="D32" t="inlineStr">
        <is>
          <t>강서구</t>
        </is>
      </c>
      <c r="E32" t="inlineStr">
        <is>
          <t>부산광역시 강서구 명지국제2로 41 306동 106호(명지동, 더샵명지퍼스트월드3단지)</t>
        </is>
      </c>
      <c r="F32" t="inlineStr"/>
      <c r="G32" t="inlineStr">
        <is>
          <t>051-951-5200</t>
        </is>
      </c>
      <c r="H32" s="15" t="n">
        <v>20</v>
      </c>
      <c r="I32" s="15" t="n">
        <v>5</v>
      </c>
      <c r="J32" s="15" t="n">
        <v>7</v>
      </c>
      <c r="K32" s="15" t="n">
        <v>7</v>
      </c>
      <c r="L32" s="15" t="n">
        <v>0</v>
      </c>
      <c r="M32" s="15" t="n">
        <v>0</v>
      </c>
      <c r="N32" s="15" t="n">
        <v>0</v>
      </c>
      <c r="O32" s="15" t="n">
        <v>0</v>
      </c>
      <c r="P32" s="15" t="n">
        <v>0</v>
      </c>
      <c r="Q32" s="15" t="n">
        <v>0</v>
      </c>
      <c r="R32" s="15" t="n">
        <v>0</v>
      </c>
      <c r="S32" s="15" t="n">
        <v>4</v>
      </c>
      <c r="T32" s="14">
        <f>IF(COUNT(I32:S32)=0,"",SUM(I32:S32))</f>
        <v/>
      </c>
      <c r="U32" t="inlineStr"/>
    </row>
    <row r="33">
      <c r="A33" t="inlineStr">
        <is>
          <t>도담도담어린이집</t>
        </is>
      </c>
      <c r="B33" t="inlineStr">
        <is>
          <t>어린이집</t>
        </is>
      </c>
      <c r="C33" t="inlineStr">
        <is>
          <t>가정</t>
        </is>
      </c>
      <c r="D33" t="inlineStr">
        <is>
          <t>강서구</t>
        </is>
      </c>
      <c r="E33" t="inlineStr">
        <is>
          <t>부산광역시 강서구 명지국제5로 165 804동 104호(스위트팰리스아파트)</t>
        </is>
      </c>
      <c r="F33" t="inlineStr"/>
      <c r="G33" t="inlineStr">
        <is>
          <t>051-988-8544</t>
        </is>
      </c>
      <c r="H33" s="15" t="n">
        <v>20</v>
      </c>
      <c r="I33" s="15" t="n">
        <v>0</v>
      </c>
      <c r="J33" s="15" t="n">
        <v>0</v>
      </c>
      <c r="K33" s="15" t="n">
        <v>4</v>
      </c>
      <c r="L33" s="15" t="n">
        <v>0</v>
      </c>
      <c r="M33" s="15" t="n">
        <v>0</v>
      </c>
      <c r="N33" s="15" t="n">
        <v>0</v>
      </c>
      <c r="O33" s="15" t="n">
        <v>3</v>
      </c>
      <c r="P33" s="15" t="n">
        <v>0</v>
      </c>
      <c r="Q33" s="15" t="n">
        <v>0</v>
      </c>
      <c r="R33" s="15" t="n">
        <v>0</v>
      </c>
      <c r="S33" s="15" t="n">
        <v>3</v>
      </c>
      <c r="T33" s="14">
        <f>IF(COUNT(I33:S33)=0,"",SUM(I33:S33))</f>
        <v/>
      </c>
      <c r="U33" t="inlineStr"/>
    </row>
    <row r="34">
      <c r="A34" t="inlineStr">
        <is>
          <t>동화속어린이집</t>
        </is>
      </c>
      <c r="B34" t="inlineStr">
        <is>
          <t>어린이집</t>
        </is>
      </c>
      <c r="C34" t="inlineStr">
        <is>
          <t>가정</t>
        </is>
      </c>
      <c r="D34" t="inlineStr">
        <is>
          <t>강서구</t>
        </is>
      </c>
      <c r="E34" t="inlineStr">
        <is>
          <t>부산광역시 강서구 명지국제7로 111 108동 103호 (명지1동, 명지더웨스턴)</t>
        </is>
      </c>
      <c r="F34" t="inlineStr"/>
      <c r="G34" t="inlineStr">
        <is>
          <t>051-292-3365</t>
        </is>
      </c>
      <c r="H34" s="15" t="n">
        <v>20</v>
      </c>
      <c r="I34" s="15" t="n">
        <v>4</v>
      </c>
      <c r="J34" s="15" t="n">
        <v>9</v>
      </c>
      <c r="K34" s="15" t="n">
        <v>7</v>
      </c>
      <c r="L34" s="15" t="n">
        <v>0</v>
      </c>
      <c r="M34" s="15" t="n">
        <v>0</v>
      </c>
      <c r="N34" s="15" t="n">
        <v>0</v>
      </c>
      <c r="O34" s="15" t="n">
        <v>0</v>
      </c>
      <c r="P34" s="15" t="n">
        <v>0</v>
      </c>
      <c r="Q34" s="15" t="n">
        <v>0</v>
      </c>
      <c r="R34" s="15" t="n">
        <v>0</v>
      </c>
      <c r="S34" s="15" t="n">
        <v>7</v>
      </c>
      <c r="T34" s="14">
        <f>IF(COUNT(I34:S34)=0,"",SUM(I34:S34))</f>
        <v/>
      </c>
      <c r="U34" t="inlineStr"/>
    </row>
    <row r="35">
      <c r="A35" t="inlineStr">
        <is>
          <t>두산사랑나무어린이집</t>
        </is>
      </c>
      <c r="B35" t="inlineStr">
        <is>
          <t>어린이집</t>
        </is>
      </c>
      <c r="C35" t="inlineStr">
        <is>
          <t>가정</t>
        </is>
      </c>
      <c r="D35" t="inlineStr">
        <is>
          <t>강서구</t>
        </is>
      </c>
      <c r="E35" t="inlineStr">
        <is>
          <t>부산광역시 강서구 명지오션시티11로 22 109동104호(명지동,두산위브포세이돈)</t>
        </is>
      </c>
      <c r="F35" t="inlineStr"/>
      <c r="G35" t="inlineStr">
        <is>
          <t>051-205-7775</t>
        </is>
      </c>
      <c r="H35" s="15" t="n">
        <v>20</v>
      </c>
      <c r="I35" s="15" t="n">
        <v>6</v>
      </c>
      <c r="J35" s="15" t="n">
        <v>5</v>
      </c>
      <c r="K35" s="15" t="n">
        <v>6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8</v>
      </c>
      <c r="T35" s="14">
        <f>IF(COUNT(I35:S35)=0,"",SUM(I35:S35))</f>
        <v/>
      </c>
      <c r="U35" t="inlineStr"/>
    </row>
    <row r="36">
      <c r="A36" t="inlineStr">
        <is>
          <t>디에트르더퍼스트어린이집</t>
        </is>
      </c>
      <c r="B36" t="inlineStr">
        <is>
          <t>어린이집</t>
        </is>
      </c>
      <c r="C36" t="inlineStr">
        <is>
          <t>국공립</t>
        </is>
      </c>
      <c r="D36" t="inlineStr">
        <is>
          <t>강서구</t>
        </is>
      </c>
      <c r="E36" t="inlineStr">
        <is>
          <t>부산광역시 강서구 에코델타3로 120 디에트르더퍼스트어린이집</t>
        </is>
      </c>
      <c r="F36" t="inlineStr"/>
      <c r="G36" t="inlineStr">
        <is>
          <t>051-971-3222</t>
        </is>
      </c>
      <c r="H36" s="15" t="n">
        <v>69</v>
      </c>
      <c r="I36" s="15" t="n">
        <v>6</v>
      </c>
      <c r="J36" s="15" t="n">
        <v>14</v>
      </c>
      <c r="K36" s="15" t="n">
        <v>12</v>
      </c>
      <c r="L36" s="15" t="n">
        <v>0</v>
      </c>
      <c r="M36" s="15" t="n">
        <v>0</v>
      </c>
      <c r="N36" s="15" t="n">
        <v>0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4">
        <f>IF(COUNT(I36:S36)=0,"",SUM(I36:S36))</f>
        <v/>
      </c>
      <c r="U36" t="inlineStr"/>
    </row>
    <row r="37">
      <c r="A37" t="inlineStr">
        <is>
          <t>라온숲어린이집</t>
        </is>
      </c>
      <c r="B37" t="inlineStr">
        <is>
          <t>어린이집</t>
        </is>
      </c>
      <c r="C37" t="inlineStr">
        <is>
          <t>가정</t>
        </is>
      </c>
      <c r="D37" t="inlineStr">
        <is>
          <t>강서구</t>
        </is>
      </c>
      <c r="E37" t="inlineStr">
        <is>
          <t>부산광역시 강서구 명지국제5로 59 104동 104호(명지동, 금강펜테리움)</t>
        </is>
      </c>
      <c r="F37" t="inlineStr"/>
      <c r="G37" t="inlineStr">
        <is>
          <t>051-203-4283</t>
        </is>
      </c>
      <c r="H37" s="15" t="n">
        <v>20</v>
      </c>
      <c r="I37" s="15" t="n">
        <v>6</v>
      </c>
      <c r="J37" s="15" t="n">
        <v>4</v>
      </c>
      <c r="K37" s="15" t="n">
        <v>6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3</v>
      </c>
      <c r="T37" s="14">
        <f>IF(COUNT(I37:S37)=0,"",SUM(I37:S37))</f>
        <v/>
      </c>
      <c r="U37" t="inlineStr"/>
    </row>
    <row r="38">
      <c r="A38" t="inlineStr">
        <is>
          <t>라온제나어린이집</t>
        </is>
      </c>
      <c r="B38" t="inlineStr">
        <is>
          <t>어린이집</t>
        </is>
      </c>
      <c r="C38" t="inlineStr">
        <is>
          <t>사회복지법인</t>
        </is>
      </c>
      <c r="D38" t="inlineStr">
        <is>
          <t>강서구</t>
        </is>
      </c>
      <c r="E38" t="inlineStr">
        <is>
          <t>부산광역시 강서구 영강길 153-12 (명지동)</t>
        </is>
      </c>
      <c r="F38" t="inlineStr"/>
      <c r="G38" t="inlineStr">
        <is>
          <t>051-271-8303</t>
        </is>
      </c>
      <c r="H38" s="15" t="n">
        <v>94</v>
      </c>
      <c r="I38" s="15" t="n">
        <v>0</v>
      </c>
      <c r="J38" s="15" t="n">
        <v>10</v>
      </c>
      <c r="K38" s="15" t="n">
        <v>21</v>
      </c>
      <c r="L38" s="15" t="n">
        <v>30</v>
      </c>
      <c r="M38" s="15" t="n">
        <v>9</v>
      </c>
      <c r="N38" s="15" t="n">
        <v>0</v>
      </c>
      <c r="O38" s="15" t="n">
        <v>0</v>
      </c>
      <c r="P38" s="15" t="n">
        <v>19</v>
      </c>
      <c r="Q38" s="15" t="n">
        <v>0</v>
      </c>
      <c r="R38" s="15" t="n">
        <v>0</v>
      </c>
      <c r="S38" s="15" t="n">
        <v>10</v>
      </c>
      <c r="T38" s="14">
        <f>IF(COUNT(I38:S38)=0,"",SUM(I38:S38))</f>
        <v/>
      </c>
      <c r="U38" t="inlineStr"/>
    </row>
    <row r="39">
      <c r="A39" t="inlineStr">
        <is>
          <t>롯데캐슬어린이집</t>
        </is>
      </c>
      <c r="B39" t="inlineStr">
        <is>
          <t>어린이집</t>
        </is>
      </c>
      <c r="C39" t="inlineStr">
        <is>
          <t>가정</t>
        </is>
      </c>
      <c r="D39" t="inlineStr">
        <is>
          <t>강서구</t>
        </is>
      </c>
      <c r="E39" t="inlineStr">
        <is>
          <t>부산광역시 강서구 명지오션시티11로 84 116동 104호(명지동, 롯데캐슬아파트)</t>
        </is>
      </c>
      <c r="F39" s="11" t="inlineStr">
        <is>
          <t>http://blog.naver.com/bskslottecastle</t>
        </is>
      </c>
      <c r="G39" t="inlineStr">
        <is>
          <t>051-271-5800</t>
        </is>
      </c>
      <c r="H39" s="15" t="n">
        <v>20</v>
      </c>
      <c r="I39" s="15" t="n">
        <v>2</v>
      </c>
      <c r="J39" s="15" t="n">
        <v>6</v>
      </c>
      <c r="K39" s="15" t="n">
        <v>5</v>
      </c>
      <c r="L39" s="15" t="n">
        <v>0</v>
      </c>
      <c r="M39" s="15" t="n">
        <v>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2</v>
      </c>
      <c r="T39" s="14">
        <f>IF(COUNT(I39:S39)=0,"",SUM(I39:S39))</f>
        <v/>
      </c>
      <c r="U39" t="inlineStr"/>
    </row>
    <row r="40">
      <c r="A40" t="inlineStr">
        <is>
          <t>리베어린이집</t>
        </is>
      </c>
      <c r="B40" t="inlineStr">
        <is>
          <t>어린이집</t>
        </is>
      </c>
      <c r="C40" t="inlineStr">
        <is>
          <t>가정</t>
        </is>
      </c>
      <c r="D40" t="inlineStr">
        <is>
          <t>강서구</t>
        </is>
      </c>
      <c r="E40" t="inlineStr">
        <is>
          <t>부산광역시 강서구 명지국제2로 41 302동 105호(명지동, 더샵명지퍼스트월드3단지)</t>
        </is>
      </c>
      <c r="F40" t="inlineStr"/>
      <c r="G40" t="inlineStr">
        <is>
          <t>051-271-1196</t>
        </is>
      </c>
      <c r="H40" s="15" t="n">
        <v>20</v>
      </c>
      <c r="I40" s="15" t="n">
        <v>9</v>
      </c>
      <c r="J40" s="15" t="n">
        <v>5</v>
      </c>
      <c r="K40" s="15" t="n">
        <v>6</v>
      </c>
      <c r="L40" s="15" t="n">
        <v>0</v>
      </c>
      <c r="M40" s="15" t="n">
        <v>0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v>0</v>
      </c>
      <c r="S40" s="15" t="n">
        <v>5</v>
      </c>
      <c r="T40" s="14">
        <f>IF(COUNT(I40:S40)=0,"",SUM(I40:S40))</f>
        <v/>
      </c>
      <c r="U40" t="inlineStr"/>
    </row>
    <row r="41">
      <c r="A41" t="inlineStr">
        <is>
          <t>링컨어린이집</t>
        </is>
      </c>
      <c r="B41" t="inlineStr">
        <is>
          <t>어린이집</t>
        </is>
      </c>
      <c r="C41" t="inlineStr">
        <is>
          <t>민간</t>
        </is>
      </c>
      <c r="D41" t="inlineStr">
        <is>
          <t>강서구</t>
        </is>
      </c>
      <c r="E41" t="inlineStr">
        <is>
          <t>부산광역시 강서구 명지오션시티10로 16 퀸덤1차 링컨타운 211동 1층 (명지동)</t>
        </is>
      </c>
      <c r="F41" t="inlineStr"/>
      <c r="G41" t="inlineStr">
        <is>
          <t>051-997-1231</t>
        </is>
      </c>
      <c r="H41" s="15" t="n">
        <v>30</v>
      </c>
      <c r="I41" s="15" t="n">
        <v>5</v>
      </c>
      <c r="J41" s="15" t="n">
        <v>9</v>
      </c>
      <c r="K41" s="15" t="n">
        <v>12</v>
      </c>
      <c r="L41" s="15" t="n">
        <v>0</v>
      </c>
      <c r="M41" s="15" t="n">
        <v>0</v>
      </c>
      <c r="N41" s="15" t="n">
        <v>0</v>
      </c>
      <c r="O41" s="15" t="n">
        <v>0</v>
      </c>
      <c r="P41" s="15" t="n">
        <v>0</v>
      </c>
      <c r="Q41" s="15" t="n">
        <v>0</v>
      </c>
      <c r="R41" s="15" t="n">
        <v>0</v>
      </c>
      <c r="S41" s="15" t="n">
        <v>4</v>
      </c>
      <c r="T41" s="14">
        <f>IF(COUNT(I41:S41)=0,"",SUM(I41:S41))</f>
        <v/>
      </c>
      <c r="U41" t="inlineStr"/>
    </row>
    <row r="42">
      <c r="A42" t="inlineStr">
        <is>
          <t>명지녹산산단 명지어린이집</t>
        </is>
      </c>
      <c r="B42" t="inlineStr">
        <is>
          <t>어린이집</t>
        </is>
      </c>
      <c r="C42" t="inlineStr">
        <is>
          <t>직장</t>
        </is>
      </c>
      <c r="D42" t="inlineStr">
        <is>
          <t>강서구</t>
        </is>
      </c>
      <c r="E42" t="inlineStr">
        <is>
          <t>부산광역시 강서구 명지오션시티11로 79 (명지동)</t>
        </is>
      </c>
      <c r="F42" t="inlineStr"/>
      <c r="G42" t="inlineStr">
        <is>
          <t>051-208-7009</t>
        </is>
      </c>
      <c r="H42" s="15" t="n">
        <v>95</v>
      </c>
      <c r="I42" s="15" t="n">
        <v>3</v>
      </c>
      <c r="J42" s="15" t="n">
        <v>8</v>
      </c>
      <c r="K42" s="15" t="n">
        <v>13</v>
      </c>
      <c r="L42" s="15" t="n">
        <v>11</v>
      </c>
      <c r="M42" s="15" t="n">
        <v>0</v>
      </c>
      <c r="N42" s="15" t="n">
        <v>0</v>
      </c>
      <c r="O42" s="15" t="n">
        <v>5</v>
      </c>
      <c r="P42" s="15" t="n">
        <v>14</v>
      </c>
      <c r="Q42" s="15" t="n">
        <v>0</v>
      </c>
      <c r="R42" s="15" t="n">
        <v>0</v>
      </c>
      <c r="S42" s="15" t="n">
        <v>12</v>
      </c>
      <c r="T42" s="14">
        <f>IF(COUNT(I42:S42)=0,"",SUM(I42:S42))</f>
        <v/>
      </c>
      <c r="U42" t="inlineStr"/>
    </row>
    <row r="43">
      <c r="A43" t="inlineStr">
        <is>
          <t>명지더샵2단지어린이집</t>
        </is>
      </c>
      <c r="B43" t="inlineStr">
        <is>
          <t>어린이집</t>
        </is>
      </c>
      <c r="C43" t="inlineStr">
        <is>
          <t>국공립</t>
        </is>
      </c>
      <c r="D43" t="inlineStr">
        <is>
          <t>강서구</t>
        </is>
      </c>
      <c r="E43" t="inlineStr">
        <is>
          <t>부산광역시 강서구 명지국제7로 37 (명지동, 더샵명지퍼스트월드2단지)</t>
        </is>
      </c>
      <c r="F43" t="inlineStr"/>
      <c r="G43" t="inlineStr">
        <is>
          <t>051-291-0077</t>
        </is>
      </c>
      <c r="H43" s="15" t="n">
        <v>56</v>
      </c>
      <c r="I43" s="15" t="n">
        <v>10</v>
      </c>
      <c r="J43" s="15" t="n">
        <v>15</v>
      </c>
      <c r="K43" s="15" t="n">
        <v>28</v>
      </c>
      <c r="L43" s="15" t="n">
        <v>0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15</v>
      </c>
      <c r="T43" s="14">
        <f>IF(COUNT(I43:S43)=0,"",SUM(I43:S43))</f>
        <v/>
      </c>
      <c r="U43" t="inlineStr"/>
    </row>
    <row r="44">
      <c r="A44" t="inlineStr">
        <is>
          <t>명지더샵3단지어린이집</t>
        </is>
      </c>
      <c r="B44" t="inlineStr">
        <is>
          <t>어린이집</t>
        </is>
      </c>
      <c r="C44" t="inlineStr">
        <is>
          <t>국공립</t>
        </is>
      </c>
      <c r="D44" t="inlineStr">
        <is>
          <t>강서구</t>
        </is>
      </c>
      <c r="E44" t="inlineStr">
        <is>
          <t>부산광역시 강서구 명지국제2로 41 (명지동, 더샵명지퍼스트월드3단지)</t>
        </is>
      </c>
      <c r="F44" t="inlineStr"/>
      <c r="G44" t="inlineStr">
        <is>
          <t>051-201-3403</t>
        </is>
      </c>
      <c r="H44" s="15" t="n">
        <v>58</v>
      </c>
      <c r="I44" s="15" t="n">
        <v>0</v>
      </c>
      <c r="J44" s="15" t="n">
        <v>28</v>
      </c>
      <c r="K44" s="15" t="n">
        <v>28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5</v>
      </c>
      <c r="T44" s="14">
        <f>IF(COUNT(I44:S44)=0,"",SUM(I44:S44))</f>
        <v/>
      </c>
      <c r="U44" t="inlineStr"/>
    </row>
    <row r="45">
      <c r="A45" t="inlineStr">
        <is>
          <t>명지삼정어린이집</t>
        </is>
      </c>
      <c r="B45" t="inlineStr">
        <is>
          <t>어린이집</t>
        </is>
      </c>
      <c r="C45" t="inlineStr">
        <is>
          <t>국공립</t>
        </is>
      </c>
      <c r="D45" t="inlineStr">
        <is>
          <t>강서구</t>
        </is>
      </c>
      <c r="E45" t="inlineStr">
        <is>
          <t>부산광역시 강서구 명지국제3로 97 (명지동, 삼정그린코아더베스트)</t>
        </is>
      </c>
      <c r="F45" t="inlineStr"/>
      <c r="G45" t="inlineStr">
        <is>
          <t>051-206-2235</t>
        </is>
      </c>
      <c r="H45" s="15" t="n">
        <v>30</v>
      </c>
      <c r="I45" s="15" t="n">
        <v>5</v>
      </c>
      <c r="J45" s="15" t="n">
        <v>10</v>
      </c>
      <c r="K45" s="15" t="n">
        <v>14</v>
      </c>
      <c r="L45" s="15" t="n">
        <v>0</v>
      </c>
      <c r="M45" s="15" t="n">
        <v>0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5</v>
      </c>
      <c r="T45" s="14">
        <f>IF(COUNT(I45:S45)=0,"",SUM(I45:S45))</f>
        <v/>
      </c>
      <c r="U45" t="inlineStr"/>
    </row>
    <row r="46">
      <c r="A46" t="inlineStr">
        <is>
          <t>명지엘크루어린이집</t>
        </is>
      </c>
      <c r="B46" t="inlineStr">
        <is>
          <t>어린이집</t>
        </is>
      </c>
      <c r="C46" t="inlineStr">
        <is>
          <t>민간</t>
        </is>
      </c>
      <c r="D46" t="inlineStr">
        <is>
          <t>강서구</t>
        </is>
      </c>
      <c r="E46" t="inlineStr">
        <is>
          <t>부산광역시 강서구 명지오션시티12로 10 107동(1층) (명지동, 엘크루솔마레)</t>
        </is>
      </c>
      <c r="F46" t="inlineStr"/>
      <c r="G46" t="inlineStr">
        <is>
          <t>051-293-3336</t>
        </is>
      </c>
      <c r="H46" s="15" t="n">
        <v>23</v>
      </c>
      <c r="I46" s="15" t="n">
        <v>3</v>
      </c>
      <c r="J46" s="15" t="n">
        <v>9</v>
      </c>
      <c r="K46" s="15" t="n">
        <v>5</v>
      </c>
      <c r="L46" s="15" t="n">
        <v>0</v>
      </c>
      <c r="M46" s="15" t="n">
        <v>0</v>
      </c>
      <c r="N46" s="15" t="n">
        <v>0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5</v>
      </c>
      <c r="T46" s="14">
        <f>IF(COUNT(I46:S46)=0,"",SUM(I46:S46))</f>
        <v/>
      </c>
      <c r="U46" t="inlineStr"/>
    </row>
    <row r="47">
      <c r="A47" t="inlineStr">
        <is>
          <t>명지이편한어린이집</t>
        </is>
      </c>
      <c r="B47" t="inlineStr">
        <is>
          <t>어린이집</t>
        </is>
      </c>
      <c r="C47" t="inlineStr">
        <is>
          <t>국공립</t>
        </is>
      </c>
      <c r="D47" t="inlineStr">
        <is>
          <t>강서구</t>
        </is>
      </c>
      <c r="E47" t="inlineStr">
        <is>
          <t>부산광역시 강서구 명지국제2로 80 (명지동, e편한세상명지)</t>
        </is>
      </c>
      <c r="F47" t="inlineStr"/>
      <c r="G47" t="inlineStr">
        <is>
          <t>051-206-1007</t>
        </is>
      </c>
      <c r="H47" s="15" t="n">
        <v>30</v>
      </c>
      <c r="I47" s="15" t="n">
        <v>0</v>
      </c>
      <c r="J47" s="15" t="n">
        <v>15</v>
      </c>
      <c r="K47" s="15" t="n">
        <v>14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5</v>
      </c>
      <c r="T47" s="14">
        <f>IF(COUNT(I47:S47)=0,"",SUM(I47:S47))</f>
        <v/>
      </c>
      <c r="U47" t="inlineStr"/>
    </row>
    <row r="48">
      <c r="A48" t="inlineStr">
        <is>
          <t>명지큰별어린이집</t>
        </is>
      </c>
      <c r="B48" t="inlineStr">
        <is>
          <t>어린이집</t>
        </is>
      </c>
      <c r="C48" t="inlineStr">
        <is>
          <t>국공립</t>
        </is>
      </c>
      <c r="D48" t="inlineStr">
        <is>
          <t>강서구</t>
        </is>
      </c>
      <c r="E48" t="inlineStr">
        <is>
          <t>부산광역시 강서구 명지오션시티2로 71 (명지동, 극동스타클래스)</t>
        </is>
      </c>
      <c r="F48" t="inlineStr"/>
      <c r="G48" t="inlineStr">
        <is>
          <t>051-271-7211</t>
        </is>
      </c>
      <c r="H48" s="15" t="n">
        <v>48</v>
      </c>
      <c r="I48" s="15" t="n">
        <v>6</v>
      </c>
      <c r="J48" s="15" t="n">
        <v>20</v>
      </c>
      <c r="K48" s="15" t="n">
        <v>21</v>
      </c>
      <c r="L48" s="15" t="n">
        <v>0</v>
      </c>
      <c r="M48" s="15" t="n">
        <v>0</v>
      </c>
      <c r="N48" s="15" t="n">
        <v>0</v>
      </c>
      <c r="O48" s="15" t="n">
        <v>0</v>
      </c>
      <c r="P48" s="15" t="n">
        <v>0</v>
      </c>
      <c r="Q48" s="15" t="n">
        <v>0</v>
      </c>
      <c r="R48" s="15" t="n">
        <v>0</v>
      </c>
      <c r="S48" s="15" t="n">
        <v>5</v>
      </c>
      <c r="T48" s="14">
        <f>IF(COUNT(I48:S48)=0,"",SUM(I48:S48))</f>
        <v/>
      </c>
      <c r="U48" t="inlineStr"/>
    </row>
    <row r="49">
      <c r="A49" t="inlineStr">
        <is>
          <t>무궁화어린이집</t>
        </is>
      </c>
      <c r="B49" t="inlineStr">
        <is>
          <t>어린이집</t>
        </is>
      </c>
      <c r="C49" t="inlineStr">
        <is>
          <t>사회복지법인</t>
        </is>
      </c>
      <c r="D49" t="inlineStr">
        <is>
          <t>강서구</t>
        </is>
      </c>
      <c r="E49" t="inlineStr">
        <is>
          <t>부산광역시 강서구 명지국제7로 190 (명지동)</t>
        </is>
      </c>
      <c r="F49" t="inlineStr"/>
      <c r="G49" t="inlineStr">
        <is>
          <t>051-271-2940</t>
        </is>
      </c>
      <c r="H49" s="15" t="n">
        <v>300</v>
      </c>
      <c r="I49" s="15" t="n">
        <v>0</v>
      </c>
      <c r="J49" s="15" t="n">
        <v>23</v>
      </c>
      <c r="K49" s="15" t="n">
        <v>42</v>
      </c>
      <c r="L49" s="15" t="n">
        <v>75</v>
      </c>
      <c r="M49" s="15" t="n">
        <v>39</v>
      </c>
      <c r="N49" s="15" t="n">
        <v>33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9</v>
      </c>
      <c r="T49" s="14">
        <f>IF(COUNT(I49:S49)=0,"",SUM(I49:S49))</f>
        <v/>
      </c>
      <c r="U49" t="inlineStr"/>
    </row>
    <row r="50">
      <c r="A50" t="inlineStr">
        <is>
          <t>미소어린이집</t>
        </is>
      </c>
      <c r="B50" t="inlineStr">
        <is>
          <t>어린이집</t>
        </is>
      </c>
      <c r="C50" t="inlineStr">
        <is>
          <t>가정</t>
        </is>
      </c>
      <c r="D50" t="inlineStr">
        <is>
          <t>강서구</t>
        </is>
      </c>
      <c r="E50" t="inlineStr">
        <is>
          <t>부산광역시 강서구 명지오션시티11로 84 102동 103호(명지동,롯데캐슬)</t>
        </is>
      </c>
      <c r="F50" t="inlineStr"/>
      <c r="G50" t="inlineStr">
        <is>
          <t>051-271-7627</t>
        </is>
      </c>
      <c r="H50" s="15" t="n">
        <v>20</v>
      </c>
      <c r="I50" s="15" t="n">
        <v>2</v>
      </c>
      <c r="J50" s="15" t="n">
        <v>0</v>
      </c>
      <c r="K50" s="15" t="n">
        <v>7</v>
      </c>
      <c r="L50" s="15" t="n">
        <v>0</v>
      </c>
      <c r="M50" s="15" t="n">
        <v>0</v>
      </c>
      <c r="N50" s="15" t="n">
        <v>0</v>
      </c>
      <c r="O50" s="15" t="n">
        <v>4</v>
      </c>
      <c r="P50" s="15" t="n">
        <v>0</v>
      </c>
      <c r="Q50" s="15" t="n">
        <v>0</v>
      </c>
      <c r="R50" s="15" t="n">
        <v>0</v>
      </c>
      <c r="S50" s="15" t="n">
        <v>5</v>
      </c>
      <c r="T50" s="14">
        <f>IF(COUNT(I50:S50)=0,"",SUM(I50:S50))</f>
        <v/>
      </c>
      <c r="U50" t="inlineStr"/>
    </row>
    <row r="51">
      <c r="A51" t="inlineStr">
        <is>
          <t>민들레어린이집</t>
        </is>
      </c>
      <c r="B51" t="inlineStr">
        <is>
          <t>어린이집</t>
        </is>
      </c>
      <c r="C51" t="inlineStr">
        <is>
          <t>가정</t>
        </is>
      </c>
      <c r="D51" t="inlineStr">
        <is>
          <t>강서구</t>
        </is>
      </c>
      <c r="E51" t="inlineStr">
        <is>
          <t>부산광역시 강서구 신호산단3로 27 101동104호(신호동, 사랑으로부영1차아파트)</t>
        </is>
      </c>
      <c r="F51" t="inlineStr"/>
      <c r="G51" t="inlineStr">
        <is>
          <t>051-972-0706</t>
        </is>
      </c>
      <c r="H51" s="15" t="n">
        <v>20</v>
      </c>
      <c r="I51" s="15" t="n">
        <v>2</v>
      </c>
      <c r="J51" s="15" t="n">
        <v>3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3</v>
      </c>
      <c r="T51" s="14">
        <f>IF(COUNT(I51:S51)=0,"",SUM(I51:S51))</f>
        <v/>
      </c>
      <c r="U51" t="inlineStr"/>
    </row>
    <row r="52">
      <c r="A52" t="inlineStr">
        <is>
          <t>베르힐햇살어린이집</t>
        </is>
      </c>
      <c r="B52" t="inlineStr">
        <is>
          <t>어린이집</t>
        </is>
      </c>
      <c r="C52" t="inlineStr">
        <is>
          <t>가정</t>
        </is>
      </c>
      <c r="D52" t="inlineStr">
        <is>
          <t>강서구</t>
        </is>
      </c>
      <c r="E52" t="inlineStr">
        <is>
          <t>부산광역시 강서구 에코델타5로 60 114동 102호</t>
        </is>
      </c>
      <c r="F52" t="inlineStr"/>
      <c r="G52" t="inlineStr">
        <is>
          <t>051-964-7954</t>
        </is>
      </c>
      <c r="H52" s="15" t="n">
        <v>20</v>
      </c>
      <c r="I52" s="15" t="n">
        <v>8</v>
      </c>
      <c r="J52" s="15" t="n">
        <v>0</v>
      </c>
      <c r="K52" s="15" t="n">
        <v>6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3</v>
      </c>
      <c r="T52" s="14">
        <f>IF(COUNT(I52:S52)=0,"",SUM(I52:S52))</f>
        <v/>
      </c>
      <c r="U52" t="inlineStr"/>
    </row>
    <row r="53">
      <c r="A53" t="inlineStr">
        <is>
          <t>별솔어린이집</t>
        </is>
      </c>
      <c r="B53" t="inlineStr">
        <is>
          <t>어린이집</t>
        </is>
      </c>
      <c r="C53" t="inlineStr">
        <is>
          <t>가정</t>
        </is>
      </c>
      <c r="D53" t="inlineStr">
        <is>
          <t>강서구</t>
        </is>
      </c>
      <c r="E53" t="inlineStr">
        <is>
          <t>부산광역시 강서구 에코델타1로 42 104-102</t>
        </is>
      </c>
      <c r="F53" t="inlineStr"/>
      <c r="G53" t="inlineStr">
        <is>
          <t>051-972-4531</t>
        </is>
      </c>
      <c r="H53" s="15" t="n">
        <v>20</v>
      </c>
      <c r="I53" s="15" t="n">
        <v>12</v>
      </c>
      <c r="J53" s="15" t="n">
        <v>5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2</v>
      </c>
      <c r="T53" s="14">
        <f>IF(COUNT(I53:S53)=0,"",SUM(I53:S53))</f>
        <v/>
      </c>
      <c r="U53" t="inlineStr"/>
    </row>
    <row r="54">
      <c r="A54" t="inlineStr">
        <is>
          <t>별하어린이집</t>
        </is>
      </c>
      <c r="B54" t="inlineStr">
        <is>
          <t>어린이집</t>
        </is>
      </c>
      <c r="C54" t="inlineStr">
        <is>
          <t>가정</t>
        </is>
      </c>
      <c r="D54" t="inlineStr">
        <is>
          <t>강서구</t>
        </is>
      </c>
      <c r="E54" t="inlineStr">
        <is>
          <t>부산광역시 강서구 명지국제7로 110 109동 103호 (명지동, 더 힐 시그니처)</t>
        </is>
      </c>
      <c r="F54" t="inlineStr"/>
      <c r="G54" t="inlineStr">
        <is>
          <t>051-202-6233</t>
        </is>
      </c>
      <c r="H54" s="15" t="n">
        <v>20</v>
      </c>
      <c r="I54" s="15" t="n">
        <v>3</v>
      </c>
      <c r="J54" s="15" t="n">
        <v>10</v>
      </c>
      <c r="K54" s="15" t="n">
        <v>4</v>
      </c>
      <c r="L54" s="15" t="n">
        <v>0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5</v>
      </c>
      <c r="T54" s="14">
        <f>IF(COUNT(I54:S54)=0,"",SUM(I54:S54))</f>
        <v/>
      </c>
      <c r="U54" t="inlineStr"/>
    </row>
    <row r="55">
      <c r="A55" t="inlineStr">
        <is>
          <t>봄누리어린이집</t>
        </is>
      </c>
      <c r="B55" t="inlineStr">
        <is>
          <t>어린이집</t>
        </is>
      </c>
      <c r="C55" t="inlineStr">
        <is>
          <t>민간</t>
        </is>
      </c>
      <c r="D55" t="inlineStr">
        <is>
          <t>강서구</t>
        </is>
      </c>
      <c r="E55" t="inlineStr">
        <is>
          <t>부산광역시 강서구 명지오션시티10로 114 (명지동, 삼정그린코아아파트)</t>
        </is>
      </c>
      <c r="F55" t="inlineStr"/>
      <c r="G55" t="inlineStr">
        <is>
          <t>051-271-1898</t>
        </is>
      </c>
      <c r="H55" s="15" t="n">
        <v>48</v>
      </c>
      <c r="I55" s="15" t="n">
        <v>8</v>
      </c>
      <c r="J55" s="15" t="n">
        <v>18</v>
      </c>
      <c r="K55" s="15" t="n">
        <v>21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5</v>
      </c>
      <c r="T55" s="14">
        <f>IF(COUNT(I55:S55)=0,"",SUM(I55:S55))</f>
        <v/>
      </c>
      <c r="U55" t="inlineStr"/>
    </row>
    <row r="56">
      <c r="A56" t="inlineStr">
        <is>
          <t>봄빛어린이집</t>
        </is>
      </c>
      <c r="B56" t="inlineStr">
        <is>
          <t>어린이집</t>
        </is>
      </c>
      <c r="C56" t="inlineStr">
        <is>
          <t>가정</t>
        </is>
      </c>
      <c r="D56" t="inlineStr">
        <is>
          <t>강서구</t>
        </is>
      </c>
      <c r="E56" t="inlineStr">
        <is>
          <t>부산광역시 강서구 명지국제5로 165 805동 103호(명지동,스위트팰리스)</t>
        </is>
      </c>
      <c r="F56" t="inlineStr"/>
      <c r="G56" t="inlineStr">
        <is>
          <t>051-201-1599</t>
        </is>
      </c>
      <c r="H56" s="15" t="n">
        <v>20</v>
      </c>
      <c r="I56" s="15" t="n">
        <v>4</v>
      </c>
      <c r="J56" s="15" t="n">
        <v>9</v>
      </c>
      <c r="K56" s="15" t="n">
        <v>7</v>
      </c>
      <c r="L56" s="15" t="n">
        <v>0</v>
      </c>
      <c r="M56" s="15" t="n">
        <v>0</v>
      </c>
      <c r="N56" s="15" t="n">
        <v>0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7</v>
      </c>
      <c r="T56" s="14">
        <f>IF(COUNT(I56:S56)=0,"",SUM(I56:S56))</f>
        <v/>
      </c>
      <c r="U56" t="inlineStr"/>
    </row>
    <row r="57">
      <c r="A57" t="inlineStr">
        <is>
          <t>부산서부지원어린이집</t>
        </is>
      </c>
      <c r="B57" t="inlineStr">
        <is>
          <t>어린이집</t>
        </is>
      </c>
      <c r="C57" t="inlineStr">
        <is>
          <t>직장</t>
        </is>
      </c>
      <c r="D57" t="inlineStr">
        <is>
          <t>강서구</t>
        </is>
      </c>
      <c r="E57" t="inlineStr">
        <is>
          <t>부산광역시 강서구 명지국제7로 77 부산지방법원 서부지원2층</t>
        </is>
      </c>
      <c r="F57" t="inlineStr"/>
      <c r="G57" t="inlineStr">
        <is>
          <t>051-812-1520</t>
        </is>
      </c>
      <c r="H57" s="15" t="n">
        <v>49</v>
      </c>
      <c r="I57" s="15" t="n">
        <v>0</v>
      </c>
      <c r="J57" s="15" t="n">
        <v>8</v>
      </c>
      <c r="K57" s="15" t="n">
        <v>6</v>
      </c>
      <c r="L57" s="15" t="n">
        <v>3</v>
      </c>
      <c r="M57" s="15" t="n">
        <v>0</v>
      </c>
      <c r="N57" s="15" t="n">
        <v>0</v>
      </c>
      <c r="O57" s="15" t="n">
        <v>0</v>
      </c>
      <c r="P57" s="15" t="n">
        <v>9</v>
      </c>
      <c r="Q57" s="15" t="n">
        <v>0</v>
      </c>
      <c r="R57" s="15" t="n">
        <v>0</v>
      </c>
      <c r="S57" s="15" t="n">
        <v>19</v>
      </c>
      <c r="T57" s="14">
        <f>IF(COUNT(I57:S57)=0,"",SUM(I57:S57))</f>
        <v/>
      </c>
      <c r="U57" t="inlineStr"/>
    </row>
    <row r="58">
      <c r="A58" t="inlineStr">
        <is>
          <t>부산신호1차부영사랑으로어린이집</t>
        </is>
      </c>
      <c r="B58" t="inlineStr">
        <is>
          <t>어린이집</t>
        </is>
      </c>
      <c r="C58" t="inlineStr">
        <is>
          <t>민간</t>
        </is>
      </c>
      <c r="D58" t="inlineStr">
        <is>
          <t>강서구</t>
        </is>
      </c>
      <c r="E58" t="inlineStr">
        <is>
          <t>부산광역시 강서구 신호산단3로 27 104동(신호동, 부영1차아파트)</t>
        </is>
      </c>
      <c r="F58" s="11" t="inlineStr">
        <is>
          <t>https://booyoung1.kidsnote.ac/home/main</t>
        </is>
      </c>
      <c r="G58" t="inlineStr">
        <is>
          <t>051-832-2204</t>
        </is>
      </c>
      <c r="H58" s="15" t="n">
        <v>39</v>
      </c>
      <c r="I58" s="15" t="n">
        <v>8</v>
      </c>
      <c r="J58" s="15" t="n">
        <v>4</v>
      </c>
      <c r="K58" s="15" t="n">
        <v>8</v>
      </c>
      <c r="L58" s="15" t="n">
        <v>8</v>
      </c>
      <c r="M58" s="15" t="n">
        <v>0</v>
      </c>
      <c r="N58" s="15" t="n">
        <v>0</v>
      </c>
      <c r="O58" s="15" t="n">
        <v>5</v>
      </c>
      <c r="P58" s="15" t="n">
        <v>0</v>
      </c>
      <c r="Q58" s="15" t="n">
        <v>0</v>
      </c>
      <c r="R58" s="15" t="n">
        <v>0</v>
      </c>
      <c r="S58" s="15" t="n">
        <v>15</v>
      </c>
      <c r="T58" s="14">
        <f>IF(COUNT(I58:S58)=0,"",SUM(I58:S58))</f>
        <v/>
      </c>
      <c r="U58" t="inlineStr"/>
    </row>
    <row r="59">
      <c r="A59" t="inlineStr">
        <is>
          <t>부산신호2차부영사랑으로어린이집</t>
        </is>
      </c>
      <c r="B59" t="inlineStr">
        <is>
          <t>어린이집</t>
        </is>
      </c>
      <c r="C59" t="inlineStr">
        <is>
          <t>민간</t>
        </is>
      </c>
      <c r="D59" t="inlineStr">
        <is>
          <t>강서구</t>
        </is>
      </c>
      <c r="E59" t="inlineStr">
        <is>
          <t>부산광역시 강서구 신호산단4로 27 207동(신호동, 부영2차아파트)</t>
        </is>
      </c>
      <c r="F59" t="inlineStr"/>
      <c r="G59" t="inlineStr">
        <is>
          <t>051-971-1279</t>
        </is>
      </c>
      <c r="H59" s="15" t="n">
        <v>48</v>
      </c>
      <c r="I59" s="15" t="n">
        <v>6</v>
      </c>
      <c r="J59" s="15" t="n">
        <v>9</v>
      </c>
      <c r="K59" s="15" t="n">
        <v>12</v>
      </c>
      <c r="L59" s="15" t="n">
        <v>8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9</v>
      </c>
      <c r="T59" s="14">
        <f>IF(COUNT(I59:S59)=0,"",SUM(I59:S59))</f>
        <v/>
      </c>
      <c r="U59" t="inlineStr"/>
    </row>
    <row r="60">
      <c r="A60" t="inlineStr">
        <is>
          <t>부산신호3차부영사랑으로어린이집</t>
        </is>
      </c>
      <c r="B60" t="inlineStr">
        <is>
          <t>어린이집</t>
        </is>
      </c>
      <c r="C60" t="inlineStr">
        <is>
          <t>민간</t>
        </is>
      </c>
      <c r="D60" t="inlineStr">
        <is>
          <t>강서구</t>
        </is>
      </c>
      <c r="E60" t="inlineStr">
        <is>
          <t>부산광역시 강서구 신호산단5로 31 318동(신호동, 부영3차아파트)</t>
        </is>
      </c>
      <c r="F60" t="inlineStr"/>
      <c r="G60" t="inlineStr">
        <is>
          <t>051-832-2253</t>
        </is>
      </c>
      <c r="H60" s="15" t="n">
        <v>49</v>
      </c>
      <c r="I60" s="15" t="n">
        <v>4</v>
      </c>
      <c r="J60" s="15" t="n">
        <v>19</v>
      </c>
      <c r="K60" s="15" t="n">
        <v>7</v>
      </c>
      <c r="L60" s="15" t="n">
        <v>0</v>
      </c>
      <c r="M60" s="15" t="n">
        <v>0</v>
      </c>
      <c r="N60" s="15" t="n">
        <v>0</v>
      </c>
      <c r="O60" s="15" t="n">
        <v>0</v>
      </c>
      <c r="P60" s="15" t="n">
        <v>0</v>
      </c>
      <c r="Q60" s="15" t="n">
        <v>0</v>
      </c>
      <c r="R60" s="15" t="n">
        <v>3</v>
      </c>
      <c r="S60" s="15" t="n">
        <v>19</v>
      </c>
      <c r="T60" s="14">
        <f>IF(COUNT(I60:S60)=0,"",SUM(I60:S60))</f>
        <v/>
      </c>
      <c r="U60" t="inlineStr"/>
    </row>
    <row r="61">
      <c r="A61" t="inlineStr">
        <is>
          <t>부산신호5차부영사랑으로어린이집</t>
        </is>
      </c>
      <c r="B61" t="inlineStr">
        <is>
          <t>어린이집</t>
        </is>
      </c>
      <c r="C61" t="inlineStr">
        <is>
          <t>민간</t>
        </is>
      </c>
      <c r="D61" t="inlineStr">
        <is>
          <t>강서구</t>
        </is>
      </c>
      <c r="E61" t="inlineStr">
        <is>
          <t>부산광역시 강서구 신호산단1로 101 관리동(신호동, 부영5차아파트)</t>
        </is>
      </c>
      <c r="F61" t="inlineStr"/>
      <c r="G61" t="inlineStr">
        <is>
          <t>051-832-2016</t>
        </is>
      </c>
      <c r="H61" s="15" t="n">
        <v>38</v>
      </c>
      <c r="I61" s="15" t="n">
        <v>4</v>
      </c>
      <c r="J61" s="15" t="n">
        <v>3</v>
      </c>
      <c r="K61" s="15" t="n">
        <v>7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4">
        <f>IF(COUNT(I61:S61)=0,"",SUM(I61:S61))</f>
        <v/>
      </c>
      <c r="U61" t="inlineStr"/>
    </row>
    <row r="62">
      <c r="A62" t="inlineStr">
        <is>
          <t>사랑가득어린이집</t>
        </is>
      </c>
      <c r="B62" t="inlineStr">
        <is>
          <t>어린이집</t>
        </is>
      </c>
      <c r="C62" t="inlineStr">
        <is>
          <t>가정</t>
        </is>
      </c>
      <c r="D62" t="inlineStr">
        <is>
          <t>강서구</t>
        </is>
      </c>
      <c r="E62" t="inlineStr">
        <is>
          <t>부산광역시 강서구 명지오션시티1로 155 110동 202호(명지동, 한신휴플러스)</t>
        </is>
      </c>
      <c r="F62" t="inlineStr"/>
      <c r="G62" t="inlineStr">
        <is>
          <t>051-900-6969</t>
        </is>
      </c>
      <c r="H62" s="15" t="n">
        <v>20</v>
      </c>
      <c r="I62" s="15" t="n">
        <v>2</v>
      </c>
      <c r="J62" s="15" t="n">
        <v>4</v>
      </c>
      <c r="K62" s="15" t="n">
        <v>5</v>
      </c>
      <c r="L62" s="15" t="n">
        <v>0</v>
      </c>
      <c r="M62" s="15" t="n">
        <v>0</v>
      </c>
      <c r="N62" s="15" t="n">
        <v>0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3</v>
      </c>
      <c r="T62" s="14">
        <f>IF(COUNT(I62:S62)=0,"",SUM(I62:S62))</f>
        <v/>
      </c>
      <c r="U62" t="inlineStr"/>
    </row>
    <row r="63">
      <c r="A63" t="inlineStr">
        <is>
          <t>사랑둥이어린이집</t>
        </is>
      </c>
      <c r="B63" t="inlineStr">
        <is>
          <t>어린이집</t>
        </is>
      </c>
      <c r="C63" t="inlineStr">
        <is>
          <t>가정</t>
        </is>
      </c>
      <c r="D63" t="inlineStr">
        <is>
          <t>강서구</t>
        </is>
      </c>
      <c r="E63" t="inlineStr">
        <is>
          <t>부산광역시 강서구 명지국제5로 60 104-103(명지동, 에일린의 뜰 아파트)</t>
        </is>
      </c>
      <c r="F63" t="inlineStr"/>
      <c r="G63" t="inlineStr">
        <is>
          <t>051-202-0637</t>
        </is>
      </c>
      <c r="H63" s="15" t="n">
        <v>20</v>
      </c>
      <c r="I63" s="15" t="n">
        <v>8</v>
      </c>
      <c r="J63" s="15" t="n">
        <v>5</v>
      </c>
      <c r="K63" s="15" t="n">
        <v>6</v>
      </c>
      <c r="L63" s="15" t="n">
        <v>0</v>
      </c>
      <c r="M63" s="15" t="n">
        <v>0</v>
      </c>
      <c r="N63" s="15" t="n">
        <v>0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4</v>
      </c>
      <c r="T63" s="14">
        <f>IF(COUNT(I63:S63)=0,"",SUM(I63:S63))</f>
        <v/>
      </c>
      <c r="U63" t="inlineStr"/>
    </row>
    <row r="64">
      <c r="A64" t="inlineStr">
        <is>
          <t>삼성전기부산어린이집</t>
        </is>
      </c>
      <c r="B64" t="inlineStr">
        <is>
          <t>어린이집</t>
        </is>
      </c>
      <c r="C64" t="inlineStr">
        <is>
          <t>직장</t>
        </is>
      </c>
      <c r="D64" t="inlineStr">
        <is>
          <t>강서구</t>
        </is>
      </c>
      <c r="E64" t="inlineStr">
        <is>
          <t>부산광역시 강서구 녹산산업중로 333 삼성전기 부산공장 33호동(여자기숙사) (송정동)</t>
        </is>
      </c>
      <c r="F64" t="inlineStr"/>
      <c r="G64" t="inlineStr">
        <is>
          <t>051-970-9040</t>
        </is>
      </c>
      <c r="H64" s="15" t="n">
        <v>108</v>
      </c>
      <c r="I64" s="15" t="n">
        <v>0</v>
      </c>
      <c r="J64" s="15" t="n">
        <v>15</v>
      </c>
      <c r="K64" s="15" t="n">
        <v>15</v>
      </c>
      <c r="L64" s="15" t="n">
        <v>15</v>
      </c>
      <c r="M64" s="15" t="n">
        <v>16</v>
      </c>
      <c r="N64" s="15" t="n">
        <v>10</v>
      </c>
      <c r="O64" s="15" t="n">
        <v>0</v>
      </c>
      <c r="P64" s="15" t="n">
        <v>0</v>
      </c>
      <c r="Q64" s="15" t="n">
        <v>0</v>
      </c>
      <c r="R64" s="15" t="n">
        <v>0</v>
      </c>
      <c r="S64" s="15" t="n">
        <v>61</v>
      </c>
      <c r="T64" s="14">
        <f>IF(COUNT(I64:S64)=0,"",SUM(I64:S64))</f>
        <v/>
      </c>
      <c r="U64" t="inlineStr"/>
    </row>
    <row r="65">
      <c r="A65" t="inlineStr">
        <is>
          <t>삼정그린어린이집</t>
        </is>
      </c>
      <c r="B65" t="inlineStr">
        <is>
          <t>어린이집</t>
        </is>
      </c>
      <c r="C65" t="inlineStr">
        <is>
          <t>가정</t>
        </is>
      </c>
      <c r="D65" t="inlineStr">
        <is>
          <t>강서구</t>
        </is>
      </c>
      <c r="E65" t="inlineStr">
        <is>
          <t>부산광역시 강서구 명지오션시티10로 114 107동 203호(명지동, 삼정그린코아)</t>
        </is>
      </c>
      <c r="F65" t="inlineStr"/>
      <c r="G65" t="inlineStr">
        <is>
          <t>051-201-4160</t>
        </is>
      </c>
      <c r="H65" s="15" t="n">
        <v>20</v>
      </c>
      <c r="I65" s="15" t="n">
        <v>3</v>
      </c>
      <c r="J65" s="15" t="n">
        <v>6</v>
      </c>
      <c r="K65" s="15" t="n">
        <v>5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3</v>
      </c>
      <c r="T65" s="14">
        <f>IF(COUNT(I65:S65)=0,"",SUM(I65:S65))</f>
        <v/>
      </c>
      <c r="U65" t="inlineStr"/>
    </row>
    <row r="66">
      <c r="A66" t="inlineStr">
        <is>
          <t>삼정자연어린이집</t>
        </is>
      </c>
      <c r="B66" t="inlineStr">
        <is>
          <t>어린이집</t>
        </is>
      </c>
      <c r="C66" t="inlineStr">
        <is>
          <t>가정</t>
        </is>
      </c>
      <c r="D66" t="inlineStr">
        <is>
          <t>강서구</t>
        </is>
      </c>
      <c r="E66" t="inlineStr">
        <is>
          <t>부산광역시 강서구 과학산단2로20번길 91 103동 103호(지사삼정그린코아)</t>
        </is>
      </c>
      <c r="F66" s="11" t="inlineStr">
        <is>
          <t>https://blog.naver.com/pmww333</t>
        </is>
      </c>
      <c r="G66" t="inlineStr">
        <is>
          <t>051-915-8737</t>
        </is>
      </c>
      <c r="H66" s="15" t="n">
        <v>20</v>
      </c>
      <c r="I66" s="15" t="n">
        <v>4</v>
      </c>
      <c r="J66" s="15" t="n">
        <v>5</v>
      </c>
      <c r="K66" s="15" t="n">
        <v>4</v>
      </c>
      <c r="L66" s="15" t="n">
        <v>0</v>
      </c>
      <c r="M66" s="15" t="n">
        <v>0</v>
      </c>
      <c r="N66" s="15" t="n">
        <v>0</v>
      </c>
      <c r="O66" s="15" t="n">
        <v>3</v>
      </c>
      <c r="P66" s="15" t="n">
        <v>0</v>
      </c>
      <c r="Q66" s="15" t="n">
        <v>0</v>
      </c>
      <c r="R66" s="15" t="n">
        <v>0</v>
      </c>
      <c r="S66" s="15" t="n">
        <v>4</v>
      </c>
      <c r="T66" s="14">
        <f>IF(COUNT(I66:S66)=0,"",SUM(I66:S66))</f>
        <v/>
      </c>
      <c r="U66" t="inlineStr"/>
    </row>
    <row r="67">
      <c r="A67" t="inlineStr">
        <is>
          <t>삼정키즈어린이집</t>
        </is>
      </c>
      <c r="B67" t="inlineStr">
        <is>
          <t>어린이집</t>
        </is>
      </c>
      <c r="C67" t="inlineStr">
        <is>
          <t>가정</t>
        </is>
      </c>
      <c r="D67" t="inlineStr">
        <is>
          <t>강서구</t>
        </is>
      </c>
      <c r="E67" t="inlineStr">
        <is>
          <t>부산광역시 강서구 과학산단2로20번길 91 108동 103호(지사동, 삼정그린코아아파트)</t>
        </is>
      </c>
      <c r="F67" s="11" t="inlineStr">
        <is>
          <t>https://cafe.naver.com/samjeongkids</t>
        </is>
      </c>
      <c r="G67" t="inlineStr">
        <is>
          <t>051-941-2882</t>
        </is>
      </c>
      <c r="H67" s="15" t="n">
        <v>20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3</v>
      </c>
      <c r="P67" s="15" t="n">
        <v>0</v>
      </c>
      <c r="Q67" s="15" t="n">
        <v>0</v>
      </c>
      <c r="R67" s="15" t="n">
        <v>0</v>
      </c>
      <c r="S67" s="15" t="n">
        <v>2</v>
      </c>
      <c r="T67" s="14">
        <f>IF(COUNT(I67:S67)=0,"",SUM(I67:S67))</f>
        <v/>
      </c>
      <c r="U67" t="inlineStr"/>
    </row>
    <row r="68">
      <c r="A68" t="inlineStr">
        <is>
          <t>서연정어린이집</t>
        </is>
      </c>
      <c r="B68" t="inlineStr">
        <is>
          <t>어린이집</t>
        </is>
      </c>
      <c r="C68" t="inlineStr">
        <is>
          <t>국공립</t>
        </is>
      </c>
      <c r="D68" t="inlineStr">
        <is>
          <t>강서구</t>
        </is>
      </c>
      <c r="E68" t="inlineStr">
        <is>
          <t>부산광역시 강서구 대저로255번길 15</t>
        </is>
      </c>
      <c r="F68" t="inlineStr"/>
      <c r="G68" t="inlineStr">
        <is>
          <t>051-971-6042</t>
        </is>
      </c>
      <c r="H68" s="15" t="n">
        <v>59</v>
      </c>
      <c r="I68" s="15" t="n">
        <v>3</v>
      </c>
      <c r="J68" s="15" t="n">
        <v>3</v>
      </c>
      <c r="K68" s="15" t="n">
        <v>5</v>
      </c>
      <c r="L68" s="15" t="n">
        <v>3</v>
      </c>
      <c r="M68" s="15" t="n">
        <v>0</v>
      </c>
      <c r="N68" s="15" t="n">
        <v>0</v>
      </c>
      <c r="O68" s="15" t="n">
        <v>8</v>
      </c>
      <c r="P68" s="15" t="n">
        <v>0</v>
      </c>
      <c r="Q68" s="15" t="n">
        <v>0</v>
      </c>
      <c r="R68" s="15" t="n">
        <v>2</v>
      </c>
      <c r="S68" s="15" t="n">
        <v>8</v>
      </c>
      <c r="T68" s="14">
        <f>IF(COUNT(I68:S68)=0,"",SUM(I68:S68))</f>
        <v/>
      </c>
      <c r="U68" t="inlineStr"/>
    </row>
    <row r="69">
      <c r="A69" t="inlineStr">
        <is>
          <t>소담어린이집</t>
        </is>
      </c>
      <c r="B69" t="inlineStr">
        <is>
          <t>어린이집</t>
        </is>
      </c>
      <c r="C69" t="inlineStr">
        <is>
          <t>가정</t>
        </is>
      </c>
      <c r="D69" t="inlineStr">
        <is>
          <t>강서구</t>
        </is>
      </c>
      <c r="E69" t="inlineStr">
        <is>
          <t>부산광역시 강서구 명지국제7로 133 106동 105호(명지동, 중흥S클래스프라디움)</t>
        </is>
      </c>
      <c r="F69" t="inlineStr"/>
      <c r="G69" t="inlineStr">
        <is>
          <t>051-204-8678</t>
        </is>
      </c>
      <c r="H69" s="15" t="n">
        <v>18</v>
      </c>
      <c r="I69" s="15" t="n">
        <v>6</v>
      </c>
      <c r="J69" s="15" t="n">
        <v>5</v>
      </c>
      <c r="K69" s="15" t="n">
        <v>5</v>
      </c>
      <c r="L69" s="15" t="n">
        <v>0</v>
      </c>
      <c r="M69" s="15" t="n">
        <v>0</v>
      </c>
      <c r="N69" s="15" t="n">
        <v>0</v>
      </c>
      <c r="O69" s="15" t="n">
        <v>0</v>
      </c>
      <c r="P69" s="15" t="n">
        <v>0</v>
      </c>
      <c r="Q69" s="15" t="n">
        <v>0</v>
      </c>
      <c r="R69" s="15" t="n">
        <v>0</v>
      </c>
      <c r="S69" s="15" t="n">
        <v>3</v>
      </c>
      <c r="T69" s="14">
        <f>IF(COUNT(I69:S69)=0,"",SUM(I69:S69))</f>
        <v/>
      </c>
      <c r="U69" t="inlineStr"/>
    </row>
    <row r="70">
      <c r="A70" t="inlineStr">
        <is>
          <t>스위트팰리스어린이집</t>
        </is>
      </c>
      <c r="B70" t="inlineStr">
        <is>
          <t>어린이집</t>
        </is>
      </c>
      <c r="C70" t="inlineStr">
        <is>
          <t>국공립</t>
        </is>
      </c>
      <c r="D70" t="inlineStr">
        <is>
          <t>강서구</t>
        </is>
      </c>
      <c r="E70" t="inlineStr">
        <is>
          <t>부산광역시 강서구 명지국제5로 165 (명지동, 명지스위트팰리스)</t>
        </is>
      </c>
      <c r="F70" t="inlineStr"/>
      <c r="G70" t="inlineStr">
        <is>
          <t>051-291-8366</t>
        </is>
      </c>
      <c r="H70" s="15" t="n">
        <v>48</v>
      </c>
      <c r="I70" s="15" t="n">
        <v>7</v>
      </c>
      <c r="J70" s="15" t="n">
        <v>25</v>
      </c>
      <c r="K70" s="15" t="n">
        <v>12</v>
      </c>
      <c r="L70" s="15" t="n">
        <v>0</v>
      </c>
      <c r="M70" s="15" t="n">
        <v>0</v>
      </c>
      <c r="N70" s="15" t="n">
        <v>0</v>
      </c>
      <c r="O70" s="15" t="n">
        <v>0</v>
      </c>
      <c r="P70" s="15" t="n">
        <v>0</v>
      </c>
      <c r="Q70" s="15" t="n">
        <v>0</v>
      </c>
      <c r="R70" s="15" t="n">
        <v>0</v>
      </c>
      <c r="S70" s="15" t="n">
        <v>5</v>
      </c>
      <c r="T70" s="14">
        <f>IF(COUNT(I70:S70)=0,"",SUM(I70:S70))</f>
        <v/>
      </c>
      <c r="U70" t="inlineStr"/>
    </row>
    <row r="71">
      <c r="A71" t="inlineStr">
        <is>
          <t>아이마음어린이집</t>
        </is>
      </c>
      <c r="B71" t="inlineStr">
        <is>
          <t>어린이집</t>
        </is>
      </c>
      <c r="C71" t="inlineStr">
        <is>
          <t>가정</t>
        </is>
      </c>
      <c r="D71" t="inlineStr">
        <is>
          <t>강서구</t>
        </is>
      </c>
      <c r="E71" t="inlineStr">
        <is>
          <t>부산광역시 강서구 명지국제5로 141 협성휴포레 105동 102호</t>
        </is>
      </c>
      <c r="F71" t="inlineStr"/>
      <c r="G71" t="inlineStr">
        <is>
          <t>051-293-1233</t>
        </is>
      </c>
      <c r="H71" s="15" t="n">
        <v>18</v>
      </c>
      <c r="I71" s="15" t="n">
        <v>5</v>
      </c>
      <c r="J71" s="15" t="n">
        <v>8</v>
      </c>
      <c r="K71" s="15" t="n">
        <v>5</v>
      </c>
      <c r="L71" s="15" t="n">
        <v>0</v>
      </c>
      <c r="M71" s="15" t="n">
        <v>0</v>
      </c>
      <c r="N71" s="15" t="n">
        <v>0</v>
      </c>
      <c r="O71" s="15" t="n">
        <v>0</v>
      </c>
      <c r="P71" s="15" t="n">
        <v>0</v>
      </c>
      <c r="Q71" s="15" t="n">
        <v>0</v>
      </c>
      <c r="R71" s="15" t="n">
        <v>0</v>
      </c>
      <c r="S71" s="15" t="n">
        <v>3</v>
      </c>
      <c r="T71" s="14">
        <f>IF(COUNT(I71:S71)=0,"",SUM(I71:S71))</f>
        <v/>
      </c>
      <c r="U71" t="inlineStr"/>
    </row>
    <row r="72">
      <c r="A72" t="inlineStr">
        <is>
          <t>아이캐슬어린이집</t>
        </is>
      </c>
      <c r="B72" t="inlineStr">
        <is>
          <t>어린이집</t>
        </is>
      </c>
      <c r="C72" t="inlineStr">
        <is>
          <t>민간</t>
        </is>
      </c>
      <c r="D72" t="inlineStr">
        <is>
          <t>강서구</t>
        </is>
      </c>
      <c r="E72" t="inlineStr">
        <is>
          <t>부산광역시 강서구 명지오션시티11로 84  (명지동, 롯데캐슬아파트)</t>
        </is>
      </c>
      <c r="F72" t="inlineStr"/>
      <c r="G72" t="inlineStr">
        <is>
          <t>051-202-6785</t>
        </is>
      </c>
      <c r="H72" s="15" t="n">
        <v>41</v>
      </c>
      <c r="I72" s="15" t="n">
        <v>4</v>
      </c>
      <c r="J72" s="15" t="n">
        <v>19</v>
      </c>
      <c r="K72" s="15" t="n">
        <v>13</v>
      </c>
      <c r="L72" s="15" t="n">
        <v>0</v>
      </c>
      <c r="M72" s="15" t="n">
        <v>0</v>
      </c>
      <c r="N72" s="15" t="n">
        <v>0</v>
      </c>
      <c r="O72" s="15" t="n">
        <v>0</v>
      </c>
      <c r="P72" s="15" t="n">
        <v>0</v>
      </c>
      <c r="Q72" s="15" t="n">
        <v>0</v>
      </c>
      <c r="R72" s="15" t="n">
        <v>0</v>
      </c>
      <c r="S72" s="15" t="n">
        <v>5</v>
      </c>
      <c r="T72" s="14">
        <f>IF(COUNT(I72:S72)=0,"",SUM(I72:S72))</f>
        <v/>
      </c>
      <c r="U72" t="inlineStr"/>
    </row>
    <row r="73">
      <c r="A73" t="inlineStr">
        <is>
          <t>아이키즈어린이집</t>
        </is>
      </c>
      <c r="B73" t="inlineStr">
        <is>
          <t>어린이집</t>
        </is>
      </c>
      <c r="C73" t="inlineStr">
        <is>
          <t>민간</t>
        </is>
      </c>
      <c r="D73" t="inlineStr">
        <is>
          <t>강서구</t>
        </is>
      </c>
      <c r="E73" t="inlineStr">
        <is>
          <t>부산광역시 강서구 명지국제7로 133 1층 관리동(명지동, 중흥S클래스 프라디움)</t>
        </is>
      </c>
      <c r="F73" t="inlineStr"/>
      <c r="G73" t="inlineStr">
        <is>
          <t>051-204-7980</t>
        </is>
      </c>
      <c r="H73" s="15" t="n">
        <v>49</v>
      </c>
      <c r="I73" s="15" t="n">
        <v>9</v>
      </c>
      <c r="J73" s="15" t="n">
        <v>10</v>
      </c>
      <c r="K73" s="15" t="n">
        <v>21</v>
      </c>
      <c r="L73" s="15" t="n">
        <v>0</v>
      </c>
      <c r="M73" s="15" t="n">
        <v>0</v>
      </c>
      <c r="N73" s="15" t="n">
        <v>0</v>
      </c>
      <c r="O73" s="15" t="n">
        <v>5</v>
      </c>
      <c r="P73" s="15" t="n">
        <v>0</v>
      </c>
      <c r="Q73" s="15" t="n">
        <v>0</v>
      </c>
      <c r="R73" s="15" t="n">
        <v>0</v>
      </c>
      <c r="S73" s="15" t="n">
        <v>9</v>
      </c>
      <c r="T73" s="14">
        <f>IF(COUNT(I73:S73)=0,"",SUM(I73:S73))</f>
        <v/>
      </c>
      <c r="U73" t="inlineStr"/>
    </row>
    <row r="74">
      <c r="A74" t="inlineStr">
        <is>
          <t>아이포레어린이집</t>
        </is>
      </c>
      <c r="B74" t="inlineStr">
        <is>
          <t>어린이집</t>
        </is>
      </c>
      <c r="C74" t="inlineStr">
        <is>
          <t>민간</t>
        </is>
      </c>
      <c r="D74" t="inlineStr">
        <is>
          <t>강서구</t>
        </is>
      </c>
      <c r="E74" t="inlineStr">
        <is>
          <t>부산광역시 강서구 명지국제5로 141 관리동 (명지1동, 명지협성휴포레)</t>
        </is>
      </c>
      <c r="F74" t="inlineStr"/>
      <c r="G74" t="inlineStr">
        <is>
          <t>051-912-8221</t>
        </is>
      </c>
      <c r="H74" s="15" t="n">
        <v>59</v>
      </c>
      <c r="I74" s="15" t="n">
        <v>8</v>
      </c>
      <c r="J74" s="15" t="n">
        <v>15</v>
      </c>
      <c r="K74" s="15" t="n">
        <v>14</v>
      </c>
      <c r="L74" s="15" t="n">
        <v>0</v>
      </c>
      <c r="M74" s="15" t="n">
        <v>0</v>
      </c>
      <c r="N74" s="15" t="n">
        <v>0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5</v>
      </c>
      <c r="T74" s="14">
        <f>IF(COUNT(I74:S74)=0,"",SUM(I74:S74))</f>
        <v/>
      </c>
      <c r="U74" t="inlineStr"/>
    </row>
    <row r="75">
      <c r="A75" t="inlineStr">
        <is>
          <t>아인슈타인어린이집</t>
        </is>
      </c>
      <c r="B75" t="inlineStr">
        <is>
          <t>어린이집</t>
        </is>
      </c>
      <c r="C75" t="inlineStr">
        <is>
          <t>민간</t>
        </is>
      </c>
      <c r="D75" t="inlineStr">
        <is>
          <t>강서구</t>
        </is>
      </c>
      <c r="E75" t="inlineStr">
        <is>
          <t>부산광역시 강서구 명지오션시티11로 51 퀸덤1차아파트 311동 (명지동)</t>
        </is>
      </c>
      <c r="F75" t="inlineStr"/>
      <c r="G75" t="inlineStr">
        <is>
          <t>051-271-7202</t>
        </is>
      </c>
      <c r="H75" s="15" t="n">
        <v>32</v>
      </c>
      <c r="I75" s="15" t="n">
        <v>8</v>
      </c>
      <c r="J75" s="15" t="n">
        <v>10</v>
      </c>
      <c r="K75" s="15" t="n">
        <v>13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3</v>
      </c>
      <c r="T75" s="14">
        <f>IF(COUNT(I75:S75)=0,"",SUM(I75:S75))</f>
        <v/>
      </c>
      <c r="U75" t="inlineStr"/>
    </row>
    <row r="76">
      <c r="A76" t="inlineStr">
        <is>
          <t>아침햇살 어린이집</t>
        </is>
      </c>
      <c r="B76" t="inlineStr">
        <is>
          <t>어린이집</t>
        </is>
      </c>
      <c r="C76" t="inlineStr">
        <is>
          <t>가정</t>
        </is>
      </c>
      <c r="D76" t="inlineStr">
        <is>
          <t>강서구</t>
        </is>
      </c>
      <c r="E76" t="inlineStr">
        <is>
          <t>부산광역시 강서구 명지국제7로 133 102-101(명지동, 중흥S클래스프라디움)</t>
        </is>
      </c>
      <c r="F76" t="inlineStr"/>
      <c r="G76" t="inlineStr">
        <is>
          <t>070-8286-4886</t>
        </is>
      </c>
      <c r="H76" s="15" t="n">
        <v>18</v>
      </c>
      <c r="I76" s="15" t="n">
        <v>3</v>
      </c>
      <c r="J76" s="15" t="n">
        <v>10</v>
      </c>
      <c r="K76" s="15" t="n">
        <v>0</v>
      </c>
      <c r="L76" s="15" t="n">
        <v>0</v>
      </c>
      <c r="M76" s="15" t="n">
        <v>0</v>
      </c>
      <c r="N76" s="15" t="n">
        <v>0</v>
      </c>
      <c r="O76" s="15" t="n">
        <v>2</v>
      </c>
      <c r="P76" s="15" t="n">
        <v>0</v>
      </c>
      <c r="Q76" s="15" t="n">
        <v>0</v>
      </c>
      <c r="R76" s="15" t="n">
        <v>0</v>
      </c>
      <c r="S76" s="15" t="n">
        <v>5</v>
      </c>
      <c r="T76" s="14">
        <f>IF(COUNT(I76:S76)=0,"",SUM(I76:S76))</f>
        <v/>
      </c>
      <c r="U76" t="inlineStr"/>
    </row>
    <row r="77">
      <c r="A77" t="inlineStr">
        <is>
          <t>앙쥬어린이집</t>
        </is>
      </c>
      <c r="B77" t="inlineStr">
        <is>
          <t>어린이집</t>
        </is>
      </c>
      <c r="C77" t="inlineStr">
        <is>
          <t>가정</t>
        </is>
      </c>
      <c r="D77" t="inlineStr">
        <is>
          <t>강서구</t>
        </is>
      </c>
      <c r="E77" t="inlineStr">
        <is>
          <t>부산광역시 강서구 신호산단1로 101 512동 103호(신호동,부영5차)</t>
        </is>
      </c>
      <c r="F77" t="inlineStr"/>
      <c r="G77" t="inlineStr">
        <is>
          <t>051-931-0023</t>
        </is>
      </c>
      <c r="H77" s="15" t="n">
        <v>20</v>
      </c>
      <c r="I77" s="15" t="n">
        <v>2</v>
      </c>
      <c r="J77" s="15" t="n">
        <v>4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3</v>
      </c>
      <c r="T77" s="14">
        <f>IF(COUNT(I77:S77)=0,"",SUM(I77:S77))</f>
        <v/>
      </c>
      <c r="U77" t="inlineStr"/>
    </row>
    <row r="78">
      <c r="A78" t="inlineStr">
        <is>
          <t>에듀오션어린이집</t>
        </is>
      </c>
      <c r="B78" t="inlineStr">
        <is>
          <t>어린이집</t>
        </is>
      </c>
      <c r="C78" t="inlineStr">
        <is>
          <t>민간</t>
        </is>
      </c>
      <c r="D78" t="inlineStr">
        <is>
          <t>강서구</t>
        </is>
      </c>
      <c r="E78" t="inlineStr">
        <is>
          <t>부산광역시 강서구 명지국제5로 90 207동1층(명지1동, 중흥S클래스 에듀오션)</t>
        </is>
      </c>
      <c r="F78" t="inlineStr"/>
      <c r="G78" t="inlineStr">
        <is>
          <t>051-711-5505</t>
        </is>
      </c>
      <c r="H78" s="15" t="n">
        <v>68</v>
      </c>
      <c r="I78" s="15" t="n">
        <v>12</v>
      </c>
      <c r="J78" s="15" t="n">
        <v>20</v>
      </c>
      <c r="K78" s="15" t="n">
        <v>28</v>
      </c>
      <c r="L78" s="15" t="n">
        <v>0</v>
      </c>
      <c r="M78" s="15" t="n">
        <v>0</v>
      </c>
      <c r="N78" s="15" t="n">
        <v>0</v>
      </c>
      <c r="O78" s="15" t="n">
        <v>0</v>
      </c>
      <c r="P78" s="15" t="n">
        <v>0</v>
      </c>
      <c r="Q78" s="15" t="n">
        <v>0</v>
      </c>
      <c r="R78" s="15" t="n">
        <v>0</v>
      </c>
      <c r="S78" s="15" t="n">
        <v>5</v>
      </c>
      <c r="T78" s="14">
        <f>IF(COUNT(I78:S78)=0,"",SUM(I78:S78))</f>
        <v/>
      </c>
      <c r="U78" t="inlineStr"/>
    </row>
    <row r="79">
      <c r="A79" t="inlineStr">
        <is>
          <t>에듀팰리스어린이집</t>
        </is>
      </c>
      <c r="B79" t="inlineStr">
        <is>
          <t>어린이집</t>
        </is>
      </c>
      <c r="C79" t="inlineStr">
        <is>
          <t>국공립</t>
        </is>
      </c>
      <c r="D79" t="inlineStr">
        <is>
          <t>강서구</t>
        </is>
      </c>
      <c r="E79" t="inlineStr">
        <is>
          <t>부산광역시 강서구 명지국제7로 110 (명지동, 더 힐 시그니처)</t>
        </is>
      </c>
      <c r="F79" t="inlineStr"/>
      <c r="G79" t="inlineStr">
        <is>
          <t>051-204-2202</t>
        </is>
      </c>
      <c r="H79" s="15" t="n">
        <v>39</v>
      </c>
      <c r="I79" s="15" t="n">
        <v>0</v>
      </c>
      <c r="J79" s="15" t="n">
        <v>13</v>
      </c>
      <c r="K79" s="15" t="n">
        <v>19</v>
      </c>
      <c r="L79" s="15" t="n">
        <v>0</v>
      </c>
      <c r="M79" s="15" t="n">
        <v>0</v>
      </c>
      <c r="N79" s="15" t="n">
        <v>0</v>
      </c>
      <c r="O79" s="15" t="n">
        <v>0</v>
      </c>
      <c r="P79" s="15" t="n">
        <v>0</v>
      </c>
      <c r="Q79" s="15" t="n">
        <v>0</v>
      </c>
      <c r="R79" s="15" t="n">
        <v>0</v>
      </c>
      <c r="S79" s="15" t="n">
        <v>5</v>
      </c>
      <c r="T79" s="14">
        <f>IF(COUNT(I79:S79)=0,"",SUM(I79:S79))</f>
        <v/>
      </c>
      <c r="U79" t="inlineStr"/>
    </row>
    <row r="80">
      <c r="A80" t="inlineStr">
        <is>
          <t>에디슨키즈어린이집</t>
        </is>
      </c>
      <c r="B80" t="inlineStr">
        <is>
          <t>어린이집</t>
        </is>
      </c>
      <c r="C80" t="inlineStr">
        <is>
          <t>민간</t>
        </is>
      </c>
      <c r="D80" t="inlineStr">
        <is>
          <t>강서구</t>
        </is>
      </c>
      <c r="E80" t="inlineStr">
        <is>
          <t>부산광역시 강서구 명지오션시티10로 17 퀸덤1차아파트 107동 (명지동)</t>
        </is>
      </c>
      <c r="F80" t="inlineStr"/>
      <c r="G80" t="inlineStr">
        <is>
          <t>051-207-0691</t>
        </is>
      </c>
      <c r="H80" s="15" t="n">
        <v>30</v>
      </c>
      <c r="I80" s="15" t="n">
        <v>2</v>
      </c>
      <c r="J80" s="15" t="n">
        <v>8</v>
      </c>
      <c r="K80" s="15" t="n">
        <v>7</v>
      </c>
      <c r="L80" s="15" t="n">
        <v>0</v>
      </c>
      <c r="M80" s="15" t="n">
        <v>0</v>
      </c>
      <c r="N80" s="15" t="n">
        <v>0</v>
      </c>
      <c r="O80" s="15" t="n">
        <v>0</v>
      </c>
      <c r="P80" s="15" t="n">
        <v>0</v>
      </c>
      <c r="Q80" s="15" t="n">
        <v>0</v>
      </c>
      <c r="R80" s="15" t="n">
        <v>0</v>
      </c>
      <c r="S80" s="15" t="n">
        <v>8</v>
      </c>
      <c r="T80" s="14">
        <f>IF(COUNT(I80:S80)=0,"",SUM(I80:S80))</f>
        <v/>
      </c>
      <c r="U80" t="inlineStr"/>
    </row>
    <row r="81">
      <c r="A81" t="inlineStr">
        <is>
          <t>에코린어린이집</t>
        </is>
      </c>
      <c r="B81" t="inlineStr">
        <is>
          <t>어린이집</t>
        </is>
      </c>
      <c r="C81" t="inlineStr">
        <is>
          <t>가정</t>
        </is>
      </c>
      <c r="D81" t="inlineStr">
        <is>
          <t>강서구</t>
        </is>
      </c>
      <c r="E81" t="inlineStr">
        <is>
          <t>부산광역시 강서구 에코델타3로 43 102동 104호</t>
        </is>
      </c>
      <c r="F81" t="inlineStr"/>
      <c r="G81" t="inlineStr">
        <is>
          <t>051-361-6344</t>
        </is>
      </c>
      <c r="H81" s="15" t="n">
        <v>20</v>
      </c>
      <c r="I81" s="15" t="n">
        <v>8</v>
      </c>
      <c r="J81" s="15" t="n">
        <v>10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5</v>
      </c>
      <c r="T81" s="14">
        <f>IF(COUNT(I81:S81)=0,"",SUM(I81:S81))</f>
        <v/>
      </c>
      <c r="U81" t="inlineStr"/>
    </row>
    <row r="82">
      <c r="A82" t="inlineStr">
        <is>
          <t>에코이편한어린이집</t>
        </is>
      </c>
      <c r="B82" t="inlineStr">
        <is>
          <t>어린이집</t>
        </is>
      </c>
      <c r="C82" t="inlineStr">
        <is>
          <t>가정</t>
        </is>
      </c>
      <c r="D82" t="inlineStr">
        <is>
          <t>강서구</t>
        </is>
      </c>
      <c r="E82" t="inlineStr">
        <is>
          <t>부산광역시 강서구 에코델타1로 42 115동 103호</t>
        </is>
      </c>
      <c r="F82" t="inlineStr"/>
      <c r="G82" t="inlineStr">
        <is>
          <t>051-988-7900</t>
        </is>
      </c>
      <c r="H82" s="15" t="n">
        <v>20</v>
      </c>
      <c r="I82" s="15" t="n">
        <v>0</v>
      </c>
      <c r="J82" s="15" t="n">
        <v>8</v>
      </c>
      <c r="K82" s="15" t="n">
        <v>7</v>
      </c>
      <c r="L82" s="15" t="n">
        <v>0</v>
      </c>
      <c r="M82" s="15" t="n">
        <v>0</v>
      </c>
      <c r="N82" s="15" t="n">
        <v>0</v>
      </c>
      <c r="O82" s="15" t="n">
        <v>5</v>
      </c>
      <c r="P82" s="15" t="n">
        <v>0</v>
      </c>
      <c r="Q82" s="15" t="n">
        <v>0</v>
      </c>
      <c r="R82" s="15" t="n">
        <v>0</v>
      </c>
      <c r="S82" s="15" t="n">
        <v>3</v>
      </c>
      <c r="T82" s="14">
        <f>IF(COUNT(I82:S82)=0,"",SUM(I82:S82))</f>
        <v/>
      </c>
      <c r="U82" t="inlineStr"/>
    </row>
    <row r="83">
      <c r="A83" t="inlineStr">
        <is>
          <t>엘리시안어린이집</t>
        </is>
      </c>
      <c r="B83" t="inlineStr">
        <is>
          <t>어린이집</t>
        </is>
      </c>
      <c r="C83" t="inlineStr">
        <is>
          <t>가정</t>
        </is>
      </c>
      <c r="D83" t="inlineStr">
        <is>
          <t>강서구</t>
        </is>
      </c>
      <c r="E83" t="inlineStr">
        <is>
          <t>부산광역시 강서구 과학산단로306번길 10 102동 103호(지사동, 협성DS엘리시안아파트)</t>
        </is>
      </c>
      <c r="F83" t="inlineStr"/>
      <c r="G83" t="inlineStr">
        <is>
          <t>051-831-9778</t>
        </is>
      </c>
      <c r="H83" s="15" t="n">
        <v>18</v>
      </c>
      <c r="I83" s="15" t="n">
        <v>2</v>
      </c>
      <c r="J83" s="15" t="n">
        <v>0</v>
      </c>
      <c r="K83" s="15" t="n">
        <v>5</v>
      </c>
      <c r="L83" s="15" t="n">
        <v>0</v>
      </c>
      <c r="M83" s="15" t="n">
        <v>0</v>
      </c>
      <c r="N83" s="15" t="n">
        <v>0</v>
      </c>
      <c r="O83" s="15" t="n">
        <v>3</v>
      </c>
      <c r="P83" s="15" t="n">
        <v>0</v>
      </c>
      <c r="Q83" s="15" t="n">
        <v>0</v>
      </c>
      <c r="R83" s="15" t="n">
        <v>0</v>
      </c>
      <c r="S83" s="15" t="n">
        <v>3</v>
      </c>
      <c r="T83" s="14">
        <f>IF(COUNT(I83:S83)=0,"",SUM(I83:S83))</f>
        <v/>
      </c>
      <c r="U83" t="inlineStr"/>
    </row>
    <row r="84">
      <c r="A84" t="inlineStr">
        <is>
          <t>오션타운어린이집</t>
        </is>
      </c>
      <c r="B84" t="inlineStr">
        <is>
          <t>어린이집</t>
        </is>
      </c>
      <c r="C84" t="inlineStr">
        <is>
          <t>국공립</t>
        </is>
      </c>
      <c r="D84" t="inlineStr">
        <is>
          <t>강서구</t>
        </is>
      </c>
      <c r="E84" t="inlineStr">
        <is>
          <t>부산광역시 강서구 명지국제7로 111 (명지동, 명지더웨스턴)</t>
        </is>
      </c>
      <c r="F84" t="inlineStr"/>
      <c r="G84" t="inlineStr">
        <is>
          <t>051-715-7202</t>
        </is>
      </c>
      <c r="H84" s="15" t="n">
        <v>68</v>
      </c>
      <c r="I84" s="15" t="n">
        <v>9</v>
      </c>
      <c r="J84" s="15" t="n">
        <v>25</v>
      </c>
      <c r="K84" s="15" t="n">
        <v>28</v>
      </c>
      <c r="L84" s="15" t="n">
        <v>0</v>
      </c>
      <c r="M84" s="15" t="n">
        <v>0</v>
      </c>
      <c r="N84" s="15" t="n">
        <v>0</v>
      </c>
      <c r="O84" s="15" t="n">
        <v>0</v>
      </c>
      <c r="P84" s="15" t="n">
        <v>0</v>
      </c>
      <c r="Q84" s="15" t="n">
        <v>0</v>
      </c>
      <c r="R84" s="15" t="n">
        <v>3</v>
      </c>
      <c r="S84" s="15" t="n">
        <v>5</v>
      </c>
      <c r="T84" s="14">
        <f>IF(COUNT(I84:S84)=0,"",SUM(I84:S84))</f>
        <v/>
      </c>
      <c r="U84" t="inlineStr"/>
    </row>
    <row r="85">
      <c r="A85" t="inlineStr">
        <is>
          <t>올리브나무어린이집</t>
        </is>
      </c>
      <c r="B85" t="inlineStr">
        <is>
          <t>어린이집</t>
        </is>
      </c>
      <c r="C85" t="inlineStr">
        <is>
          <t>가정</t>
        </is>
      </c>
      <c r="D85" t="inlineStr">
        <is>
          <t>강서구</t>
        </is>
      </c>
      <c r="E85" t="inlineStr">
        <is>
          <t>부산광역시 강서구 명지국제7로 110 115동 104호(명지동, 더힐시그니처)</t>
        </is>
      </c>
      <c r="F85" t="inlineStr"/>
      <c r="G85" t="inlineStr">
        <is>
          <t>051-902-8878</t>
        </is>
      </c>
      <c r="H85" s="15" t="n">
        <v>20</v>
      </c>
      <c r="I85" s="15" t="n">
        <v>2</v>
      </c>
      <c r="J85" s="15" t="n">
        <v>5</v>
      </c>
      <c r="K85" s="15" t="n">
        <v>11</v>
      </c>
      <c r="L85" s="15" t="n">
        <v>0</v>
      </c>
      <c r="M85" s="15" t="n">
        <v>0</v>
      </c>
      <c r="N85" s="15" t="n">
        <v>0</v>
      </c>
      <c r="O85" s="15" t="n">
        <v>2</v>
      </c>
      <c r="P85" s="15" t="n">
        <v>0</v>
      </c>
      <c r="Q85" s="15" t="n">
        <v>0</v>
      </c>
      <c r="R85" s="15" t="n">
        <v>0</v>
      </c>
      <c r="S85" s="15" t="n">
        <v>0</v>
      </c>
      <c r="T85" s="14">
        <f>IF(COUNT(I85:S85)=0,"",SUM(I85:S85))</f>
        <v/>
      </c>
      <c r="U85" t="inlineStr"/>
    </row>
    <row r="86">
      <c r="A86" t="inlineStr">
        <is>
          <t>우방도담어린이집</t>
        </is>
      </c>
      <c r="B86" t="inlineStr">
        <is>
          <t>어린이집</t>
        </is>
      </c>
      <c r="C86" t="inlineStr">
        <is>
          <t>가정</t>
        </is>
      </c>
      <c r="D86" t="inlineStr">
        <is>
          <t>강서구</t>
        </is>
      </c>
      <c r="E86" t="inlineStr">
        <is>
          <t>부산광역시 강서구 화전산단4로 74 111동 106호(화전동,우방아이유쉘)</t>
        </is>
      </c>
      <c r="F86" t="inlineStr"/>
      <c r="G86" t="inlineStr">
        <is>
          <t>051-947-2004</t>
        </is>
      </c>
      <c r="H86" s="15" t="n">
        <v>19</v>
      </c>
      <c r="I86" s="15" t="n">
        <v>0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9</v>
      </c>
      <c r="P86" s="15" t="n">
        <v>0</v>
      </c>
      <c r="Q86" s="15" t="n">
        <v>0</v>
      </c>
      <c r="R86" s="15" t="n">
        <v>0</v>
      </c>
      <c r="S86" s="15" t="n">
        <v>3</v>
      </c>
      <c r="T86" s="14">
        <f>IF(COUNT(I86:S86)=0,"",SUM(I86:S86))</f>
        <v/>
      </c>
      <c r="U86" t="inlineStr"/>
    </row>
    <row r="87">
      <c r="A87" t="inlineStr">
        <is>
          <t>우방라온어린이집</t>
        </is>
      </c>
      <c r="B87" t="inlineStr">
        <is>
          <t>어린이집</t>
        </is>
      </c>
      <c r="C87" t="inlineStr">
        <is>
          <t>가정</t>
        </is>
      </c>
      <c r="D87" t="inlineStr">
        <is>
          <t>강서구</t>
        </is>
      </c>
      <c r="E87" t="inlineStr">
        <is>
          <t>부산광역시 강서구 화전산단4로 74 108동 104호(화전동,우방아이유쉘)</t>
        </is>
      </c>
      <c r="F87" t="inlineStr"/>
      <c r="G87" t="inlineStr">
        <is>
          <t>051-905-3660</t>
        </is>
      </c>
      <c r="H87" s="15" t="n">
        <v>19</v>
      </c>
      <c r="I87" s="15" t="n">
        <v>5</v>
      </c>
      <c r="J87" s="15" t="n">
        <v>5</v>
      </c>
      <c r="K87" s="15" t="n">
        <v>4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19</v>
      </c>
      <c r="T87" s="14">
        <f>IF(COUNT(I87:S87)=0,"",SUM(I87:S87))</f>
        <v/>
      </c>
      <c r="U87" t="inlineStr"/>
    </row>
    <row r="88">
      <c r="A88" t="inlineStr">
        <is>
          <t>우방아이유쉘어린이집</t>
        </is>
      </c>
      <c r="B88" t="inlineStr">
        <is>
          <t>어린이집</t>
        </is>
      </c>
      <c r="C88" t="inlineStr">
        <is>
          <t>국공립</t>
        </is>
      </c>
      <c r="D88" t="inlineStr">
        <is>
          <t>강서구</t>
        </is>
      </c>
      <c r="E88" t="inlineStr">
        <is>
          <t>부산광역시 강서구 화전산단4로 74 (화전동, 우방아이유쉘)</t>
        </is>
      </c>
      <c r="F88" t="inlineStr"/>
      <c r="G88" t="inlineStr">
        <is>
          <t>051-974-1249</t>
        </is>
      </c>
      <c r="H88" s="15" t="n">
        <v>90</v>
      </c>
      <c r="I88" s="15" t="n">
        <v>6</v>
      </c>
      <c r="J88" s="15" t="n">
        <v>5</v>
      </c>
      <c r="K88" s="15" t="n">
        <v>20</v>
      </c>
      <c r="L88" s="15" t="n">
        <v>18</v>
      </c>
      <c r="M88" s="15" t="n">
        <v>16</v>
      </c>
      <c r="N88" s="15" t="n">
        <v>15</v>
      </c>
      <c r="O88" s="15" t="n">
        <v>8</v>
      </c>
      <c r="P88" s="15" t="n">
        <v>0</v>
      </c>
      <c r="Q88" s="15" t="n">
        <v>0</v>
      </c>
      <c r="R88" s="15" t="n">
        <v>2</v>
      </c>
      <c r="S88" s="15" t="n">
        <v>21</v>
      </c>
      <c r="T88" s="14">
        <f>IF(COUNT(I88:S88)=0,"",SUM(I88:S88))</f>
        <v/>
      </c>
      <c r="U88" t="inlineStr"/>
    </row>
    <row r="89">
      <c r="A89" t="inlineStr">
        <is>
          <t>윌어린이집</t>
        </is>
      </c>
      <c r="B89" t="inlineStr">
        <is>
          <t>어린이집</t>
        </is>
      </c>
      <c r="C89" t="inlineStr">
        <is>
          <t>민간</t>
        </is>
      </c>
      <c r="D89" t="inlineStr">
        <is>
          <t>강서구</t>
        </is>
      </c>
      <c r="E89" t="inlineStr">
        <is>
          <t>부산광역시 강서구 신호산단3로 55 (윌더하임아파트 관리동보육시설) (신호동)</t>
        </is>
      </c>
      <c r="F89" t="inlineStr"/>
      <c r="G89" t="inlineStr">
        <is>
          <t>051-971-9078</t>
        </is>
      </c>
      <c r="H89" s="15" t="n">
        <v>26</v>
      </c>
      <c r="I89" s="15" t="n">
        <v>2</v>
      </c>
      <c r="J89" s="15" t="n">
        <v>3</v>
      </c>
      <c r="K89" s="15" t="n">
        <v>5</v>
      </c>
      <c r="L89" s="15" t="n">
        <v>0</v>
      </c>
      <c r="M89" s="15" t="n">
        <v>0</v>
      </c>
      <c r="N89" s="15" t="n">
        <v>0</v>
      </c>
      <c r="O89" s="15" t="n">
        <v>7</v>
      </c>
      <c r="P89" s="15" t="n">
        <v>0</v>
      </c>
      <c r="Q89" s="15" t="n">
        <v>0</v>
      </c>
      <c r="R89" s="15" t="n">
        <v>0</v>
      </c>
      <c r="S89" s="15" t="n">
        <v>7</v>
      </c>
      <c r="T89" s="14">
        <f>IF(COUNT(I89:S89)=0,"",SUM(I89:S89))</f>
        <v/>
      </c>
      <c r="U89" t="inlineStr"/>
    </row>
    <row r="90">
      <c r="A90" t="inlineStr">
        <is>
          <t>이편한센터포인트어린이집</t>
        </is>
      </c>
      <c r="B90" t="inlineStr">
        <is>
          <t>어린이집</t>
        </is>
      </c>
      <c r="C90" t="inlineStr">
        <is>
          <t>국공립</t>
        </is>
      </c>
      <c r="D90" t="inlineStr">
        <is>
          <t>강서구</t>
        </is>
      </c>
      <c r="E90" t="inlineStr">
        <is>
          <t>부산광역시 강서구 에코델타1로 42</t>
        </is>
      </c>
      <c r="F90" t="inlineStr"/>
      <c r="G90" t="inlineStr">
        <is>
          <t>051-832-5525</t>
        </is>
      </c>
      <c r="H90" s="15" t="n">
        <v>69</v>
      </c>
      <c r="I90" s="15" t="n">
        <v>9</v>
      </c>
      <c r="J90" s="15" t="n">
        <v>25</v>
      </c>
      <c r="K90" s="15" t="n">
        <v>32</v>
      </c>
      <c r="L90" s="15" t="n">
        <v>0</v>
      </c>
      <c r="M90" s="15" t="n">
        <v>0</v>
      </c>
      <c r="N90" s="15" t="n">
        <v>0</v>
      </c>
      <c r="O90" s="15" t="n">
        <v>0</v>
      </c>
      <c r="P90" s="15" t="n">
        <v>0</v>
      </c>
      <c r="Q90" s="15" t="n">
        <v>0</v>
      </c>
      <c r="R90" s="15" t="n">
        <v>0</v>
      </c>
      <c r="S90" s="15" t="n">
        <v>5</v>
      </c>
      <c r="T90" s="14">
        <f>IF(COUNT(I90:S90)=0,"",SUM(I90:S90))</f>
        <v/>
      </c>
      <c r="U90" t="inlineStr"/>
    </row>
    <row r="91">
      <c r="A91" t="inlineStr">
        <is>
          <t>자이꿈어린이집</t>
        </is>
      </c>
      <c r="B91" t="inlineStr">
        <is>
          <t>어린이집</t>
        </is>
      </c>
      <c r="C91" t="inlineStr">
        <is>
          <t>가정</t>
        </is>
      </c>
      <c r="D91" t="inlineStr">
        <is>
          <t>강서구</t>
        </is>
      </c>
      <c r="E91" t="inlineStr">
        <is>
          <t>부산광역시 강서구 에코델타1로 24</t>
        </is>
      </c>
      <c r="F91" t="inlineStr"/>
      <c r="G91" t="inlineStr">
        <is>
          <t>051-961-1599</t>
        </is>
      </c>
      <c r="H91" s="15" t="n">
        <v>20</v>
      </c>
      <c r="I91" s="15" t="n">
        <v>5</v>
      </c>
      <c r="J91" s="15" t="n">
        <v>9</v>
      </c>
      <c r="K91" s="15" t="n">
        <v>6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4</v>
      </c>
      <c r="T91" s="14">
        <f>IF(COUNT(I91:S91)=0,"",SUM(I91:S91))</f>
        <v/>
      </c>
      <c r="U91" t="inlineStr"/>
    </row>
    <row r="92">
      <c r="A92" t="inlineStr">
        <is>
          <t>제일어린이집</t>
        </is>
      </c>
      <c r="B92" t="inlineStr">
        <is>
          <t>어린이집</t>
        </is>
      </c>
      <c r="C92" t="inlineStr">
        <is>
          <t>민간</t>
        </is>
      </c>
      <c r="D92" t="inlineStr">
        <is>
          <t>강서구</t>
        </is>
      </c>
      <c r="E92" t="inlineStr">
        <is>
          <t>부산광역시 강서구 송정길43번길 16 제일어린이집</t>
        </is>
      </c>
      <c r="F92" t="inlineStr"/>
      <c r="G92" t="inlineStr">
        <is>
          <t>051-831-7126</t>
        </is>
      </c>
      <c r="H92" s="15" t="n">
        <v>259</v>
      </c>
      <c r="I92" s="15" t="n">
        <v>0</v>
      </c>
      <c r="J92" s="15" t="n">
        <v>20</v>
      </c>
      <c r="K92" s="15" t="n">
        <v>35</v>
      </c>
      <c r="L92" s="15" t="n">
        <v>36</v>
      </c>
      <c r="M92" s="15" t="n">
        <v>48</v>
      </c>
      <c r="N92" s="15" t="n">
        <v>38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15</v>
      </c>
      <c r="T92" s="14">
        <f>IF(COUNT(I92:S92)=0,"",SUM(I92:S92))</f>
        <v/>
      </c>
      <c r="U92" t="inlineStr"/>
    </row>
    <row r="93">
      <c r="A93" t="inlineStr">
        <is>
          <t>조은어린이집</t>
        </is>
      </c>
      <c r="B93" t="inlineStr">
        <is>
          <t>어린이집</t>
        </is>
      </c>
      <c r="C93" t="inlineStr">
        <is>
          <t>민간</t>
        </is>
      </c>
      <c r="D93" t="inlineStr">
        <is>
          <t>강서구</t>
        </is>
      </c>
      <c r="E93" t="inlineStr">
        <is>
          <t>부산광역시 강서구 명지오션시티11로 22 107동(명지동, 명지두산위브포세이돈)</t>
        </is>
      </c>
      <c r="F93" t="inlineStr"/>
      <c r="G93" t="inlineStr">
        <is>
          <t>051-271-1367</t>
        </is>
      </c>
      <c r="H93" s="15" t="n">
        <v>39</v>
      </c>
      <c r="I93" s="15" t="n">
        <v>11</v>
      </c>
      <c r="J93" s="15" t="n">
        <v>10</v>
      </c>
      <c r="K93" s="15" t="n">
        <v>7</v>
      </c>
      <c r="L93" s="15" t="n">
        <v>0</v>
      </c>
      <c r="M93" s="15" t="n">
        <v>0</v>
      </c>
      <c r="N93" s="15" t="n">
        <v>0</v>
      </c>
      <c r="O93" s="15" t="n">
        <v>5</v>
      </c>
      <c r="P93" s="15" t="n">
        <v>0</v>
      </c>
      <c r="Q93" s="15" t="n">
        <v>0</v>
      </c>
      <c r="R93" s="15" t="n">
        <v>0</v>
      </c>
      <c r="S93" s="15" t="n">
        <v>8</v>
      </c>
      <c r="T93" s="14">
        <f>IF(COUNT(I93:S93)=0,"",SUM(I93:S93))</f>
        <v/>
      </c>
      <c r="U93" t="inlineStr"/>
    </row>
    <row r="94">
      <c r="A94" t="inlineStr">
        <is>
          <t>중흥1차어린이집</t>
        </is>
      </c>
      <c r="B94" t="inlineStr">
        <is>
          <t>어린이집</t>
        </is>
      </c>
      <c r="C94" t="inlineStr">
        <is>
          <t>가정</t>
        </is>
      </c>
      <c r="D94" t="inlineStr">
        <is>
          <t>강서구</t>
        </is>
      </c>
      <c r="E94" t="inlineStr">
        <is>
          <t>부산광역시 강서구 명지국제7로 133 109-101</t>
        </is>
      </c>
      <c r="F94" t="inlineStr"/>
      <c r="G94" t="inlineStr">
        <is>
          <t>051-203-8323</t>
        </is>
      </c>
      <c r="H94" s="15" t="n">
        <v>18</v>
      </c>
      <c r="I94" s="15" t="n">
        <v>2</v>
      </c>
      <c r="J94" s="15" t="n">
        <v>0</v>
      </c>
      <c r="K94" s="15" t="n">
        <v>4</v>
      </c>
      <c r="L94" s="15" t="n">
        <v>0</v>
      </c>
      <c r="M94" s="15" t="n">
        <v>0</v>
      </c>
      <c r="N94" s="15" t="n">
        <v>0</v>
      </c>
      <c r="O94" s="15" t="n">
        <v>4</v>
      </c>
      <c r="P94" s="15" t="n">
        <v>0</v>
      </c>
      <c r="Q94" s="15" t="n">
        <v>0</v>
      </c>
      <c r="R94" s="15" t="n">
        <v>0</v>
      </c>
      <c r="S94" s="15" t="n">
        <v>4</v>
      </c>
      <c r="T94" s="14">
        <f>IF(COUNT(I94:S94)=0,"",SUM(I94:S94))</f>
        <v/>
      </c>
      <c r="U94" t="inlineStr"/>
    </row>
    <row r="95">
      <c r="A95" t="inlineStr">
        <is>
          <t>지사어린이집</t>
        </is>
      </c>
      <c r="B95" t="inlineStr">
        <is>
          <t>어린이집</t>
        </is>
      </c>
      <c r="C95" t="inlineStr">
        <is>
          <t>국공립</t>
        </is>
      </c>
      <c r="D95" t="inlineStr">
        <is>
          <t>강서구</t>
        </is>
      </c>
      <c r="E95" t="inlineStr">
        <is>
          <t>부산광역시 강서구 과학산단2로20번길 35 (지사동, LH휴먼시아)</t>
        </is>
      </c>
      <c r="F95" t="inlineStr"/>
      <c r="G95" t="inlineStr">
        <is>
          <t>051-972-0030</t>
        </is>
      </c>
      <c r="H95" s="15" t="n">
        <v>45</v>
      </c>
      <c r="I95" s="15" t="n">
        <v>10</v>
      </c>
      <c r="J95" s="15" t="n">
        <v>8</v>
      </c>
      <c r="K95" s="15" t="n">
        <v>14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4</v>
      </c>
      <c r="T95" s="14">
        <f>IF(COUNT(I95:S95)=0,"",SUM(I95:S95))</f>
        <v/>
      </c>
      <c r="U95" t="inlineStr"/>
    </row>
    <row r="96">
      <c r="A96" t="inlineStr">
        <is>
          <t>청민어린이집</t>
        </is>
      </c>
      <c r="B96" t="inlineStr">
        <is>
          <t>어린이집</t>
        </is>
      </c>
      <c r="C96" t="inlineStr">
        <is>
          <t>민간</t>
        </is>
      </c>
      <c r="D96" t="inlineStr">
        <is>
          <t>강서구</t>
        </is>
      </c>
      <c r="E96" t="inlineStr">
        <is>
          <t>부산광역시 강서구 명지오션시티6로 33 (명지동)</t>
        </is>
      </c>
      <c r="F96" t="inlineStr"/>
      <c r="G96" t="inlineStr">
        <is>
          <t>051-202-0079</t>
        </is>
      </c>
      <c r="H96" s="15" t="n">
        <v>47</v>
      </c>
      <c r="I96" s="15" t="n">
        <v>5</v>
      </c>
      <c r="J96" s="15" t="n">
        <v>4</v>
      </c>
      <c r="K96" s="15" t="n">
        <v>14</v>
      </c>
      <c r="L96" s="15" t="n">
        <v>0</v>
      </c>
      <c r="M96" s="15" t="n">
        <v>0</v>
      </c>
      <c r="N96" s="15" t="n">
        <v>0</v>
      </c>
      <c r="O96" s="15" t="n">
        <v>3</v>
      </c>
      <c r="P96" s="15" t="n">
        <v>0</v>
      </c>
      <c r="Q96" s="15" t="n">
        <v>0</v>
      </c>
      <c r="R96" s="15" t="n">
        <v>0</v>
      </c>
      <c r="S96" s="15" t="n">
        <v>0</v>
      </c>
      <c r="T96" s="14">
        <f>IF(COUNT(I96:S96)=0,"",SUM(I96:S96))</f>
        <v/>
      </c>
      <c r="U96" t="inlineStr"/>
    </row>
    <row r="97">
      <c r="A97" t="inlineStr">
        <is>
          <t>초록둥지어린이집</t>
        </is>
      </c>
      <c r="B97" t="inlineStr">
        <is>
          <t>어린이집</t>
        </is>
      </c>
      <c r="C97" t="inlineStr">
        <is>
          <t>국공립</t>
        </is>
      </c>
      <c r="D97" t="inlineStr">
        <is>
          <t>강서구</t>
        </is>
      </c>
      <c r="E97" t="inlineStr">
        <is>
          <t>부산광역시 강서구 명지국제5로 60 (명지동, 에일린의 뜰)</t>
        </is>
      </c>
      <c r="F97" t="inlineStr"/>
      <c r="G97" t="inlineStr">
        <is>
          <t>051-271-7502</t>
        </is>
      </c>
      <c r="H97" s="15" t="n">
        <v>39</v>
      </c>
      <c r="I97" s="15" t="n">
        <v>0</v>
      </c>
      <c r="J97" s="15" t="n">
        <v>18</v>
      </c>
      <c r="K97" s="15" t="n">
        <v>21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5</v>
      </c>
      <c r="T97" s="14">
        <f>IF(COUNT(I97:S97)=0,"",SUM(I97:S97))</f>
        <v/>
      </c>
      <c r="U97" t="inlineStr"/>
    </row>
    <row r="98">
      <c r="A98" t="inlineStr">
        <is>
          <t>초록뜰어린이집</t>
        </is>
      </c>
      <c r="B98" t="inlineStr">
        <is>
          <t>어린이집</t>
        </is>
      </c>
      <c r="C98" t="inlineStr">
        <is>
          <t>가정</t>
        </is>
      </c>
      <c r="D98" t="inlineStr">
        <is>
          <t>강서구</t>
        </is>
      </c>
      <c r="E98" t="inlineStr">
        <is>
          <t>부산광역시 강서구 명지오션시티10로 16 216-102(명지동, 퀸덤1차)</t>
        </is>
      </c>
      <c r="F98" t="inlineStr"/>
      <c r="G98" t="inlineStr">
        <is>
          <t>051-902-7770</t>
        </is>
      </c>
      <c r="H98" s="15" t="n">
        <v>20</v>
      </c>
      <c r="I98" s="15" t="n">
        <v>0</v>
      </c>
      <c r="J98" s="15" t="n">
        <v>5</v>
      </c>
      <c r="K98" s="15" t="n">
        <v>4</v>
      </c>
      <c r="L98" s="15" t="n">
        <v>0</v>
      </c>
      <c r="M98" s="15" t="n">
        <v>0</v>
      </c>
      <c r="N98" s="15" t="n">
        <v>0</v>
      </c>
      <c r="O98" s="15" t="n">
        <v>2</v>
      </c>
      <c r="P98" s="15" t="n">
        <v>0</v>
      </c>
      <c r="Q98" s="15" t="n">
        <v>0</v>
      </c>
      <c r="R98" s="15" t="n">
        <v>0</v>
      </c>
      <c r="S98" s="15" t="n">
        <v>4</v>
      </c>
      <c r="T98" s="14">
        <f>IF(COUNT(I98:S98)=0,"",SUM(I98:S98))</f>
        <v/>
      </c>
      <c r="U98" t="inlineStr"/>
    </row>
    <row r="99">
      <c r="A99" t="inlineStr">
        <is>
          <t>키즈앤수자인어린이집</t>
        </is>
      </c>
      <c r="B99" t="inlineStr">
        <is>
          <t>어린이집</t>
        </is>
      </c>
      <c r="C99" t="inlineStr">
        <is>
          <t>국공립</t>
        </is>
      </c>
      <c r="D99" t="inlineStr">
        <is>
          <t>강서구</t>
        </is>
      </c>
      <c r="E99" t="inlineStr">
        <is>
          <t>부산광역시 강서구 에코중앙1로 33 (강동동, 에코델타 스마트시티 수자인)</t>
        </is>
      </c>
      <c r="F99" t="inlineStr"/>
      <c r="G99" t="inlineStr">
        <is>
          <t>051-711-3357</t>
        </is>
      </c>
      <c r="H99" s="15" t="n">
        <v>62</v>
      </c>
      <c r="I99" s="15" t="n">
        <v>9</v>
      </c>
      <c r="J99" s="15" t="n">
        <v>21</v>
      </c>
      <c r="K99" s="15" t="n">
        <v>27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3</v>
      </c>
      <c r="T99" s="14">
        <f>IF(COUNT(I99:S99)=0,"",SUM(I99:S99))</f>
        <v/>
      </c>
      <c r="U99" t="inlineStr"/>
    </row>
    <row r="100">
      <c r="A100" t="inlineStr">
        <is>
          <t>키즈테라스어린이집</t>
        </is>
      </c>
      <c r="B100" t="inlineStr">
        <is>
          <t>어린이집</t>
        </is>
      </c>
      <c r="C100" t="inlineStr">
        <is>
          <t>민간</t>
        </is>
      </c>
      <c r="D100" t="inlineStr">
        <is>
          <t>강서구</t>
        </is>
      </c>
      <c r="E100" t="inlineStr">
        <is>
          <t>부산광역시 강서구 명지국제13로38번길 11 (명지동, 명지중흥S클래스더테라스)</t>
        </is>
      </c>
      <c r="F100" t="inlineStr"/>
      <c r="G100" t="inlineStr">
        <is>
          <t>051-711-1440</t>
        </is>
      </c>
      <c r="H100" s="15" t="n">
        <v>40</v>
      </c>
      <c r="I100" s="15" t="n">
        <v>6</v>
      </c>
      <c r="J100" s="15" t="n">
        <v>20</v>
      </c>
      <c r="K100" s="15" t="n">
        <v>14</v>
      </c>
      <c r="L100" s="15" t="n">
        <v>0</v>
      </c>
      <c r="M100" s="15" t="n">
        <v>0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5</v>
      </c>
      <c r="T100" s="14">
        <f>IF(COUNT(I100:S100)=0,"",SUM(I100:S100))</f>
        <v/>
      </c>
      <c r="U100" t="inlineStr"/>
    </row>
    <row r="101">
      <c r="A101" t="inlineStr">
        <is>
          <t>토마토어린이집</t>
        </is>
      </c>
      <c r="B101" t="inlineStr">
        <is>
          <t>어린이집</t>
        </is>
      </c>
      <c r="C101" t="inlineStr">
        <is>
          <t>가정</t>
        </is>
      </c>
      <c r="D101" t="inlineStr">
        <is>
          <t>강서구</t>
        </is>
      </c>
      <c r="E101" t="inlineStr">
        <is>
          <t>부산광역시 강서구 명지국제2로 41 302동 103호(명지동, 더샵명지퍼스트월드3단지)</t>
        </is>
      </c>
      <c r="F101" t="inlineStr"/>
      <c r="G101" t="inlineStr">
        <is>
          <t>051-242-1600</t>
        </is>
      </c>
      <c r="H101" s="15" t="n">
        <v>20</v>
      </c>
      <c r="I101" s="15" t="n">
        <v>8</v>
      </c>
      <c r="J101" s="15" t="n">
        <v>5</v>
      </c>
      <c r="K101" s="15" t="n">
        <v>6</v>
      </c>
      <c r="L101" s="15" t="n">
        <v>0</v>
      </c>
      <c r="M101" s="15" t="n">
        <v>0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3</v>
      </c>
      <c r="T101" s="14">
        <f>IF(COUNT(I101:S101)=0,"",SUM(I101:S101))</f>
        <v/>
      </c>
      <c r="U101" t="inlineStr"/>
    </row>
    <row r="102">
      <c r="A102" t="inlineStr">
        <is>
          <t>파랑새어린이집</t>
        </is>
      </c>
      <c r="B102" t="inlineStr">
        <is>
          <t>어린이집</t>
        </is>
      </c>
      <c r="C102" t="inlineStr">
        <is>
          <t>민간</t>
        </is>
      </c>
      <c r="D102" t="inlineStr">
        <is>
          <t>강서구</t>
        </is>
      </c>
      <c r="E102" t="inlineStr">
        <is>
          <t>부산광역시 강서구 낙동남로 458-2 (녹산동)</t>
        </is>
      </c>
      <c r="F102" t="inlineStr"/>
      <c r="G102" t="inlineStr">
        <is>
          <t>051-971-9940</t>
        </is>
      </c>
      <c r="H102" s="15" t="n">
        <v>159</v>
      </c>
      <c r="I102" s="15" t="n">
        <v>0</v>
      </c>
      <c r="J102" s="15" t="n">
        <v>10</v>
      </c>
      <c r="K102" s="15" t="n">
        <v>13</v>
      </c>
      <c r="L102" s="15" t="n">
        <v>0</v>
      </c>
      <c r="M102" s="15" t="n">
        <v>0</v>
      </c>
      <c r="N102" s="15" t="n">
        <v>15</v>
      </c>
      <c r="O102" s="15" t="n">
        <v>0</v>
      </c>
      <c r="P102" s="15" t="n">
        <v>26</v>
      </c>
      <c r="Q102" s="15" t="n">
        <v>0</v>
      </c>
      <c r="R102" s="15" t="n">
        <v>0</v>
      </c>
      <c r="S102" s="15" t="n">
        <v>18</v>
      </c>
      <c r="T102" s="14">
        <f>IF(COUNT(I102:S102)=0,"",SUM(I102:S102))</f>
        <v/>
      </c>
      <c r="U102" t="inlineStr"/>
    </row>
    <row r="103">
      <c r="A103" t="inlineStr">
        <is>
          <t>포스코어린이집</t>
        </is>
      </c>
      <c r="B103" t="inlineStr">
        <is>
          <t>어린이집</t>
        </is>
      </c>
      <c r="C103" t="inlineStr">
        <is>
          <t>가정</t>
        </is>
      </c>
      <c r="D103" t="inlineStr">
        <is>
          <t>강서구</t>
        </is>
      </c>
      <c r="E103" t="inlineStr">
        <is>
          <t>부산광역시 강서구 명지국제2로 41 303동 103호(명지동, 더샵명지퍼스트월드3단지)</t>
        </is>
      </c>
      <c r="F103" t="inlineStr"/>
      <c r="G103" t="inlineStr">
        <is>
          <t>051-293-5013</t>
        </is>
      </c>
      <c r="H103" s="15" t="n">
        <v>20</v>
      </c>
      <c r="I103" s="15" t="n">
        <v>5</v>
      </c>
      <c r="J103" s="15" t="n">
        <v>8</v>
      </c>
      <c r="K103" s="15" t="n">
        <v>6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5</v>
      </c>
      <c r="T103" s="14">
        <f>IF(COUNT(I103:S103)=0,"",SUM(I103:S103))</f>
        <v/>
      </c>
      <c r="U103" t="inlineStr"/>
    </row>
    <row r="104">
      <c r="A104" t="inlineStr">
        <is>
          <t>푸르지오린어린이집</t>
        </is>
      </c>
      <c r="B104" t="inlineStr">
        <is>
          <t>어린이집</t>
        </is>
      </c>
      <c r="C104" t="inlineStr">
        <is>
          <t>국공립</t>
        </is>
      </c>
      <c r="D104" t="inlineStr">
        <is>
          <t>강서구</t>
        </is>
      </c>
      <c r="E104" t="inlineStr">
        <is>
          <t>부산광역시 강서구 에코델타3로 43</t>
        </is>
      </c>
      <c r="F104" t="inlineStr"/>
      <c r="G104" t="inlineStr">
        <is>
          <t>051-715-1203</t>
        </is>
      </c>
      <c r="H104" s="15" t="n">
        <v>56</v>
      </c>
      <c r="I104" s="15" t="n">
        <v>10</v>
      </c>
      <c r="J104" s="15" t="n">
        <v>15</v>
      </c>
      <c r="K104" s="15" t="n">
        <v>28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15</v>
      </c>
      <c r="T104" s="14">
        <f>IF(COUNT(I104:S104)=0,"",SUM(I104:S104))</f>
        <v/>
      </c>
      <c r="U104" t="inlineStr"/>
    </row>
    <row r="105">
      <c r="A105" t="inlineStr">
        <is>
          <t>푸르지오봄어린이집</t>
        </is>
      </c>
      <c r="B105" t="inlineStr">
        <is>
          <t>어린이집</t>
        </is>
      </c>
      <c r="C105" t="inlineStr">
        <is>
          <t>가정</t>
        </is>
      </c>
      <c r="D105" t="inlineStr">
        <is>
          <t>강서구</t>
        </is>
      </c>
      <c r="E105" t="inlineStr">
        <is>
          <t>부산광역시 강서구 에코델타1로 66 101동 102호</t>
        </is>
      </c>
      <c r="F105" t="inlineStr"/>
      <c r="G105" t="inlineStr">
        <is>
          <t>051-911-6663</t>
        </is>
      </c>
      <c r="H105" s="15" t="n">
        <v>20</v>
      </c>
      <c r="I105" s="15" t="n">
        <v>6</v>
      </c>
      <c r="J105" s="15" t="n">
        <v>5</v>
      </c>
      <c r="K105" s="15" t="n">
        <v>7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5</v>
      </c>
      <c r="T105" s="14">
        <f>IF(COUNT(I105:S105)=0,"",SUM(I105:S105))</f>
        <v/>
      </c>
      <c r="U105" t="inlineStr"/>
    </row>
    <row r="106">
      <c r="A106" t="inlineStr">
        <is>
          <t>푸르지오센터파크어린이집</t>
        </is>
      </c>
      <c r="B106" t="inlineStr">
        <is>
          <t>어린이집</t>
        </is>
      </c>
      <c r="C106" t="inlineStr">
        <is>
          <t>국공립</t>
        </is>
      </c>
      <c r="D106" t="inlineStr">
        <is>
          <t>강서구</t>
        </is>
      </c>
      <c r="E106" t="inlineStr">
        <is>
          <t>부산광역시 강서구 에코델타1로 66 관리동</t>
        </is>
      </c>
      <c r="F106" t="inlineStr"/>
      <c r="G106" t="inlineStr">
        <is>
          <t>051-987-2591</t>
        </is>
      </c>
      <c r="H106" s="15" t="n">
        <v>52</v>
      </c>
      <c r="I106" s="15" t="n">
        <v>9</v>
      </c>
      <c r="J106" s="15" t="n">
        <v>15</v>
      </c>
      <c r="K106" s="15" t="n">
        <v>27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14</v>
      </c>
      <c r="T106" s="14">
        <f>IF(COUNT(I106:S106)=0,"",SUM(I106:S106))</f>
        <v/>
      </c>
      <c r="U106" t="inlineStr"/>
    </row>
    <row r="107">
      <c r="A107" t="inlineStr">
        <is>
          <t>하늘나리어린이집</t>
        </is>
      </c>
      <c r="B107" t="inlineStr">
        <is>
          <t>어린이집</t>
        </is>
      </c>
      <c r="C107" t="inlineStr">
        <is>
          <t>가정</t>
        </is>
      </c>
      <c r="D107" t="inlineStr">
        <is>
          <t>강서구</t>
        </is>
      </c>
      <c r="E107" t="inlineStr">
        <is>
          <t>부산광역시 강서구 명지국제5로 109 201동 101호(금강펜테리움센터럴파크2차)</t>
        </is>
      </c>
      <c r="F107" t="inlineStr"/>
      <c r="G107" t="inlineStr">
        <is>
          <t>051-205-6790</t>
        </is>
      </c>
      <c r="H107" s="15" t="n">
        <v>20</v>
      </c>
      <c r="I107" s="15" t="n">
        <v>2</v>
      </c>
      <c r="J107" s="15" t="n">
        <v>5</v>
      </c>
      <c r="K107" s="15" t="n">
        <v>6</v>
      </c>
      <c r="L107" s="15" t="n">
        <v>0</v>
      </c>
      <c r="M107" s="15" t="n">
        <v>0</v>
      </c>
      <c r="N107" s="15" t="n">
        <v>0</v>
      </c>
      <c r="O107" s="15" t="n">
        <v>3</v>
      </c>
      <c r="P107" s="15" t="n">
        <v>0</v>
      </c>
      <c r="Q107" s="15" t="n">
        <v>0</v>
      </c>
      <c r="R107" s="15" t="n">
        <v>0</v>
      </c>
      <c r="S107" s="15" t="n">
        <v>5</v>
      </c>
      <c r="T107" s="14">
        <f>IF(COUNT(I107:S107)=0,"",SUM(I107:S107))</f>
        <v/>
      </c>
      <c r="U107" t="inlineStr"/>
    </row>
    <row r="108">
      <c r="A108" t="inlineStr">
        <is>
          <t>하늘어린이집</t>
        </is>
      </c>
      <c r="B108" t="inlineStr">
        <is>
          <t>어린이집</t>
        </is>
      </c>
      <c r="C108" t="inlineStr">
        <is>
          <t>국공립</t>
        </is>
      </c>
      <c r="D108" t="inlineStr">
        <is>
          <t>강서구</t>
        </is>
      </c>
      <c r="E108" t="inlineStr">
        <is>
          <t>부산광역시 강서구 공항진입로42번길 20 (대저2동)</t>
        </is>
      </c>
      <c r="F108" t="inlineStr"/>
      <c r="G108" t="inlineStr">
        <is>
          <t>051-832-7800</t>
        </is>
      </c>
      <c r="H108" s="15" t="n">
        <v>73</v>
      </c>
      <c r="I108" s="15" t="n">
        <v>6</v>
      </c>
      <c r="J108" s="15" t="n">
        <v>18</v>
      </c>
      <c r="K108" s="15" t="n">
        <v>12</v>
      </c>
      <c r="L108" s="15" t="n">
        <v>0</v>
      </c>
      <c r="M108" s="15" t="n">
        <v>0</v>
      </c>
      <c r="N108" s="15" t="n">
        <v>0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14">
        <f>IF(COUNT(I108:S108)=0,"",SUM(I108:S108))</f>
        <v/>
      </c>
      <c r="U108" t="inlineStr"/>
    </row>
    <row r="109">
      <c r="A109" t="inlineStr">
        <is>
          <t>해뜰어린이집</t>
        </is>
      </c>
      <c r="B109" t="inlineStr">
        <is>
          <t>어린이집</t>
        </is>
      </c>
      <c r="C109" t="inlineStr">
        <is>
          <t>가정</t>
        </is>
      </c>
      <c r="D109" t="inlineStr">
        <is>
          <t>강서구</t>
        </is>
      </c>
      <c r="E109" t="inlineStr">
        <is>
          <t>부산광역시 강서구 명지국제5로 60 110동 102호(명지동, 에일린의뜰)</t>
        </is>
      </c>
      <c r="F109" t="inlineStr"/>
      <c r="G109" t="inlineStr">
        <is>
          <t>051-271-7999</t>
        </is>
      </c>
      <c r="H109" s="15" t="n">
        <v>20</v>
      </c>
      <c r="I109" s="15" t="n">
        <v>6</v>
      </c>
      <c r="J109" s="15" t="n">
        <v>3</v>
      </c>
      <c r="K109" s="15" t="n">
        <v>7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3</v>
      </c>
      <c r="T109" s="14">
        <f>IF(COUNT(I109:S109)=0,"",SUM(I109:S109))</f>
        <v/>
      </c>
      <c r="U109" t="inlineStr"/>
    </row>
    <row r="110">
      <c r="A110" t="inlineStr">
        <is>
          <t>해맑은어린이집</t>
        </is>
      </c>
      <c r="B110" t="inlineStr">
        <is>
          <t>어린이집</t>
        </is>
      </c>
      <c r="C110" t="inlineStr">
        <is>
          <t>가정</t>
        </is>
      </c>
      <c r="D110" t="inlineStr">
        <is>
          <t>강서구</t>
        </is>
      </c>
      <c r="E110" t="inlineStr">
        <is>
          <t>부산광역시 강서구 명지국제5로 90 203동 102호(명지동, 중흥S클래스에듀오션)</t>
        </is>
      </c>
      <c r="F110" t="inlineStr"/>
      <c r="G110" t="inlineStr">
        <is>
          <t>051-911-4248</t>
        </is>
      </c>
      <c r="H110" s="15" t="n">
        <v>20</v>
      </c>
      <c r="I110" s="15" t="n">
        <v>7</v>
      </c>
      <c r="J110" s="15" t="n">
        <v>4</v>
      </c>
      <c r="K110" s="15" t="n">
        <v>9</v>
      </c>
      <c r="L110" s="15" t="n">
        <v>0</v>
      </c>
      <c r="M110" s="15" t="n">
        <v>0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7</v>
      </c>
      <c r="T110" s="14">
        <f>IF(COUNT(I110:S110)=0,"",SUM(I110:S110))</f>
        <v/>
      </c>
      <c r="U110" t="inlineStr"/>
    </row>
    <row r="111">
      <c r="A111" t="inlineStr">
        <is>
          <t>해바라기어린이집</t>
        </is>
      </c>
      <c r="B111" t="inlineStr">
        <is>
          <t>어린이집</t>
        </is>
      </c>
      <c r="C111" t="inlineStr">
        <is>
          <t>가정</t>
        </is>
      </c>
      <c r="D111" t="inlineStr">
        <is>
          <t>강서구</t>
        </is>
      </c>
      <c r="E111" t="inlineStr">
        <is>
          <t>부산광역시 강서구 신호산단3로 55 109-104(신호동, 윌더하임아파트)</t>
        </is>
      </c>
      <c r="F111" t="inlineStr"/>
      <c r="G111" t="inlineStr">
        <is>
          <t>070-8866-5026</t>
        </is>
      </c>
      <c r="H111" s="15" t="n">
        <v>20</v>
      </c>
      <c r="I111" s="15" t="n">
        <v>4</v>
      </c>
      <c r="J111" s="15" t="n">
        <v>9</v>
      </c>
      <c r="K111" s="15" t="n">
        <v>7</v>
      </c>
      <c r="L111" s="15" t="n">
        <v>0</v>
      </c>
      <c r="M111" s="15" t="n">
        <v>0</v>
      </c>
      <c r="N111" s="15" t="n">
        <v>0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8</v>
      </c>
      <c r="T111" s="14">
        <f>IF(COUNT(I111:S111)=0,"",SUM(I111:S111))</f>
        <v/>
      </c>
      <c r="U111" t="inlineStr"/>
    </row>
    <row r="112">
      <c r="A112" t="inlineStr">
        <is>
          <t>해성어린이집</t>
        </is>
      </c>
      <c r="B112" t="inlineStr">
        <is>
          <t>어린이집</t>
        </is>
      </c>
      <c r="C112" t="inlineStr">
        <is>
          <t>직장</t>
        </is>
      </c>
      <c r="D112" t="inlineStr">
        <is>
          <t>강서구</t>
        </is>
      </c>
      <c r="E112" t="inlineStr">
        <is>
          <t>부산광역시 강서구 공항진입로42번길 20 (대저2동)</t>
        </is>
      </c>
      <c r="F112" t="inlineStr"/>
      <c r="G112" t="inlineStr">
        <is>
          <t>051-941-0177</t>
        </is>
      </c>
      <c r="H112" s="15" t="n">
        <v>80</v>
      </c>
      <c r="I112" s="15" t="n">
        <v>0</v>
      </c>
      <c r="J112" s="15" t="n">
        <v>0</v>
      </c>
      <c r="K112" s="15" t="n">
        <v>0</v>
      </c>
      <c r="L112" s="15" t="n">
        <v>12</v>
      </c>
      <c r="M112" s="15" t="n">
        <v>15</v>
      </c>
      <c r="N112" s="15" t="n">
        <v>15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20</v>
      </c>
      <c r="T112" s="14">
        <f>IF(COUNT(I112:S112)=0,"",SUM(I112:S112))</f>
        <v/>
      </c>
      <c r="U112" t="inlineStr"/>
    </row>
    <row r="113">
      <c r="A113" t="inlineStr">
        <is>
          <t>협성아이숲어린이집</t>
        </is>
      </c>
      <c r="B113" t="inlineStr">
        <is>
          <t>어린이집</t>
        </is>
      </c>
      <c r="C113" t="inlineStr">
        <is>
          <t>민간</t>
        </is>
      </c>
      <c r="D113" t="inlineStr">
        <is>
          <t>강서구</t>
        </is>
      </c>
      <c r="E113" t="inlineStr">
        <is>
          <t>부산광역시 강서구 과학산단로306번길 10 관리동(지사동, 협성DS엘리시안아파트)</t>
        </is>
      </c>
      <c r="F113" t="inlineStr"/>
      <c r="G113" t="inlineStr">
        <is>
          <t>051-831-3525</t>
        </is>
      </c>
      <c r="H113" s="15" t="n">
        <v>77</v>
      </c>
      <c r="I113" s="15" t="n">
        <v>7</v>
      </c>
      <c r="J113" s="15" t="n">
        <v>15</v>
      </c>
      <c r="K113" s="15" t="n">
        <v>13</v>
      </c>
      <c r="L113" s="15" t="n">
        <v>0</v>
      </c>
      <c r="M113" s="15" t="n">
        <v>0</v>
      </c>
      <c r="N113" s="15" t="n">
        <v>0</v>
      </c>
      <c r="O113" s="15" t="n">
        <v>0</v>
      </c>
      <c r="P113" s="15" t="n">
        <v>24</v>
      </c>
      <c r="Q113" s="15" t="n">
        <v>0</v>
      </c>
      <c r="R113" s="15" t="n">
        <v>0</v>
      </c>
      <c r="S113" s="15" t="n">
        <v>18</v>
      </c>
      <c r="T113" s="14">
        <f>IF(COUNT(I113:S113)=0,"",SUM(I113:S113))</f>
        <v/>
      </c>
      <c r="U113" t="inlineStr"/>
    </row>
    <row r="114">
      <c r="A114" t="inlineStr">
        <is>
          <t>협성향기나무어린이집</t>
        </is>
      </c>
      <c r="B114" t="inlineStr">
        <is>
          <t>어린이집</t>
        </is>
      </c>
      <c r="C114" t="inlineStr">
        <is>
          <t>가정</t>
        </is>
      </c>
      <c r="D114" t="inlineStr">
        <is>
          <t>강서구</t>
        </is>
      </c>
      <c r="E114" t="inlineStr">
        <is>
          <t>부산광역시 강서구 명지국제5로 141 협성휴포레 114동101</t>
        </is>
      </c>
      <c r="F114" t="inlineStr"/>
      <c r="G114" t="inlineStr">
        <is>
          <t>051-205-5015</t>
        </is>
      </c>
      <c r="H114" s="15" t="n">
        <v>18</v>
      </c>
      <c r="I114" s="15" t="n">
        <v>3</v>
      </c>
      <c r="J114" s="15" t="n">
        <v>3</v>
      </c>
      <c r="K114" s="15" t="n">
        <v>5</v>
      </c>
      <c r="L114" s="15" t="n">
        <v>0</v>
      </c>
      <c r="M114" s="15" t="n">
        <v>0</v>
      </c>
      <c r="N114" s="15" t="n">
        <v>0</v>
      </c>
      <c r="O114" s="15" t="n">
        <v>0</v>
      </c>
      <c r="P114" s="15" t="n">
        <v>0</v>
      </c>
      <c r="Q114" s="15" t="n">
        <v>0</v>
      </c>
      <c r="R114" s="15" t="n">
        <v>0</v>
      </c>
      <c r="S114" s="15" t="n">
        <v>4</v>
      </c>
      <c r="T114" s="14">
        <f>IF(COUNT(I114:S114)=0,"",SUM(I114:S114))</f>
        <v/>
      </c>
      <c r="U114" t="inlineStr"/>
    </row>
    <row r="115">
      <c r="A115" t="inlineStr">
        <is>
          <t>협성휴포레어린이집</t>
        </is>
      </c>
      <c r="B115" t="inlineStr">
        <is>
          <t>어린이집</t>
        </is>
      </c>
      <c r="C115" t="inlineStr">
        <is>
          <t>가정</t>
        </is>
      </c>
      <c r="D115" t="inlineStr">
        <is>
          <t>강서구</t>
        </is>
      </c>
      <c r="E115" t="inlineStr">
        <is>
          <t>부산광역시 강서구 명지국제5로 141 111-101(명지동, 명지협성휴포레)</t>
        </is>
      </c>
      <c r="F115" t="inlineStr"/>
      <c r="G115" t="inlineStr">
        <is>
          <t>051-265-7376</t>
        </is>
      </c>
      <c r="H115" s="15" t="n">
        <v>18</v>
      </c>
      <c r="I115" s="15" t="n">
        <v>3</v>
      </c>
      <c r="J115" s="15" t="n">
        <v>5</v>
      </c>
      <c r="K115" s="15" t="n">
        <v>7</v>
      </c>
      <c r="L115" s="15" t="n">
        <v>0</v>
      </c>
      <c r="M115" s="15" t="n">
        <v>0</v>
      </c>
      <c r="N115" s="15" t="n">
        <v>0</v>
      </c>
      <c r="O115" s="15" t="n">
        <v>2</v>
      </c>
      <c r="P115" s="15" t="n">
        <v>0</v>
      </c>
      <c r="Q115" s="15" t="n">
        <v>0</v>
      </c>
      <c r="R115" s="15" t="n">
        <v>0</v>
      </c>
      <c r="S115" s="15" t="n">
        <v>5</v>
      </c>
      <c r="T115" s="14">
        <f>IF(COUNT(I115:S115)=0,"",SUM(I115:S115))</f>
        <v/>
      </c>
      <c r="U115" t="inlineStr"/>
    </row>
    <row r="116">
      <c r="A116" t="inlineStr">
        <is>
          <t>호반베르디움어린이집</t>
        </is>
      </c>
      <c r="B116" t="inlineStr">
        <is>
          <t>어린이집</t>
        </is>
      </c>
      <c r="C116" t="inlineStr">
        <is>
          <t>민간</t>
        </is>
      </c>
      <c r="D116" t="inlineStr">
        <is>
          <t>강서구</t>
        </is>
      </c>
      <c r="E116" t="inlineStr">
        <is>
          <t>부산광역시 강서구 명지국제5로 29 107동 1층(명지동, 호반베르디움1차)</t>
        </is>
      </c>
      <c r="F116" t="inlineStr"/>
      <c r="G116" t="inlineStr">
        <is>
          <t>051-293-2922</t>
        </is>
      </c>
      <c r="H116" s="15" t="n">
        <v>41</v>
      </c>
      <c r="I116" s="15" t="n">
        <v>9</v>
      </c>
      <c r="J116" s="15" t="n">
        <v>14</v>
      </c>
      <c r="K116" s="15" t="n">
        <v>14</v>
      </c>
      <c r="L116" s="15" t="n">
        <v>0</v>
      </c>
      <c r="M116" s="15" t="n">
        <v>0</v>
      </c>
      <c r="N116" s="15" t="n">
        <v>0</v>
      </c>
      <c r="O116" s="15" t="n">
        <v>0</v>
      </c>
      <c r="P116" s="15" t="n">
        <v>0</v>
      </c>
      <c r="Q116" s="15" t="n">
        <v>0</v>
      </c>
      <c r="R116" s="15" t="n">
        <v>0</v>
      </c>
      <c r="S116" s="15" t="n">
        <v>16</v>
      </c>
      <c r="T116" s="14">
        <f>IF(COUNT(I116:S116)=0,"",SUM(I116:S116))</f>
        <v/>
      </c>
      <c r="U116" t="inlineStr"/>
    </row>
    <row r="117">
      <c r="A117" t="inlineStr">
        <is>
          <t>호반써밋명지국제어린이집</t>
        </is>
      </c>
      <c r="B117" t="inlineStr">
        <is>
          <t>어린이집</t>
        </is>
      </c>
      <c r="C117" t="inlineStr">
        <is>
          <t>민간</t>
        </is>
      </c>
      <c r="D117" t="inlineStr">
        <is>
          <t>강서구</t>
        </is>
      </c>
      <c r="E117" t="inlineStr">
        <is>
          <t>부산광역시 강서구 명지국제5로 89 (명지동, 호반써밋명지국제아파트)</t>
        </is>
      </c>
      <c r="F117" t="inlineStr"/>
      <c r="G117" t="inlineStr">
        <is>
          <t>051-291-2933</t>
        </is>
      </c>
      <c r="H117" s="15" t="n">
        <v>48</v>
      </c>
      <c r="I117" s="15" t="n">
        <v>5</v>
      </c>
      <c r="J117" s="15" t="n">
        <v>5</v>
      </c>
      <c r="K117" s="15" t="n">
        <v>7</v>
      </c>
      <c r="L117" s="15" t="n">
        <v>0</v>
      </c>
      <c r="M117" s="15" t="n">
        <v>0</v>
      </c>
      <c r="N117" s="15" t="n">
        <v>0</v>
      </c>
      <c r="O117" s="15" t="n">
        <v>5</v>
      </c>
      <c r="P117" s="15" t="n">
        <v>0</v>
      </c>
      <c r="Q117" s="15" t="n">
        <v>0</v>
      </c>
      <c r="R117" s="15" t="n">
        <v>0</v>
      </c>
      <c r="S117" s="15" t="n">
        <v>0</v>
      </c>
      <c r="T117" s="14">
        <f>IF(COUNT(I117:S117)=0,"",SUM(I117:S117))</f>
        <v/>
      </c>
      <c r="U117" t="inlineStr"/>
    </row>
    <row r="118">
      <c r="A118" t="inlineStr">
        <is>
          <t>호반써밋어린이집</t>
        </is>
      </c>
      <c r="B118" t="inlineStr">
        <is>
          <t>어린이집</t>
        </is>
      </c>
      <c r="C118" t="inlineStr">
        <is>
          <t>국공립</t>
        </is>
      </c>
      <c r="D118" t="inlineStr">
        <is>
          <t>강서구</t>
        </is>
      </c>
      <c r="E118" t="inlineStr">
        <is>
          <t>부산광역시 강서구 에코대로 243 (강동동, 호반써밋스마트시티)</t>
        </is>
      </c>
      <c r="F118" t="inlineStr"/>
      <c r="G118" t="inlineStr">
        <is>
          <t>051-974-0327</t>
        </is>
      </c>
      <c r="H118" s="15" t="n">
        <v>42</v>
      </c>
      <c r="I118" s="15" t="n">
        <v>8</v>
      </c>
      <c r="J118" s="15" t="n">
        <v>18</v>
      </c>
      <c r="K118" s="15" t="n">
        <v>14</v>
      </c>
      <c r="L118" s="15" t="n">
        <v>0</v>
      </c>
      <c r="M118" s="15" t="n">
        <v>0</v>
      </c>
      <c r="N118" s="15" t="n">
        <v>0</v>
      </c>
      <c r="O118" s="15" t="n">
        <v>0</v>
      </c>
      <c r="P118" s="15" t="n">
        <v>0</v>
      </c>
      <c r="Q118" s="15" t="n">
        <v>0</v>
      </c>
      <c r="R118" s="15" t="n">
        <v>0</v>
      </c>
      <c r="S118" s="15" t="n">
        <v>5</v>
      </c>
      <c r="T118" s="14">
        <f>IF(COUNT(I118:S118)=0,"",SUM(I118:S118))</f>
        <v/>
      </c>
      <c r="U118" t="inlineStr"/>
    </row>
    <row r="119">
      <c r="A119" t="inlineStr">
        <is>
          <t>휴플러스어린이집</t>
        </is>
      </c>
      <c r="B119" t="inlineStr">
        <is>
          <t>어린이집</t>
        </is>
      </c>
      <c r="C119" t="inlineStr">
        <is>
          <t>민간</t>
        </is>
      </c>
      <c r="D119" t="inlineStr">
        <is>
          <t>강서구</t>
        </is>
      </c>
      <c r="E119" t="inlineStr">
        <is>
          <t>부산광역시 강서구 명지오션시티1로 155 (명지동, 한신휴플러스아파트)</t>
        </is>
      </c>
      <c r="F119" t="inlineStr"/>
      <c r="G119" t="inlineStr">
        <is>
          <t>051-201-0975</t>
        </is>
      </c>
      <c r="H119" s="15" t="n">
        <v>49</v>
      </c>
      <c r="I119" s="15" t="n">
        <v>2</v>
      </c>
      <c r="J119" s="15" t="n">
        <v>12</v>
      </c>
      <c r="K119" s="15" t="n">
        <v>17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4</v>
      </c>
      <c r="T119" s="14">
        <f>IF(COUNT(I119:S119)=0,"",SUM(I119:S119))</f>
        <v/>
      </c>
      <c r="U119" t="inlineStr"/>
    </row>
    <row r="120">
      <c r="A120" t="inlineStr">
        <is>
          <t>BNK금정어린이집</t>
        </is>
      </c>
      <c r="B120" t="inlineStr">
        <is>
          <t>어린이집</t>
        </is>
      </c>
      <c r="C120" t="inlineStr">
        <is>
          <t>직장</t>
        </is>
      </c>
      <c r="D120" t="inlineStr">
        <is>
          <t>금정구</t>
        </is>
      </c>
      <c r="E120" t="inlineStr">
        <is>
          <t>부산광역시 금정구 금강로 324 (장전동)</t>
        </is>
      </c>
      <c r="F120" s="11" t="inlineStr">
        <is>
          <t>http://www.puruni.com/busanbank3</t>
        </is>
      </c>
      <c r="G120" t="inlineStr">
        <is>
          <t>051-513-2561</t>
        </is>
      </c>
      <c r="H120" s="15" t="n">
        <v>63</v>
      </c>
      <c r="I120" s="15" t="n">
        <v>0</v>
      </c>
      <c r="J120" s="15" t="n">
        <v>8</v>
      </c>
      <c r="K120" s="15" t="n">
        <v>3</v>
      </c>
      <c r="L120" s="15" t="n">
        <v>0</v>
      </c>
      <c r="M120" s="15" t="n">
        <v>0</v>
      </c>
      <c r="N120" s="15" t="n">
        <v>0</v>
      </c>
      <c r="O120" s="15" t="n">
        <v>0</v>
      </c>
      <c r="P120" s="15" t="n">
        <v>3</v>
      </c>
      <c r="Q120" s="15" t="n">
        <v>0</v>
      </c>
      <c r="R120" s="15" t="n">
        <v>0</v>
      </c>
      <c r="S120" s="15" t="n">
        <v>8</v>
      </c>
      <c r="T120" s="14">
        <f>IF(COUNT(I120:S120)=0,"",SUM(I120:S120))</f>
        <v/>
      </c>
      <c r="U120" t="inlineStr"/>
    </row>
    <row r="121">
      <c r="A121" t="inlineStr">
        <is>
          <t>공립구서어린이집</t>
        </is>
      </c>
      <c r="B121" t="inlineStr">
        <is>
          <t>어린이집</t>
        </is>
      </c>
      <c r="C121" t="inlineStr">
        <is>
          <t>국공립</t>
        </is>
      </c>
      <c r="D121" t="inlineStr">
        <is>
          <t>금정구</t>
        </is>
      </c>
      <c r="E121" t="inlineStr">
        <is>
          <t>부산광역시 금정구 금강로 503 롯데캐슬골드 2단지내 (구서동)</t>
        </is>
      </c>
      <c r="F121" t="inlineStr"/>
      <c r="G121" t="inlineStr">
        <is>
          <t>051-518-1437</t>
        </is>
      </c>
      <c r="H121" s="15" t="n">
        <v>141</v>
      </c>
      <c r="I121" s="15" t="n">
        <v>0</v>
      </c>
      <c r="J121" s="15" t="n">
        <v>25</v>
      </c>
      <c r="K121" s="15" t="n">
        <v>26</v>
      </c>
      <c r="L121" s="15" t="n">
        <v>21</v>
      </c>
      <c r="M121" s="15" t="n">
        <v>19</v>
      </c>
      <c r="N121" s="15" t="n">
        <v>14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24</v>
      </c>
      <c r="T121" s="14">
        <f>IF(COUNT(I121:S121)=0,"",SUM(I121:S121))</f>
        <v/>
      </c>
      <c r="U121" t="inlineStr"/>
    </row>
    <row r="122">
      <c r="A122" t="inlineStr">
        <is>
          <t>공립부곡복지어린이집</t>
        </is>
      </c>
      <c r="B122" t="inlineStr">
        <is>
          <t>어린이집</t>
        </is>
      </c>
      <c r="C122" t="inlineStr">
        <is>
          <t>국공립</t>
        </is>
      </c>
      <c r="D122" t="inlineStr">
        <is>
          <t>금정구</t>
        </is>
      </c>
      <c r="E122" t="inlineStr">
        <is>
          <t>부산광역시 금정구 동현로 67 2차상가동내(부곡동, 부곡시영아파트)</t>
        </is>
      </c>
      <c r="F122" t="inlineStr"/>
      <c r="G122" t="inlineStr">
        <is>
          <t>051-515-2066</t>
        </is>
      </c>
      <c r="H122" s="15" t="n">
        <v>118</v>
      </c>
      <c r="I122" s="15" t="n">
        <v>3</v>
      </c>
      <c r="J122" s="15" t="n">
        <v>10</v>
      </c>
      <c r="K122" s="15" t="n">
        <v>10</v>
      </c>
      <c r="L122" s="15" t="n">
        <v>8</v>
      </c>
      <c r="M122" s="15" t="n">
        <v>0</v>
      </c>
      <c r="N122" s="15" t="n">
        <v>0</v>
      </c>
      <c r="O122" s="15" t="n">
        <v>0</v>
      </c>
      <c r="P122" s="15" t="n">
        <v>9</v>
      </c>
      <c r="Q122" s="15" t="n">
        <v>0</v>
      </c>
      <c r="R122" s="15" t="n">
        <v>0</v>
      </c>
      <c r="S122" s="15" t="n">
        <v>0</v>
      </c>
      <c r="T122" s="14">
        <f>IF(COUNT(I122:S122)=0,"",SUM(I122:S122))</f>
        <v/>
      </c>
      <c r="U122" t="inlineStr"/>
    </row>
    <row r="123">
      <c r="A123" t="inlineStr">
        <is>
          <t>구서SK뷰해야어린이집</t>
        </is>
      </c>
      <c r="B123" t="inlineStr">
        <is>
          <t>어린이집</t>
        </is>
      </c>
      <c r="C123" t="inlineStr">
        <is>
          <t>국공립</t>
        </is>
      </c>
      <c r="D123" t="inlineStr">
        <is>
          <t>금정구</t>
        </is>
      </c>
      <c r="E123" t="inlineStr">
        <is>
          <t>부산광역시 금정구 금샘로246번길 18 구서동, 구서SK뷰1단지아파트</t>
        </is>
      </c>
      <c r="F123" s="11" t="inlineStr">
        <is>
          <t>https://www.instagram.com/haeya_kid</t>
        </is>
      </c>
      <c r="G123" t="inlineStr">
        <is>
          <t>051-583-4110</t>
        </is>
      </c>
      <c r="H123" s="15" t="n">
        <v>43</v>
      </c>
      <c r="I123" s="15" t="n">
        <v>5</v>
      </c>
      <c r="J123" s="15" t="n">
        <v>10</v>
      </c>
      <c r="K123" s="15" t="n">
        <v>14</v>
      </c>
      <c r="L123" s="15" t="n">
        <v>0</v>
      </c>
      <c r="M123" s="15" t="n">
        <v>0</v>
      </c>
      <c r="N123" s="15" t="n">
        <v>0</v>
      </c>
      <c r="O123" s="15" t="n">
        <v>0</v>
      </c>
      <c r="P123" s="15" t="n">
        <v>0</v>
      </c>
      <c r="Q123" s="15" t="n">
        <v>0</v>
      </c>
      <c r="R123" s="15" t="n">
        <v>0</v>
      </c>
      <c r="S123" s="15" t="n">
        <v>5</v>
      </c>
      <c r="T123" s="14">
        <f>IF(COUNT(I123:S123)=0,"",SUM(I123:S123))</f>
        <v/>
      </c>
      <c r="U123" t="inlineStr"/>
    </row>
    <row r="124">
      <c r="A124" t="inlineStr">
        <is>
          <t>구서롯데어린이집</t>
        </is>
      </c>
      <c r="B124" t="inlineStr">
        <is>
          <t>어린이집</t>
        </is>
      </c>
      <c r="C124" t="inlineStr">
        <is>
          <t>민간</t>
        </is>
      </c>
      <c r="D124" t="inlineStr">
        <is>
          <t>금정구</t>
        </is>
      </c>
      <c r="E124" t="inlineStr">
        <is>
          <t>부산광역시 금정구 금강로 502 관리동(구서동,롯데캐슬골드1단지)</t>
        </is>
      </c>
      <c r="F124" t="inlineStr"/>
      <c r="G124" t="inlineStr">
        <is>
          <t>051-912-5158</t>
        </is>
      </c>
      <c r="H124" s="15" t="n">
        <v>73</v>
      </c>
      <c r="I124" s="15" t="n">
        <v>13</v>
      </c>
      <c r="J124" s="15" t="n">
        <v>19</v>
      </c>
      <c r="K124" s="15" t="n">
        <v>24</v>
      </c>
      <c r="L124" s="15" t="n">
        <v>0</v>
      </c>
      <c r="M124" s="15" t="n">
        <v>0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5</v>
      </c>
      <c r="T124" s="14">
        <f>IF(COUNT(I124:S124)=0,"",SUM(I124:S124))</f>
        <v/>
      </c>
      <c r="U124" t="inlineStr"/>
    </row>
    <row r="125">
      <c r="A125" t="inlineStr">
        <is>
          <t>금샘어린이집</t>
        </is>
      </c>
      <c r="B125" t="inlineStr">
        <is>
          <t>어린이집</t>
        </is>
      </c>
      <c r="C125" t="inlineStr">
        <is>
          <t>민간</t>
        </is>
      </c>
      <c r="D125" t="inlineStr">
        <is>
          <t>금정구</t>
        </is>
      </c>
      <c r="E125" t="inlineStr">
        <is>
          <t>부산광역시 금정구 팔송로59번길 14 (남산동)</t>
        </is>
      </c>
      <c r="F125" s="11" t="inlineStr">
        <is>
          <t>http://cafe.naver.com/geumsaem4846</t>
        </is>
      </c>
      <c r="G125" t="inlineStr">
        <is>
          <t>051-582-4846</t>
        </is>
      </c>
      <c r="H125" s="15" t="n">
        <v>100</v>
      </c>
      <c r="I125" s="15" t="n">
        <v>0</v>
      </c>
      <c r="J125" s="15" t="n">
        <v>0</v>
      </c>
      <c r="K125" s="15" t="n">
        <v>0</v>
      </c>
      <c r="L125" s="15" t="n">
        <v>0</v>
      </c>
      <c r="M125" s="15" t="n">
        <v>0</v>
      </c>
      <c r="N125" s="15" t="n">
        <v>0</v>
      </c>
      <c r="O125" s="15" t="n">
        <v>7</v>
      </c>
      <c r="P125" s="15" t="n">
        <v>0</v>
      </c>
      <c r="Q125" s="15" t="n">
        <v>0</v>
      </c>
      <c r="R125" s="15" t="n">
        <v>0</v>
      </c>
      <c r="S125" s="15" t="n">
        <v>3</v>
      </c>
      <c r="T125" s="14">
        <f>IF(COUNT(I125:S125)=0,"",SUM(I125:S125))</f>
        <v/>
      </c>
      <c r="U125" t="inlineStr"/>
    </row>
    <row r="126">
      <c r="A126" t="inlineStr">
        <is>
          <t>금정구청어린이집</t>
        </is>
      </c>
      <c r="B126" t="inlineStr">
        <is>
          <t>어린이집</t>
        </is>
      </c>
      <c r="C126" t="inlineStr">
        <is>
          <t>직장</t>
        </is>
      </c>
      <c r="D126" t="inlineStr">
        <is>
          <t>금정구</t>
        </is>
      </c>
      <c r="E126" t="inlineStr">
        <is>
          <t>부산광역시 금정구 중앙대로 1777 금정구청내 금정구청어린이집</t>
        </is>
      </c>
      <c r="F126" t="inlineStr"/>
      <c r="G126" t="inlineStr">
        <is>
          <t>051-519-4327</t>
        </is>
      </c>
      <c r="H126" s="15" t="n">
        <v>59</v>
      </c>
      <c r="I126" s="15" t="n">
        <v>0</v>
      </c>
      <c r="J126" s="15" t="n">
        <v>4</v>
      </c>
      <c r="K126" s="15" t="n">
        <v>10</v>
      </c>
      <c r="L126" s="15" t="n">
        <v>8</v>
      </c>
      <c r="M126" s="15" t="n">
        <v>13</v>
      </c>
      <c r="N126" s="15" t="n">
        <v>8</v>
      </c>
      <c r="O126" s="15" t="n">
        <v>0</v>
      </c>
      <c r="P126" s="15" t="n">
        <v>0</v>
      </c>
      <c r="Q126" s="15" t="n">
        <v>0</v>
      </c>
      <c r="R126" s="15" t="n">
        <v>0</v>
      </c>
      <c r="S126" s="15" t="n">
        <v>20</v>
      </c>
      <c r="T126" s="14">
        <f>IF(COUNT(I126:S126)=0,"",SUM(I126:S126))</f>
        <v/>
      </c>
      <c r="U126" t="inlineStr"/>
    </row>
    <row r="127">
      <c r="A127" t="inlineStr">
        <is>
          <t>금정산 SK 어린이집</t>
        </is>
      </c>
      <c r="B127" t="inlineStr">
        <is>
          <t>어린이집</t>
        </is>
      </c>
      <c r="C127" t="inlineStr">
        <is>
          <t>가정</t>
        </is>
      </c>
      <c r="D127" t="inlineStr">
        <is>
          <t>금정구</t>
        </is>
      </c>
      <c r="E127" t="inlineStr">
        <is>
          <t>부산광역시 금정구 식물원로 64 108동 102호</t>
        </is>
      </c>
      <c r="F127" t="inlineStr"/>
      <c r="G127" t="inlineStr">
        <is>
          <t>051-517-5932</t>
        </is>
      </c>
      <c r="H127" s="15" t="n">
        <v>19</v>
      </c>
      <c r="I127" s="15" t="n">
        <v>3</v>
      </c>
      <c r="J127" s="15" t="n">
        <v>9</v>
      </c>
      <c r="K127" s="15" t="n">
        <v>7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5</v>
      </c>
      <c r="T127" s="14">
        <f>IF(COUNT(I127:S127)=0,"",SUM(I127:S127))</f>
        <v/>
      </c>
      <c r="U127" t="inlineStr"/>
    </row>
    <row r="128">
      <c r="A128" t="inlineStr">
        <is>
          <t>금정힐스테이트어린이집</t>
        </is>
      </c>
      <c r="B128" t="inlineStr">
        <is>
          <t>어린이집</t>
        </is>
      </c>
      <c r="C128" t="inlineStr">
        <is>
          <t>민간</t>
        </is>
      </c>
      <c r="D128" t="inlineStr">
        <is>
          <t>금정구</t>
        </is>
      </c>
      <c r="E128" t="inlineStr">
        <is>
          <t>부산광역시 금정구 금강로335번길 90 금정힐스테이트 관리동 1층 (장전동)</t>
        </is>
      </c>
      <c r="F128" t="inlineStr"/>
      <c r="G128" t="inlineStr">
        <is>
          <t>051-517-7560</t>
        </is>
      </c>
      <c r="H128" s="15" t="n">
        <v>21</v>
      </c>
      <c r="I128" s="15" t="n">
        <v>3</v>
      </c>
      <c r="J128" s="15" t="n">
        <v>5</v>
      </c>
      <c r="K128" s="15" t="n">
        <v>7</v>
      </c>
      <c r="L128" s="15" t="n">
        <v>0</v>
      </c>
      <c r="M128" s="15" t="n">
        <v>0</v>
      </c>
      <c r="N128" s="15" t="n">
        <v>0</v>
      </c>
      <c r="O128" s="15" t="n">
        <v>4</v>
      </c>
      <c r="P128" s="15" t="n">
        <v>0</v>
      </c>
      <c r="Q128" s="15" t="n">
        <v>0</v>
      </c>
      <c r="R128" s="15" t="n">
        <v>0</v>
      </c>
      <c r="S128" s="15" t="n">
        <v>3</v>
      </c>
      <c r="T128" s="14">
        <f>IF(COUNT(I128:S128)=0,"",SUM(I128:S128))</f>
        <v/>
      </c>
      <c r="U128" t="inlineStr"/>
    </row>
    <row r="129">
      <c r="A129" t="inlineStr">
        <is>
          <t>꼬마대통령어린이집</t>
        </is>
      </c>
      <c r="B129" t="inlineStr">
        <is>
          <t>어린이집</t>
        </is>
      </c>
      <c r="C129" t="inlineStr">
        <is>
          <t>민간</t>
        </is>
      </c>
      <c r="D129" t="inlineStr">
        <is>
          <t>금정구</t>
        </is>
      </c>
      <c r="E129" t="inlineStr">
        <is>
          <t>부산광역시 금정구 동현로 50-4</t>
        </is>
      </c>
      <c r="F129" t="inlineStr"/>
      <c r="G129" t="inlineStr">
        <is>
          <t>051-514-5177</t>
        </is>
      </c>
      <c r="H129" s="15" t="n">
        <v>39</v>
      </c>
      <c r="I129" s="15" t="n">
        <v>0</v>
      </c>
      <c r="J129" s="15" t="n">
        <v>3</v>
      </c>
      <c r="K129" s="15" t="n">
        <v>4</v>
      </c>
      <c r="L129" s="15" t="n">
        <v>0</v>
      </c>
      <c r="M129" s="15" t="n">
        <v>0</v>
      </c>
      <c r="N129" s="15" t="n">
        <v>0</v>
      </c>
      <c r="O129" s="15" t="n">
        <v>3</v>
      </c>
      <c r="P129" s="15" t="n">
        <v>9</v>
      </c>
      <c r="Q129" s="15" t="n">
        <v>0</v>
      </c>
      <c r="R129" s="15" t="n">
        <v>0</v>
      </c>
      <c r="S129" s="15" t="n">
        <v>9</v>
      </c>
      <c r="T129" s="14">
        <f>IF(COUNT(I129:S129)=0,"",SUM(I129:S129))</f>
        <v/>
      </c>
      <c r="U129" t="inlineStr"/>
    </row>
    <row r="130">
      <c r="A130" t="inlineStr">
        <is>
          <t>꽃잎 어린이집</t>
        </is>
      </c>
      <c r="B130" t="inlineStr">
        <is>
          <t>어린이집</t>
        </is>
      </c>
      <c r="C130" t="inlineStr">
        <is>
          <t>민간</t>
        </is>
      </c>
      <c r="D130" t="inlineStr">
        <is>
          <t>금정구</t>
        </is>
      </c>
      <c r="E130" t="inlineStr">
        <is>
          <t>부산광역시 금정구 금단로 88 (구서동)</t>
        </is>
      </c>
      <c r="F130" t="inlineStr"/>
      <c r="G130" t="inlineStr">
        <is>
          <t>051-514-9730</t>
        </is>
      </c>
      <c r="H130" s="15" t="n">
        <v>82</v>
      </c>
      <c r="I130" s="15" t="n">
        <v>5</v>
      </c>
      <c r="J130" s="15" t="n">
        <v>3</v>
      </c>
      <c r="K130" s="15" t="n">
        <v>6</v>
      </c>
      <c r="L130" s="15" t="n">
        <v>13</v>
      </c>
      <c r="M130" s="15" t="n">
        <v>0</v>
      </c>
      <c r="N130" s="15" t="n">
        <v>0</v>
      </c>
      <c r="O130" s="15" t="n">
        <v>0</v>
      </c>
      <c r="P130" s="15" t="n">
        <v>13</v>
      </c>
      <c r="Q130" s="15" t="n">
        <v>0</v>
      </c>
      <c r="R130" s="15" t="n">
        <v>0</v>
      </c>
      <c r="S130" s="15" t="n">
        <v>15</v>
      </c>
      <c r="T130" s="14">
        <f>IF(COUNT(I130:S130)=0,"",SUM(I130:S130))</f>
        <v/>
      </c>
      <c r="U130" t="inlineStr"/>
    </row>
    <row r="131">
      <c r="A131" t="inlineStr">
        <is>
          <t>꾸미랑어린이집</t>
        </is>
      </c>
      <c r="B131" t="inlineStr">
        <is>
          <t>어린이집</t>
        </is>
      </c>
      <c r="C131" t="inlineStr">
        <is>
          <t>민간</t>
        </is>
      </c>
      <c r="D131" t="inlineStr">
        <is>
          <t>금정구</t>
        </is>
      </c>
      <c r="E131" t="inlineStr">
        <is>
          <t>부산광역시 금정구 서부곡로15번길 34 (부곡동)</t>
        </is>
      </c>
      <c r="F131" t="inlineStr"/>
      <c r="G131" t="inlineStr">
        <is>
          <t>051-516-7260</t>
        </is>
      </c>
      <c r="H131" s="15" t="n">
        <v>49</v>
      </c>
      <c r="I131" s="15" t="n">
        <v>4</v>
      </c>
      <c r="J131" s="15" t="n">
        <v>10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6</v>
      </c>
      <c r="P131" s="15" t="n">
        <v>0</v>
      </c>
      <c r="Q131" s="15" t="n">
        <v>0</v>
      </c>
      <c r="R131" s="15" t="n">
        <v>0</v>
      </c>
      <c r="S131" s="15" t="n">
        <v>5</v>
      </c>
      <c r="T131" s="14">
        <f>IF(COUNT(I131:S131)=0,"",SUM(I131:S131))</f>
        <v/>
      </c>
      <c r="U131" t="inlineStr"/>
    </row>
    <row r="132">
      <c r="A132" t="inlineStr">
        <is>
          <t>꿈동이 어린이집</t>
        </is>
      </c>
      <c r="B132" t="inlineStr">
        <is>
          <t>어린이집</t>
        </is>
      </c>
      <c r="C132" t="inlineStr">
        <is>
          <t>민간</t>
        </is>
      </c>
      <c r="D132" t="inlineStr">
        <is>
          <t>금정구</t>
        </is>
      </c>
      <c r="E132" t="inlineStr">
        <is>
          <t>부산광역시 금정구 팔송로 50 (남산동)</t>
        </is>
      </c>
      <c r="F132" s="11" t="inlineStr">
        <is>
          <t>http://osjjlove@hanmail.net</t>
        </is>
      </c>
      <c r="G132" t="inlineStr">
        <is>
          <t>051-514-7567</t>
        </is>
      </c>
      <c r="H132" s="15" t="n">
        <v>57</v>
      </c>
      <c r="I132" s="15" t="n">
        <v>0</v>
      </c>
      <c r="J132" s="15" t="n">
        <v>0</v>
      </c>
      <c r="K132" s="15" t="n">
        <v>6</v>
      </c>
      <c r="L132" s="15" t="n">
        <v>0</v>
      </c>
      <c r="M132" s="15" t="n">
        <v>0</v>
      </c>
      <c r="N132" s="15" t="n">
        <v>0</v>
      </c>
      <c r="O132" s="15" t="n">
        <v>10</v>
      </c>
      <c r="P132" s="15" t="n">
        <v>18</v>
      </c>
      <c r="Q132" s="15" t="n">
        <v>0</v>
      </c>
      <c r="R132" s="15" t="n">
        <v>0</v>
      </c>
      <c r="S132" s="15" t="n">
        <v>11</v>
      </c>
      <c r="T132" s="14">
        <f>IF(COUNT(I132:S132)=0,"",SUM(I132:S132))</f>
        <v/>
      </c>
      <c r="U132" t="inlineStr"/>
    </row>
    <row r="133">
      <c r="A133" t="inlineStr">
        <is>
          <t>꿈사랑어린이집</t>
        </is>
      </c>
      <c r="B133" t="inlineStr">
        <is>
          <t>어린이집</t>
        </is>
      </c>
      <c r="C133" t="inlineStr">
        <is>
          <t>사회복지법인</t>
        </is>
      </c>
      <c r="D133" t="inlineStr">
        <is>
          <t>금정구</t>
        </is>
      </c>
      <c r="E133" t="inlineStr">
        <is>
          <t>부산광역시 금정구 서금로25번길 10 (서동)</t>
        </is>
      </c>
      <c r="F133" s="11" t="inlineStr">
        <is>
          <t>http://ktp://cafe.naver.com/dreamlovechildren</t>
        </is>
      </c>
      <c r="G133" t="inlineStr">
        <is>
          <t>051-526-9752</t>
        </is>
      </c>
      <c r="H133" s="15" t="n">
        <v>41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33</v>
      </c>
      <c r="S133" s="15" t="n">
        <v>0</v>
      </c>
      <c r="T133" s="14">
        <f>IF(COUNT(I133:S133)=0,"",SUM(I133:S133))</f>
        <v/>
      </c>
      <c r="U133" t="inlineStr"/>
    </row>
    <row r="134">
      <c r="A134" t="inlineStr">
        <is>
          <t>나무야어린이집</t>
        </is>
      </c>
      <c r="B134" t="inlineStr">
        <is>
          <t>어린이집</t>
        </is>
      </c>
      <c r="C134" t="inlineStr">
        <is>
          <t>민간</t>
        </is>
      </c>
      <c r="D134" t="inlineStr">
        <is>
          <t>금정구</t>
        </is>
      </c>
      <c r="E134" t="inlineStr">
        <is>
          <t>부산광역시 금정구 금샘로386번길 5 (구서동)</t>
        </is>
      </c>
      <c r="F134" t="inlineStr"/>
      <c r="G134" t="inlineStr">
        <is>
          <t>051-512-3188</t>
        </is>
      </c>
      <c r="H134" s="15" t="n">
        <v>53</v>
      </c>
      <c r="I134" s="15" t="n">
        <v>3</v>
      </c>
      <c r="J134" s="15" t="n">
        <v>5</v>
      </c>
      <c r="K134" s="15" t="n">
        <v>10</v>
      </c>
      <c r="L134" s="15" t="n">
        <v>12</v>
      </c>
      <c r="M134" s="15" t="n">
        <v>0</v>
      </c>
      <c r="N134" s="15" t="n">
        <v>0</v>
      </c>
      <c r="O134" s="15" t="n">
        <v>0</v>
      </c>
      <c r="P134" s="15" t="n">
        <v>13</v>
      </c>
      <c r="Q134" s="15" t="n">
        <v>0</v>
      </c>
      <c r="R134" s="15" t="n">
        <v>0</v>
      </c>
      <c r="S134" s="15" t="n">
        <v>19</v>
      </c>
      <c r="T134" s="14">
        <f>IF(COUNT(I134:S134)=0,"",SUM(I134:S134))</f>
        <v/>
      </c>
      <c r="U134" t="inlineStr"/>
    </row>
    <row r="135">
      <c r="A135" t="inlineStr">
        <is>
          <t>늘푸른 어린이집</t>
        </is>
      </c>
      <c r="B135" t="inlineStr">
        <is>
          <t>어린이집</t>
        </is>
      </c>
      <c r="C135" t="inlineStr">
        <is>
          <t>민간</t>
        </is>
      </c>
      <c r="D135" t="inlineStr">
        <is>
          <t>금정구</t>
        </is>
      </c>
      <c r="E135" t="inlineStr">
        <is>
          <t>부산광역시 금정구 학산로13번길 6 미주빌리지 1층(남산동)</t>
        </is>
      </c>
      <c r="F135" s="11" t="inlineStr">
        <is>
          <t>http://cafe.daum.net/baby0959</t>
        </is>
      </c>
      <c r="G135" t="inlineStr">
        <is>
          <t>051-583-0959</t>
        </is>
      </c>
      <c r="H135" s="15" t="n">
        <v>33</v>
      </c>
      <c r="I135" s="15" t="n">
        <v>4</v>
      </c>
      <c r="J135" s="15" t="n">
        <v>10</v>
      </c>
      <c r="K135" s="15" t="n">
        <v>8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8</v>
      </c>
      <c r="Q135" s="15" t="n">
        <v>0</v>
      </c>
      <c r="R135" s="15" t="n">
        <v>0</v>
      </c>
      <c r="S135" s="15" t="n">
        <v>12</v>
      </c>
      <c r="T135" s="14">
        <f>IF(COUNT(I135:S135)=0,"",SUM(I135:S135))</f>
        <v/>
      </c>
      <c r="U135" t="inlineStr"/>
    </row>
    <row r="136">
      <c r="A136" t="inlineStr">
        <is>
          <t>대우어린이집</t>
        </is>
      </c>
      <c r="B136" t="inlineStr">
        <is>
          <t>어린이집</t>
        </is>
      </c>
      <c r="C136" t="inlineStr">
        <is>
          <t>민간</t>
        </is>
      </c>
      <c r="D136" t="inlineStr">
        <is>
          <t>금정구</t>
        </is>
      </c>
      <c r="E136" t="inlineStr">
        <is>
          <t>부산광역시 금정구 부산대학로 10</t>
        </is>
      </c>
      <c r="F136" t="inlineStr"/>
      <c r="G136" t="inlineStr">
        <is>
          <t>051-912-2888</t>
        </is>
      </c>
      <c r="H136" s="15" t="n">
        <v>39</v>
      </c>
      <c r="I136" s="15" t="n">
        <v>9</v>
      </c>
      <c r="J136" s="15" t="n">
        <v>5</v>
      </c>
      <c r="K136" s="15" t="n">
        <v>10</v>
      </c>
      <c r="L136" s="15" t="n">
        <v>0</v>
      </c>
      <c r="M136" s="15" t="n">
        <v>0</v>
      </c>
      <c r="N136" s="15" t="n">
        <v>0</v>
      </c>
      <c r="O136" s="15" t="n">
        <v>0</v>
      </c>
      <c r="P136" s="15" t="n">
        <v>0</v>
      </c>
      <c r="Q136" s="15" t="n">
        <v>0</v>
      </c>
      <c r="R136" s="15" t="n">
        <v>0</v>
      </c>
      <c r="S136" s="15" t="n">
        <v>5</v>
      </c>
      <c r="T136" s="14">
        <f>IF(COUNT(I136:S136)=0,"",SUM(I136:S136))</f>
        <v/>
      </c>
      <c r="U136" t="inlineStr"/>
    </row>
    <row r="137">
      <c r="A137" t="inlineStr">
        <is>
          <t>동그라미어린이집</t>
        </is>
      </c>
      <c r="B137" t="inlineStr">
        <is>
          <t>어린이집</t>
        </is>
      </c>
      <c r="C137" t="inlineStr">
        <is>
          <t>가정</t>
        </is>
      </c>
      <c r="D137" t="inlineStr">
        <is>
          <t>금정구</t>
        </is>
      </c>
      <c r="E137" t="inlineStr">
        <is>
          <t>부산광역시 금정구 중앙대로1685번길 24 103동 103호(부곡동, 경남한신아파트)</t>
        </is>
      </c>
      <c r="F137" s="11" t="inlineStr">
        <is>
          <t>http://cafe.naver.com/dongramicare</t>
        </is>
      </c>
      <c r="G137" t="inlineStr">
        <is>
          <t>051-516-9923</t>
        </is>
      </c>
      <c r="H137" s="15" t="n">
        <v>19</v>
      </c>
      <c r="I137" s="15" t="n">
        <v>3</v>
      </c>
      <c r="J137" s="15" t="n">
        <v>7</v>
      </c>
      <c r="K137" s="15" t="n">
        <v>7</v>
      </c>
      <c r="L137" s="15" t="n">
        <v>0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5</v>
      </c>
      <c r="T137" s="14">
        <f>IF(COUNT(I137:S137)=0,"",SUM(I137:S137))</f>
        <v/>
      </c>
      <c r="U137" t="inlineStr"/>
    </row>
    <row r="138">
      <c r="A138" t="inlineStr">
        <is>
          <t>동성어린이집</t>
        </is>
      </c>
      <c r="B138" t="inlineStr">
        <is>
          <t>어린이집</t>
        </is>
      </c>
      <c r="C138" t="inlineStr">
        <is>
          <t>사회복지법인</t>
        </is>
      </c>
      <c r="D138" t="inlineStr">
        <is>
          <t>금정구</t>
        </is>
      </c>
      <c r="E138" t="inlineStr">
        <is>
          <t>부산광역시 금정구 두실로7번길 69 (구서동)</t>
        </is>
      </c>
      <c r="F138" t="inlineStr"/>
      <c r="G138" t="inlineStr">
        <is>
          <t>051-581-0422</t>
        </is>
      </c>
      <c r="H138" s="15" t="n">
        <v>89</v>
      </c>
      <c r="I138" s="15" t="n">
        <v>0</v>
      </c>
      <c r="J138" s="15" t="n">
        <v>3</v>
      </c>
      <c r="K138" s="15" t="n">
        <v>4</v>
      </c>
      <c r="L138" s="15" t="n">
        <v>0</v>
      </c>
      <c r="M138" s="15" t="n">
        <v>0</v>
      </c>
      <c r="N138" s="15" t="n">
        <v>0</v>
      </c>
      <c r="O138" s="15" t="n">
        <v>3</v>
      </c>
      <c r="P138" s="15" t="n">
        <v>8</v>
      </c>
      <c r="Q138" s="15" t="n">
        <v>0</v>
      </c>
      <c r="R138" s="15" t="n">
        <v>0</v>
      </c>
      <c r="S138" s="15" t="n">
        <v>3</v>
      </c>
      <c r="T138" s="14">
        <f>IF(COUNT(I138:S138)=0,"",SUM(I138:S138))</f>
        <v/>
      </c>
      <c r="U138" t="inlineStr"/>
    </row>
    <row r="139">
      <c r="A139" t="inlineStr">
        <is>
          <t>동심어린이집</t>
        </is>
      </c>
      <c r="B139" t="inlineStr">
        <is>
          <t>어린이집</t>
        </is>
      </c>
      <c r="C139" t="inlineStr">
        <is>
          <t>민간</t>
        </is>
      </c>
      <c r="D139" t="inlineStr">
        <is>
          <t>금정구</t>
        </is>
      </c>
      <c r="E139" t="inlineStr">
        <is>
          <t>부산광역시 금정구 금강로740번길 23 (청룡동)</t>
        </is>
      </c>
      <c r="F139" s="11" t="inlineStr">
        <is>
          <t>http://a8225@hanmail.net</t>
        </is>
      </c>
      <c r="G139" t="inlineStr">
        <is>
          <t>051-508-3314</t>
        </is>
      </c>
      <c r="H139" s="15" t="n">
        <v>39</v>
      </c>
      <c r="I139" s="15" t="n">
        <v>3</v>
      </c>
      <c r="J139" s="15" t="n">
        <v>4</v>
      </c>
      <c r="K139" s="15" t="n">
        <v>11</v>
      </c>
      <c r="L139" s="15" t="n">
        <v>0</v>
      </c>
      <c r="M139" s="15" t="n">
        <v>0</v>
      </c>
      <c r="N139" s="15" t="n">
        <v>0</v>
      </c>
      <c r="O139" s="15" t="n">
        <v>9</v>
      </c>
      <c r="P139" s="15" t="n">
        <v>0</v>
      </c>
      <c r="Q139" s="15" t="n">
        <v>0</v>
      </c>
      <c r="R139" s="15" t="n">
        <v>0</v>
      </c>
      <c r="S139" s="15" t="n">
        <v>5</v>
      </c>
      <c r="T139" s="14">
        <f>IF(COUNT(I139:S139)=0,"",SUM(I139:S139))</f>
        <v/>
      </c>
      <c r="U139" t="inlineStr"/>
    </row>
    <row r="140">
      <c r="A140" t="inlineStr">
        <is>
          <t>동원어린이집</t>
        </is>
      </c>
      <c r="B140" t="inlineStr">
        <is>
          <t>어린이집</t>
        </is>
      </c>
      <c r="C140" t="inlineStr">
        <is>
          <t>가정</t>
        </is>
      </c>
      <c r="D140" t="inlineStr">
        <is>
          <t>금정구</t>
        </is>
      </c>
      <c r="E140" t="inlineStr">
        <is>
          <t>부산광역시 금정구 부곡로42번길 25 101동 101호(부곡동,온천장역동원로얄듀크)</t>
        </is>
      </c>
      <c r="F140" s="11" t="inlineStr">
        <is>
          <t>http://dla3319@hanmail.net</t>
        </is>
      </c>
      <c r="G140" t="inlineStr">
        <is>
          <t>051-525-5095</t>
        </is>
      </c>
      <c r="H140" s="15" t="n">
        <v>19</v>
      </c>
      <c r="I140" s="15" t="n">
        <v>4</v>
      </c>
      <c r="J140" s="15" t="n">
        <v>5</v>
      </c>
      <c r="K140" s="15" t="n">
        <v>6</v>
      </c>
      <c r="L140" s="15" t="n">
        <v>0</v>
      </c>
      <c r="M140" s="15" t="n">
        <v>0</v>
      </c>
      <c r="N140" s="15" t="n">
        <v>0</v>
      </c>
      <c r="O140" s="15" t="n">
        <v>2</v>
      </c>
      <c r="P140" s="15" t="n">
        <v>0</v>
      </c>
      <c r="Q140" s="15" t="n">
        <v>0</v>
      </c>
      <c r="R140" s="15" t="n">
        <v>0</v>
      </c>
      <c r="S140" s="15" t="n">
        <v>4</v>
      </c>
      <c r="T140" s="14">
        <f>IF(COUNT(I140:S140)=0,"",SUM(I140:S140))</f>
        <v/>
      </c>
      <c r="U140" t="inlineStr"/>
    </row>
    <row r="141">
      <c r="A141" t="inlineStr">
        <is>
          <t>두산위브어린이집</t>
        </is>
      </c>
      <c r="B141" t="inlineStr">
        <is>
          <t>어린이집</t>
        </is>
      </c>
      <c r="C141" t="inlineStr">
        <is>
          <t>국공립</t>
        </is>
      </c>
      <c r="D141" t="inlineStr">
        <is>
          <t>금정구</t>
        </is>
      </c>
      <c r="E141" t="inlineStr">
        <is>
          <t>부산광역시 금정구 금정로233번길 63 구서역두산위브포세이돈</t>
        </is>
      </c>
      <c r="F141" t="inlineStr"/>
      <c r="G141" t="inlineStr">
        <is>
          <t>051-583-1020</t>
        </is>
      </c>
      <c r="H141" s="15" t="n">
        <v>29</v>
      </c>
      <c r="I141" s="15" t="n">
        <v>6</v>
      </c>
      <c r="J141" s="15" t="n">
        <v>10</v>
      </c>
      <c r="K141" s="15" t="n">
        <v>10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5</v>
      </c>
      <c r="T141" s="14">
        <f>IF(COUNT(I141:S141)=0,"",SUM(I141:S141))</f>
        <v/>
      </c>
      <c r="U141" t="inlineStr"/>
    </row>
    <row r="142">
      <c r="A142" t="inlineStr">
        <is>
          <t>딸기어린이집</t>
        </is>
      </c>
      <c r="B142" t="inlineStr">
        <is>
          <t>어린이집</t>
        </is>
      </c>
      <c r="C142" t="inlineStr">
        <is>
          <t>민간</t>
        </is>
      </c>
      <c r="D142" t="inlineStr">
        <is>
          <t>금정구</t>
        </is>
      </c>
      <c r="E142" t="inlineStr">
        <is>
          <t>부산광역시 금정구 서부로69번길 26 (서동)</t>
        </is>
      </c>
      <c r="F142" t="inlineStr"/>
      <c r="G142" t="inlineStr">
        <is>
          <t>051-527-2183</t>
        </is>
      </c>
      <c r="H142" s="15" t="n">
        <v>32</v>
      </c>
      <c r="I142" s="15" t="n">
        <v>0</v>
      </c>
      <c r="J142" s="15" t="n">
        <v>3</v>
      </c>
      <c r="K142" s="15" t="n">
        <v>7</v>
      </c>
      <c r="L142" s="15" t="n">
        <v>0</v>
      </c>
      <c r="M142" s="15" t="n">
        <v>0</v>
      </c>
      <c r="N142" s="15" t="n">
        <v>0</v>
      </c>
      <c r="O142" s="15" t="n">
        <v>5</v>
      </c>
      <c r="P142" s="15" t="n">
        <v>0</v>
      </c>
      <c r="Q142" s="15" t="n">
        <v>0</v>
      </c>
      <c r="R142" s="15" t="n">
        <v>0</v>
      </c>
      <c r="S142" s="15" t="n">
        <v>5</v>
      </c>
      <c r="T142" s="14">
        <f>IF(COUNT(I142:S142)=0,"",SUM(I142:S142))</f>
        <v/>
      </c>
      <c r="U142" t="inlineStr"/>
    </row>
    <row r="143">
      <c r="A143" t="inlineStr">
        <is>
          <t>래미안장전어린이집</t>
        </is>
      </c>
      <c r="B143" t="inlineStr">
        <is>
          <t>어린이집</t>
        </is>
      </c>
      <c r="C143" t="inlineStr">
        <is>
          <t>국공립</t>
        </is>
      </c>
      <c r="D143" t="inlineStr">
        <is>
          <t>금정구</t>
        </is>
      </c>
      <c r="E143" t="inlineStr">
        <is>
          <t>부산광역시 금정구 금정로 20</t>
        </is>
      </c>
      <c r="F143" t="inlineStr"/>
      <c r="G143" t="inlineStr">
        <is>
          <t>051-515-1616</t>
        </is>
      </c>
      <c r="H143" s="15" t="n">
        <v>97</v>
      </c>
      <c r="I143" s="15" t="n">
        <v>0</v>
      </c>
      <c r="J143" s="15" t="n">
        <v>25</v>
      </c>
      <c r="K143" s="15" t="n">
        <v>41</v>
      </c>
      <c r="L143" s="15" t="n">
        <v>10</v>
      </c>
      <c r="M143" s="15" t="n">
        <v>0</v>
      </c>
      <c r="N143" s="15" t="n">
        <v>0</v>
      </c>
      <c r="O143" s="15" t="n">
        <v>0</v>
      </c>
      <c r="P143" s="15" t="n">
        <v>7</v>
      </c>
      <c r="Q143" s="15" t="n">
        <v>0</v>
      </c>
      <c r="R143" s="15" t="n">
        <v>0</v>
      </c>
      <c r="S143" s="15" t="n">
        <v>10</v>
      </c>
      <c r="T143" s="14">
        <f>IF(COUNT(I143:S143)=0,"",SUM(I143:S143))</f>
        <v/>
      </c>
      <c r="U143" t="inlineStr"/>
    </row>
    <row r="144">
      <c r="A144" t="inlineStr">
        <is>
          <t>미키어린이집</t>
        </is>
      </c>
      <c r="B144" t="inlineStr">
        <is>
          <t>어린이집</t>
        </is>
      </c>
      <c r="C144" t="inlineStr">
        <is>
          <t>민간</t>
        </is>
      </c>
      <c r="D144" t="inlineStr">
        <is>
          <t>금정구</t>
        </is>
      </c>
      <c r="E144" t="inlineStr">
        <is>
          <t>부산광역시 금정구 서동로5번길 43 (부곡동)</t>
        </is>
      </c>
      <c r="F144" t="inlineStr"/>
      <c r="G144" t="inlineStr">
        <is>
          <t>051-581-7632</t>
        </is>
      </c>
      <c r="H144" s="15" t="n">
        <v>46</v>
      </c>
      <c r="I144" s="15" t="n">
        <v>0</v>
      </c>
      <c r="J144" s="15" t="n">
        <v>9</v>
      </c>
      <c r="K144" s="15" t="n">
        <v>11</v>
      </c>
      <c r="L144" s="15" t="n">
        <v>0</v>
      </c>
      <c r="M144" s="15" t="n">
        <v>0</v>
      </c>
      <c r="N144" s="15" t="n">
        <v>0</v>
      </c>
      <c r="O144" s="15" t="n">
        <v>4</v>
      </c>
      <c r="P144" s="15" t="n">
        <v>9</v>
      </c>
      <c r="Q144" s="15" t="n">
        <v>0</v>
      </c>
      <c r="R144" s="15" t="n">
        <v>2</v>
      </c>
      <c r="S144" s="15" t="n">
        <v>9</v>
      </c>
      <c r="T144" s="14">
        <f>IF(COUNT(I144:S144)=0,"",SUM(I144:S144))</f>
        <v/>
      </c>
      <c r="U144" t="inlineStr"/>
    </row>
    <row r="145">
      <c r="A145" t="inlineStr">
        <is>
          <t>벽산포레어린이집</t>
        </is>
      </c>
      <c r="B145" t="inlineStr">
        <is>
          <t>어린이집</t>
        </is>
      </c>
      <c r="C145" t="inlineStr">
        <is>
          <t>민간</t>
        </is>
      </c>
      <c r="D145" t="inlineStr">
        <is>
          <t>금정구</t>
        </is>
      </c>
      <c r="E145" t="inlineStr">
        <is>
          <t>부산광역시 금정구 금강로 225 관리동(장전동, 벽산블루밍아파트)</t>
        </is>
      </c>
      <c r="F145" t="inlineStr"/>
      <c r="G145" t="inlineStr">
        <is>
          <t>051-515-8700</t>
        </is>
      </c>
      <c r="H145" s="15" t="n">
        <v>40</v>
      </c>
      <c r="I145" s="15" t="n">
        <v>2</v>
      </c>
      <c r="J145" s="15" t="n">
        <v>19</v>
      </c>
      <c r="K145" s="15" t="n">
        <v>14</v>
      </c>
      <c r="L145" s="15" t="n">
        <v>0</v>
      </c>
      <c r="M145" s="15" t="n">
        <v>0</v>
      </c>
      <c r="N145" s="15" t="n">
        <v>0</v>
      </c>
      <c r="O145" s="15" t="n">
        <v>0</v>
      </c>
      <c r="P145" s="15" t="n">
        <v>0</v>
      </c>
      <c r="Q145" s="15" t="n">
        <v>0</v>
      </c>
      <c r="R145" s="15" t="n">
        <v>0</v>
      </c>
      <c r="S145" s="15" t="n">
        <v>5</v>
      </c>
      <c r="T145" s="14">
        <f>IF(COUNT(I145:S145)=0,"",SUM(I145:S145))</f>
        <v/>
      </c>
      <c r="U145" t="inlineStr"/>
    </row>
    <row r="146">
      <c r="A146" t="inlineStr">
        <is>
          <t>부산대학교 직장어린이집</t>
        </is>
      </c>
      <c r="B146" t="inlineStr">
        <is>
          <t>어린이집</t>
        </is>
      </c>
      <c r="C146" t="inlineStr">
        <is>
          <t>직장</t>
        </is>
      </c>
      <c r="D146" t="inlineStr">
        <is>
          <t>금정구</t>
        </is>
      </c>
      <c r="E146" t="inlineStr">
        <is>
          <t>부산광역시 금정구 부산대학로63번길 2 (장전동)</t>
        </is>
      </c>
      <c r="F146" t="inlineStr"/>
      <c r="G146" t="inlineStr">
        <is>
          <t>051-510-3626</t>
        </is>
      </c>
      <c r="H146" s="15" t="n">
        <v>95</v>
      </c>
      <c r="I146" s="15" t="n">
        <v>0</v>
      </c>
      <c r="J146" s="15" t="n">
        <v>10</v>
      </c>
      <c r="K146" s="15" t="n">
        <v>14</v>
      </c>
      <c r="L146" s="15" t="n">
        <v>18</v>
      </c>
      <c r="M146" s="15" t="n">
        <v>12</v>
      </c>
      <c r="N146" s="15" t="n">
        <v>19</v>
      </c>
      <c r="O146" s="15" t="n">
        <v>10</v>
      </c>
      <c r="P146" s="15" t="n">
        <v>0</v>
      </c>
      <c r="Q146" s="15" t="n">
        <v>0</v>
      </c>
      <c r="R146" s="15" t="n">
        <v>0</v>
      </c>
      <c r="S146" s="15" t="n">
        <v>40</v>
      </c>
      <c r="T146" s="14">
        <f>IF(COUNT(I146:S146)=0,"",SUM(I146:S146))</f>
        <v/>
      </c>
      <c r="U146" t="inlineStr"/>
    </row>
    <row r="147">
      <c r="A147" t="inlineStr">
        <is>
          <t>부산대학교부설어린이집</t>
        </is>
      </c>
      <c r="B147" t="inlineStr">
        <is>
          <t>어린이집</t>
        </is>
      </c>
      <c r="C147" t="inlineStr">
        <is>
          <t>국공립</t>
        </is>
      </c>
      <c r="D147" t="inlineStr">
        <is>
          <t>금정구</t>
        </is>
      </c>
      <c r="E147" t="inlineStr">
        <is>
          <t>부산광역시 금정구 금강로321번길 63 (장전동) 부산대학교 부설 어린이집</t>
        </is>
      </c>
      <c r="F147" s="11" t="inlineStr">
        <is>
          <t>http://ecochild.pusan.ac.kr/</t>
        </is>
      </c>
      <c r="G147" t="inlineStr">
        <is>
          <t>051-510-1596</t>
        </is>
      </c>
      <c r="H147" s="15" t="n">
        <v>223</v>
      </c>
      <c r="I147" s="15" t="n">
        <v>0</v>
      </c>
      <c r="J147" s="15" t="n">
        <v>20</v>
      </c>
      <c r="K147" s="15" t="n">
        <v>42</v>
      </c>
      <c r="L147" s="15" t="n">
        <v>30</v>
      </c>
      <c r="M147" s="15" t="n">
        <v>19</v>
      </c>
      <c r="N147" s="15" t="n">
        <v>25</v>
      </c>
      <c r="O147" s="15" t="n">
        <v>0</v>
      </c>
      <c r="P147" s="15" t="n">
        <v>29</v>
      </c>
      <c r="Q147" s="15" t="n">
        <v>0</v>
      </c>
      <c r="R147" s="15" t="n">
        <v>0</v>
      </c>
      <c r="S147" s="15" t="n">
        <v>61</v>
      </c>
      <c r="T147" s="14">
        <f>IF(COUNT(I147:S147)=0,"",SUM(I147:S147))</f>
        <v/>
      </c>
      <c r="U147" t="inlineStr"/>
    </row>
    <row r="148">
      <c r="A148" t="inlineStr">
        <is>
          <t>삼한골든뷰어린이집</t>
        </is>
      </c>
      <c r="B148" t="inlineStr">
        <is>
          <t>어린이집</t>
        </is>
      </c>
      <c r="C148" t="inlineStr">
        <is>
          <t>국공립</t>
        </is>
      </c>
      <c r="D148" t="inlineStr">
        <is>
          <t>금정구</t>
        </is>
      </c>
      <c r="E148" t="inlineStr">
        <is>
          <t>부산광역시 금정구 중앙대로1629번길 16 부산대역삼한골든뷰에듀스테이션</t>
        </is>
      </c>
      <c r="F148" t="inlineStr"/>
      <c r="G148" t="inlineStr">
        <is>
          <t>051-514-9993</t>
        </is>
      </c>
      <c r="H148" s="15" t="n">
        <v>51</v>
      </c>
      <c r="I148" s="15" t="n">
        <v>6</v>
      </c>
      <c r="J148" s="15" t="n">
        <v>15</v>
      </c>
      <c r="K148" s="15" t="n">
        <v>23</v>
      </c>
      <c r="L148" s="15" t="n">
        <v>0</v>
      </c>
      <c r="M148" s="15" t="n">
        <v>0</v>
      </c>
      <c r="N148" s="15" t="n">
        <v>0</v>
      </c>
      <c r="O148" s="15" t="n">
        <v>0</v>
      </c>
      <c r="P148" s="15" t="n">
        <v>0</v>
      </c>
      <c r="Q148" s="15" t="n">
        <v>0</v>
      </c>
      <c r="R148" s="15" t="n">
        <v>0</v>
      </c>
      <c r="S148" s="15" t="n">
        <v>8</v>
      </c>
      <c r="T148" s="14">
        <f>IF(COUNT(I148:S148)=0,"",SUM(I148:S148))</f>
        <v/>
      </c>
      <c r="U148" t="inlineStr"/>
    </row>
    <row r="149">
      <c r="A149" t="inlineStr">
        <is>
          <t>서동어린이집</t>
        </is>
      </c>
      <c r="B149" t="inlineStr">
        <is>
          <t>어린이집</t>
        </is>
      </c>
      <c r="C149" t="inlineStr">
        <is>
          <t>민간</t>
        </is>
      </c>
      <c r="D149" t="inlineStr">
        <is>
          <t>금정구</t>
        </is>
      </c>
      <c r="E149" t="inlineStr">
        <is>
          <t>부산광역시 금정구 서부로42번길 5 (서동)</t>
        </is>
      </c>
      <c r="F149" s="11" t="inlineStr">
        <is>
          <t>http://cafe.naver.com/seodong0818</t>
        </is>
      </c>
      <c r="G149" t="inlineStr">
        <is>
          <t>051-522-0818</t>
        </is>
      </c>
      <c r="H149" s="15" t="n">
        <v>39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6</v>
      </c>
      <c r="P149" s="15" t="n">
        <v>0</v>
      </c>
      <c r="Q149" s="15" t="n">
        <v>0</v>
      </c>
      <c r="R149" s="15" t="n">
        <v>0</v>
      </c>
      <c r="S149" s="15" t="n">
        <v>2</v>
      </c>
      <c r="T149" s="14">
        <f>IF(COUNT(I149:S149)=0,"",SUM(I149:S149))</f>
        <v/>
      </c>
      <c r="U149" t="inlineStr"/>
    </row>
    <row r="150">
      <c r="A150" t="inlineStr">
        <is>
          <t>서희스타어린이집</t>
        </is>
      </c>
      <c r="B150" t="inlineStr">
        <is>
          <t>어린이집</t>
        </is>
      </c>
      <c r="C150" t="inlineStr">
        <is>
          <t>민간</t>
        </is>
      </c>
      <c r="D150" t="inlineStr">
        <is>
          <t>금정구</t>
        </is>
      </c>
      <c r="E150" t="inlineStr">
        <is>
          <t>부산광역시 금정구 부곡온천천로 170 (부곡동, 장전서희스타힐스아파트)</t>
        </is>
      </c>
      <c r="F150" t="inlineStr"/>
      <c r="G150" t="inlineStr">
        <is>
          <t>051-916-7779</t>
        </is>
      </c>
      <c r="H150" s="15" t="n">
        <v>31</v>
      </c>
      <c r="I150" s="15" t="n">
        <v>10</v>
      </c>
      <c r="J150" s="15" t="n">
        <v>10</v>
      </c>
      <c r="K150" s="15" t="n">
        <v>11</v>
      </c>
      <c r="L150" s="15" t="n">
        <v>0</v>
      </c>
      <c r="M150" s="15" t="n">
        <v>0</v>
      </c>
      <c r="N150" s="15" t="n">
        <v>0</v>
      </c>
      <c r="O150" s="15" t="n">
        <v>0</v>
      </c>
      <c r="P150" s="15" t="n">
        <v>0</v>
      </c>
      <c r="Q150" s="15" t="n">
        <v>0</v>
      </c>
      <c r="R150" s="15" t="n">
        <v>0</v>
      </c>
      <c r="S150" s="15" t="n">
        <v>5</v>
      </c>
      <c r="T150" s="14">
        <f>IF(COUNT(I150:S150)=0,"",SUM(I150:S150))</f>
        <v/>
      </c>
      <c r="U150" t="inlineStr"/>
    </row>
    <row r="151">
      <c r="A151" t="inlineStr">
        <is>
          <t>석화영아전담어린이집</t>
        </is>
      </c>
      <c r="B151" t="inlineStr">
        <is>
          <t>어린이집</t>
        </is>
      </c>
      <c r="C151" t="inlineStr">
        <is>
          <t>사회복지법인</t>
        </is>
      </c>
      <c r="D151" t="inlineStr">
        <is>
          <t>금정구</t>
        </is>
      </c>
      <c r="E151" t="inlineStr">
        <is>
          <t>부산광역시 금정구 금샘로578번길 51-1</t>
        </is>
      </c>
      <c r="F151" s="11" t="inlineStr">
        <is>
          <t>https://blog.naver.com/seokhwa_kids</t>
        </is>
      </c>
      <c r="G151" t="inlineStr">
        <is>
          <t>051-512-0636</t>
        </is>
      </c>
      <c r="H151" s="15" t="n">
        <v>47</v>
      </c>
      <c r="I151" s="15" t="n">
        <v>10</v>
      </c>
      <c r="J151" s="15" t="n">
        <v>15</v>
      </c>
      <c r="K151" s="15" t="n">
        <v>22</v>
      </c>
      <c r="L151" s="15" t="n">
        <v>0</v>
      </c>
      <c r="M151" s="15" t="n">
        <v>0</v>
      </c>
      <c r="N151" s="15" t="n">
        <v>0</v>
      </c>
      <c r="O151" s="15" t="n">
        <v>0</v>
      </c>
      <c r="P151" s="15" t="n">
        <v>0</v>
      </c>
      <c r="Q151" s="15" t="n">
        <v>0</v>
      </c>
      <c r="R151" s="15" t="n">
        <v>0</v>
      </c>
      <c r="S151" s="15" t="n">
        <v>8</v>
      </c>
      <c r="T151" s="14">
        <f>IF(COUNT(I151:S151)=0,"",SUM(I151:S151))</f>
        <v/>
      </c>
      <c r="U151" t="inlineStr"/>
    </row>
    <row r="152">
      <c r="A152" t="inlineStr">
        <is>
          <t>선재어린이집</t>
        </is>
      </c>
      <c r="B152" t="inlineStr">
        <is>
          <t>어린이집</t>
        </is>
      </c>
      <c r="C152" t="inlineStr">
        <is>
          <t>법인·단체등</t>
        </is>
      </c>
      <c r="D152" t="inlineStr">
        <is>
          <t>금정구</t>
        </is>
      </c>
      <c r="E152" t="inlineStr">
        <is>
          <t>부산광역시 금정구 두실로7번길 103 (구서동)</t>
        </is>
      </c>
      <c r="F152" t="inlineStr"/>
      <c r="G152" t="inlineStr">
        <is>
          <t>051-517-5513</t>
        </is>
      </c>
      <c r="H152" s="15" t="n">
        <v>60</v>
      </c>
      <c r="I152" s="15" t="n">
        <v>3</v>
      </c>
      <c r="J152" s="15" t="n">
        <v>0</v>
      </c>
      <c r="K152" s="15" t="n">
        <v>7</v>
      </c>
      <c r="L152" s="15" t="n">
        <v>0</v>
      </c>
      <c r="M152" s="15" t="n">
        <v>0</v>
      </c>
      <c r="N152" s="15" t="n">
        <v>0</v>
      </c>
      <c r="O152" s="15" t="n">
        <v>7</v>
      </c>
      <c r="P152" s="15" t="n">
        <v>0</v>
      </c>
      <c r="Q152" s="15" t="n">
        <v>0</v>
      </c>
      <c r="R152" s="15" t="n">
        <v>0</v>
      </c>
      <c r="S152" s="15" t="n">
        <v>7</v>
      </c>
      <c r="T152" s="14">
        <f>IF(COUNT(I152:S152)=0,"",SUM(I152:S152))</f>
        <v/>
      </c>
      <c r="U152" t="inlineStr"/>
    </row>
    <row r="153">
      <c r="A153" t="inlineStr">
        <is>
          <t>성심어린이집</t>
        </is>
      </c>
      <c r="B153" t="inlineStr">
        <is>
          <t>어린이집</t>
        </is>
      </c>
      <c r="C153" t="inlineStr">
        <is>
          <t>민간</t>
        </is>
      </c>
      <c r="D153" t="inlineStr">
        <is>
          <t>금정구</t>
        </is>
      </c>
      <c r="E153" t="inlineStr">
        <is>
          <t>부산광역시 금정구 서금로 97 (금사동)</t>
        </is>
      </c>
      <c r="F153" t="inlineStr"/>
      <c r="G153" t="inlineStr">
        <is>
          <t>051-523-2097</t>
        </is>
      </c>
      <c r="H153" s="15" t="n">
        <v>39</v>
      </c>
      <c r="I153" s="15" t="n">
        <v>0</v>
      </c>
      <c r="J153" s="15" t="n">
        <v>0</v>
      </c>
      <c r="K153" s="15" t="n">
        <v>0</v>
      </c>
      <c r="L153" s="15" t="n">
        <v>0</v>
      </c>
      <c r="M153" s="15" t="n">
        <v>0</v>
      </c>
      <c r="N153" s="15" t="n">
        <v>0</v>
      </c>
      <c r="O153" s="15" t="n">
        <v>8</v>
      </c>
      <c r="P153" s="15" t="n">
        <v>9</v>
      </c>
      <c r="Q153" s="15" t="n">
        <v>0</v>
      </c>
      <c r="R153" s="15" t="n">
        <v>0</v>
      </c>
      <c r="S153" s="15" t="n">
        <v>14</v>
      </c>
      <c r="T153" s="14">
        <f>IF(COUNT(I153:S153)=0,"",SUM(I153:S153))</f>
        <v/>
      </c>
      <c r="U153" t="inlineStr"/>
    </row>
    <row r="154">
      <c r="A154" t="inlineStr">
        <is>
          <t>수연어린이집</t>
        </is>
      </c>
      <c r="B154" t="inlineStr">
        <is>
          <t>어린이집</t>
        </is>
      </c>
      <c r="C154" t="inlineStr">
        <is>
          <t>민간</t>
        </is>
      </c>
      <c r="D154" t="inlineStr">
        <is>
          <t>금정구</t>
        </is>
      </c>
      <c r="E154" t="inlineStr">
        <is>
          <t>부산광역시 금정구 금샘로18번길 79-21</t>
        </is>
      </c>
      <c r="F154" s="11" t="inlineStr">
        <is>
          <t>http://www.sooyun.co.kr</t>
        </is>
      </c>
      <c r="G154" t="inlineStr">
        <is>
          <t>051-514-4327</t>
        </is>
      </c>
      <c r="H154" s="15" t="n">
        <v>65</v>
      </c>
      <c r="I154" s="15" t="n">
        <v>3</v>
      </c>
      <c r="J154" s="15" t="n">
        <v>19</v>
      </c>
      <c r="K154" s="15" t="n">
        <v>14</v>
      </c>
      <c r="L154" s="15" t="n">
        <v>0</v>
      </c>
      <c r="M154" s="15" t="n">
        <v>0</v>
      </c>
      <c r="N154" s="15" t="n">
        <v>0</v>
      </c>
      <c r="O154" s="15" t="n">
        <v>8</v>
      </c>
      <c r="P154" s="15" t="n">
        <v>9</v>
      </c>
      <c r="Q154" s="15" t="n">
        <v>0</v>
      </c>
      <c r="R154" s="15" t="n">
        <v>0</v>
      </c>
      <c r="S154" s="15" t="n">
        <v>5</v>
      </c>
      <c r="T154" s="14">
        <f>IF(COUNT(I154:S154)=0,"",SUM(I154:S154))</f>
        <v/>
      </c>
      <c r="U154" t="inlineStr"/>
    </row>
    <row r="155">
      <c r="A155" t="inlineStr">
        <is>
          <t>숲속어린이집</t>
        </is>
      </c>
      <c r="B155" t="inlineStr">
        <is>
          <t>어린이집</t>
        </is>
      </c>
      <c r="C155" t="inlineStr">
        <is>
          <t>가정</t>
        </is>
      </c>
      <c r="D155" t="inlineStr">
        <is>
          <t>금정구</t>
        </is>
      </c>
      <c r="E155" t="inlineStr">
        <is>
          <t>부산광역시 금정구 금샘로582번길 45 숲속어린이집</t>
        </is>
      </c>
      <c r="F155" t="inlineStr"/>
      <c r="G155" t="inlineStr">
        <is>
          <t>051-512-3533</t>
        </is>
      </c>
      <c r="H155" s="15" t="n">
        <v>20</v>
      </c>
      <c r="I155" s="15" t="n">
        <v>3</v>
      </c>
      <c r="J155" s="15" t="n">
        <v>5</v>
      </c>
      <c r="K155" s="15" t="n">
        <v>0</v>
      </c>
      <c r="L155" s="15" t="n">
        <v>0</v>
      </c>
      <c r="M155" s="15" t="n">
        <v>0</v>
      </c>
      <c r="N155" s="15" t="n">
        <v>0</v>
      </c>
      <c r="O155" s="15" t="n">
        <v>0</v>
      </c>
      <c r="P155" s="15" t="n">
        <v>0</v>
      </c>
      <c r="Q155" s="15" t="n">
        <v>0</v>
      </c>
      <c r="R155" s="15" t="n">
        <v>0</v>
      </c>
      <c r="S155" s="15" t="n">
        <v>0</v>
      </c>
      <c r="T155" s="14">
        <f>IF(COUNT(I155:S155)=0,"",SUM(I155:S155))</f>
        <v/>
      </c>
      <c r="U155" t="inlineStr"/>
    </row>
    <row r="156">
      <c r="A156" t="inlineStr">
        <is>
          <t>숲속예나어린이집</t>
        </is>
      </c>
      <c r="B156" t="inlineStr">
        <is>
          <t>어린이집</t>
        </is>
      </c>
      <c r="C156" t="inlineStr">
        <is>
          <t>민간</t>
        </is>
      </c>
      <c r="D156" t="inlineStr">
        <is>
          <t>금정구</t>
        </is>
      </c>
      <c r="E156" t="inlineStr">
        <is>
          <t>부산광역시 금정구 서부로 81 (서동)</t>
        </is>
      </c>
      <c r="F156" t="inlineStr"/>
      <c r="G156" t="inlineStr">
        <is>
          <t>051-522-1828</t>
        </is>
      </c>
      <c r="H156" s="15" t="n">
        <v>49</v>
      </c>
      <c r="I156" s="15" t="n">
        <v>0</v>
      </c>
      <c r="J156" s="15" t="n">
        <v>3</v>
      </c>
      <c r="K156" s="15" t="n">
        <v>0</v>
      </c>
      <c r="L156" s="15" t="n">
        <v>0</v>
      </c>
      <c r="M156" s="15" t="n">
        <v>0</v>
      </c>
      <c r="N156" s="15" t="n">
        <v>0</v>
      </c>
      <c r="O156" s="15" t="n">
        <v>7</v>
      </c>
      <c r="P156" s="15" t="n">
        <v>14</v>
      </c>
      <c r="Q156" s="15" t="n">
        <v>0</v>
      </c>
      <c r="R156" s="15" t="n">
        <v>0</v>
      </c>
      <c r="S156" s="15" t="n">
        <v>7</v>
      </c>
      <c r="T156" s="14">
        <f>IF(COUNT(I156:S156)=0,"",SUM(I156:S156))</f>
        <v/>
      </c>
      <c r="U156" t="inlineStr"/>
    </row>
    <row r="157">
      <c r="A157" t="inlineStr">
        <is>
          <t>신명어린이집</t>
        </is>
      </c>
      <c r="B157" t="inlineStr">
        <is>
          <t>어린이집</t>
        </is>
      </c>
      <c r="C157" t="inlineStr">
        <is>
          <t>가정</t>
        </is>
      </c>
      <c r="D157" t="inlineStr">
        <is>
          <t>금정구</t>
        </is>
      </c>
      <c r="E157" t="inlineStr">
        <is>
          <t>부산광역시 금정구 부산대학로 10 107동 101호(부곡동, 대우아파트)</t>
        </is>
      </c>
      <c r="F157" t="inlineStr"/>
      <c r="G157" t="inlineStr">
        <is>
          <t>051-517-7454</t>
        </is>
      </c>
      <c r="H157" s="15" t="n">
        <v>20</v>
      </c>
      <c r="I157" s="15" t="n">
        <v>4</v>
      </c>
      <c r="J157" s="15" t="n">
        <v>4</v>
      </c>
      <c r="K157" s="15" t="n">
        <v>0</v>
      </c>
      <c r="L157" s="15" t="n">
        <v>0</v>
      </c>
      <c r="M157" s="15" t="n">
        <v>0</v>
      </c>
      <c r="N157" s="15" t="n">
        <v>0</v>
      </c>
      <c r="O157" s="15" t="n">
        <v>0</v>
      </c>
      <c r="P157" s="15" t="n">
        <v>0</v>
      </c>
      <c r="Q157" s="15" t="n">
        <v>0</v>
      </c>
      <c r="R157" s="15" t="n">
        <v>0</v>
      </c>
      <c r="S157" s="15" t="n">
        <v>4</v>
      </c>
      <c r="T157" s="14">
        <f>IF(COUNT(I157:S157)=0,"",SUM(I157:S157))</f>
        <v/>
      </c>
      <c r="U157" t="inlineStr"/>
    </row>
    <row r="158">
      <c r="A158" t="inlineStr">
        <is>
          <t>쌍용예가어린이집</t>
        </is>
      </c>
      <c r="B158" t="inlineStr">
        <is>
          <t>어린이집</t>
        </is>
      </c>
      <c r="C158" t="inlineStr">
        <is>
          <t>국공립</t>
        </is>
      </c>
      <c r="D158" t="inlineStr">
        <is>
          <t>금정구</t>
        </is>
      </c>
      <c r="E158" t="inlineStr">
        <is>
          <t>부산광역시 금정구 금샘로 262 관리동(구서동, 쌍용예가2단지)</t>
        </is>
      </c>
      <c r="F158" t="inlineStr"/>
      <c r="G158" t="inlineStr">
        <is>
          <t>051-711-2588</t>
        </is>
      </c>
      <c r="H158" s="15" t="n">
        <v>47</v>
      </c>
      <c r="I158" s="15" t="n">
        <v>6</v>
      </c>
      <c r="J158" s="15" t="n">
        <v>16</v>
      </c>
      <c r="K158" s="15" t="n">
        <v>18</v>
      </c>
      <c r="L158" s="15" t="n">
        <v>0</v>
      </c>
      <c r="M158" s="15" t="n">
        <v>0</v>
      </c>
      <c r="N158" s="15" t="n">
        <v>0</v>
      </c>
      <c r="O158" s="15" t="n">
        <v>0</v>
      </c>
      <c r="P158" s="15" t="n">
        <v>7</v>
      </c>
      <c r="Q158" s="15" t="n">
        <v>0</v>
      </c>
      <c r="R158" s="15" t="n">
        <v>0</v>
      </c>
      <c r="S158" s="15" t="n">
        <v>5</v>
      </c>
      <c r="T158" s="14">
        <f>IF(COUNT(I158:S158)=0,"",SUM(I158:S158))</f>
        <v/>
      </c>
      <c r="U158" t="inlineStr"/>
    </row>
    <row r="159">
      <c r="A159" t="inlineStr">
        <is>
          <t>아이누리어린이집</t>
        </is>
      </c>
      <c r="B159" t="inlineStr">
        <is>
          <t>어린이집</t>
        </is>
      </c>
      <c r="C159" t="inlineStr">
        <is>
          <t>국공립</t>
        </is>
      </c>
      <c r="D159" t="inlineStr">
        <is>
          <t>금정구</t>
        </is>
      </c>
      <c r="E159" t="inlineStr">
        <is>
          <t>부산광역시 금정구 금강로453번길 24</t>
        </is>
      </c>
      <c r="F159" t="inlineStr"/>
      <c r="G159" t="inlineStr">
        <is>
          <t>051-513-8108</t>
        </is>
      </c>
      <c r="H159" s="15" t="n">
        <v>68</v>
      </c>
      <c r="I159" s="15" t="n">
        <v>2</v>
      </c>
      <c r="J159" s="15" t="n">
        <v>13</v>
      </c>
      <c r="K159" s="15" t="n">
        <v>21</v>
      </c>
      <c r="L159" s="15" t="n">
        <v>7</v>
      </c>
      <c r="M159" s="15" t="n">
        <v>0</v>
      </c>
      <c r="N159" s="15" t="n">
        <v>0</v>
      </c>
      <c r="O159" s="15" t="n">
        <v>0</v>
      </c>
      <c r="P159" s="15" t="n">
        <v>10</v>
      </c>
      <c r="Q159" s="15" t="n">
        <v>0</v>
      </c>
      <c r="R159" s="15" t="n">
        <v>0</v>
      </c>
      <c r="S159" s="15" t="n">
        <v>15</v>
      </c>
      <c r="T159" s="14">
        <f>IF(COUNT(I159:S159)=0,"",SUM(I159:S159))</f>
        <v/>
      </c>
      <c r="U159" t="inlineStr"/>
    </row>
    <row r="160">
      <c r="A160" t="inlineStr">
        <is>
          <t>아이미래어린이집</t>
        </is>
      </c>
      <c r="B160" t="inlineStr">
        <is>
          <t>어린이집</t>
        </is>
      </c>
      <c r="C160" t="inlineStr">
        <is>
          <t>민간</t>
        </is>
      </c>
      <c r="D160" t="inlineStr">
        <is>
          <t>금정구</t>
        </is>
      </c>
      <c r="E160" t="inlineStr">
        <is>
          <t>부산광역시 금정구 금강로379번길 50 (장전동, 쌍용예가아파트)</t>
        </is>
      </c>
      <c r="F160" t="inlineStr"/>
      <c r="G160" t="inlineStr">
        <is>
          <t>051-951-5115</t>
        </is>
      </c>
      <c r="H160" s="15" t="n">
        <v>37</v>
      </c>
      <c r="I160" s="15" t="n">
        <v>5</v>
      </c>
      <c r="J160" s="15" t="n">
        <v>10</v>
      </c>
      <c r="K160" s="15" t="n">
        <v>6</v>
      </c>
      <c r="L160" s="15" t="n">
        <v>0</v>
      </c>
      <c r="M160" s="15" t="n">
        <v>0</v>
      </c>
      <c r="N160" s="15" t="n">
        <v>0</v>
      </c>
      <c r="O160" s="15" t="n">
        <v>3</v>
      </c>
      <c r="P160" s="15" t="n">
        <v>0</v>
      </c>
      <c r="Q160" s="15" t="n">
        <v>0</v>
      </c>
      <c r="R160" s="15" t="n">
        <v>0</v>
      </c>
      <c r="S160" s="15" t="n">
        <v>5</v>
      </c>
      <c r="T160" s="14">
        <f>IF(COUNT(I160:S160)=0,"",SUM(I160:S160))</f>
        <v/>
      </c>
      <c r="U160" t="inlineStr"/>
    </row>
    <row r="161">
      <c r="A161" t="inlineStr">
        <is>
          <t>아이원어린이집</t>
        </is>
      </c>
      <c r="B161" t="inlineStr">
        <is>
          <t>어린이집</t>
        </is>
      </c>
      <c r="C161" t="inlineStr">
        <is>
          <t>민간</t>
        </is>
      </c>
      <c r="D161" t="inlineStr">
        <is>
          <t>금정구</t>
        </is>
      </c>
      <c r="E161" t="inlineStr">
        <is>
          <t>부산광역시 금정구 동부곡로5번길 77 (부곡동)</t>
        </is>
      </c>
      <c r="F161" s="11" t="inlineStr">
        <is>
          <t>http://ch6188@naver.com</t>
        </is>
      </c>
      <c r="G161" t="inlineStr">
        <is>
          <t>051-513-9990</t>
        </is>
      </c>
      <c r="H161" s="15" t="n">
        <v>147</v>
      </c>
      <c r="I161" s="15" t="n">
        <v>11</v>
      </c>
      <c r="J161" s="15" t="n">
        <v>34</v>
      </c>
      <c r="K161" s="15" t="n">
        <v>31</v>
      </c>
      <c r="L161" s="15" t="n">
        <v>23</v>
      </c>
      <c r="M161" s="15" t="n">
        <v>19</v>
      </c>
      <c r="N161" s="15" t="n">
        <v>9</v>
      </c>
      <c r="O161" s="15" t="n">
        <v>0</v>
      </c>
      <c r="P161" s="15" t="n">
        <v>0</v>
      </c>
      <c r="Q161" s="15" t="n">
        <v>0</v>
      </c>
      <c r="R161" s="15" t="n">
        <v>0</v>
      </c>
      <c r="S161" s="15" t="n">
        <v>39</v>
      </c>
      <c r="T161" s="14">
        <f>IF(COUNT(I161:S161)=0,"",SUM(I161:S161))</f>
        <v/>
      </c>
      <c r="U161" t="inlineStr"/>
    </row>
    <row r="162">
      <c r="A162" t="inlineStr">
        <is>
          <t>엘지어린이집</t>
        </is>
      </c>
      <c r="B162" t="inlineStr">
        <is>
          <t>어린이집</t>
        </is>
      </c>
      <c r="C162" t="inlineStr">
        <is>
          <t>가정</t>
        </is>
      </c>
      <c r="D162" t="inlineStr">
        <is>
          <t>금정구</t>
        </is>
      </c>
      <c r="E162" t="inlineStr">
        <is>
          <t>부산광역시 금정구 중앙대로1667번길 8 102동 112호(부곡동, 우신뉴타운아파트)</t>
        </is>
      </c>
      <c r="F162" t="inlineStr"/>
      <c r="G162" t="inlineStr">
        <is>
          <t>051-582-3209</t>
        </is>
      </c>
      <c r="H162" s="15" t="n">
        <v>19</v>
      </c>
      <c r="I162" s="15" t="n">
        <v>4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0</v>
      </c>
      <c r="O162" s="15" t="n">
        <v>3</v>
      </c>
      <c r="P162" s="15" t="n">
        <v>0</v>
      </c>
      <c r="Q162" s="15" t="n">
        <v>0</v>
      </c>
      <c r="R162" s="15" t="n">
        <v>0</v>
      </c>
      <c r="S162" s="15" t="n">
        <v>5</v>
      </c>
      <c r="T162" s="14">
        <f>IF(COUNT(I162:S162)=0,"",SUM(I162:S162))</f>
        <v/>
      </c>
      <c r="U162" t="inlineStr"/>
    </row>
    <row r="163">
      <c r="A163" t="inlineStr">
        <is>
          <t>영재타운어린이집</t>
        </is>
      </c>
      <c r="B163" t="inlineStr">
        <is>
          <t>어린이집</t>
        </is>
      </c>
      <c r="C163" t="inlineStr">
        <is>
          <t>민간</t>
        </is>
      </c>
      <c r="D163" t="inlineStr">
        <is>
          <t>금정구</t>
        </is>
      </c>
      <c r="E163" t="inlineStr">
        <is>
          <t>부산광역시 금정구 식물원로 64 금정산에스케이뷰아파트</t>
        </is>
      </c>
      <c r="F163" t="inlineStr"/>
      <c r="G163" t="inlineStr">
        <is>
          <t>051-514-3393</t>
        </is>
      </c>
      <c r="H163" s="15" t="n">
        <v>101</v>
      </c>
      <c r="I163" s="15" t="n">
        <v>14</v>
      </c>
      <c r="J163" s="15" t="n">
        <v>23</v>
      </c>
      <c r="K163" s="15" t="n">
        <v>29</v>
      </c>
      <c r="L163" s="15" t="n">
        <v>5</v>
      </c>
      <c r="M163" s="15" t="n">
        <v>0</v>
      </c>
      <c r="N163" s="15" t="n">
        <v>0</v>
      </c>
      <c r="O163" s="15" t="n">
        <v>0</v>
      </c>
      <c r="P163" s="15" t="n">
        <v>0</v>
      </c>
      <c r="Q163" s="15" t="n">
        <v>0</v>
      </c>
      <c r="R163" s="15" t="n">
        <v>0</v>
      </c>
      <c r="S163" s="15" t="n">
        <v>4</v>
      </c>
      <c r="T163" s="14">
        <f>IF(COUNT(I163:S163)=0,"",SUM(I163:S163))</f>
        <v/>
      </c>
      <c r="U163" t="inlineStr"/>
    </row>
    <row r="164">
      <c r="A164" t="inlineStr">
        <is>
          <t>예가람어린이집</t>
        </is>
      </c>
      <c r="B164" t="inlineStr">
        <is>
          <t>어린이집</t>
        </is>
      </c>
      <c r="C164" t="inlineStr">
        <is>
          <t>국공립</t>
        </is>
      </c>
      <c r="D164" t="inlineStr">
        <is>
          <t>금정구</t>
        </is>
      </c>
      <c r="E164" t="inlineStr">
        <is>
          <t>부산광역시 금정구 수림로72번길 21 장전동, 금정산2차쌍용예가아파트</t>
        </is>
      </c>
      <c r="F164" t="inlineStr"/>
      <c r="G164" t="inlineStr">
        <is>
          <t>051-517-1240</t>
        </is>
      </c>
      <c r="H164" s="15" t="n">
        <v>40</v>
      </c>
      <c r="I164" s="15" t="n">
        <v>5</v>
      </c>
      <c r="J164" s="15" t="n">
        <v>17</v>
      </c>
      <c r="K164" s="15" t="n">
        <v>13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</v>
      </c>
      <c r="Q164" s="15" t="n">
        <v>0</v>
      </c>
      <c r="R164" s="15" t="n">
        <v>0</v>
      </c>
      <c r="S164" s="15" t="n">
        <v>8</v>
      </c>
      <c r="T164" s="14">
        <f>IF(COUNT(I164:S164)=0,"",SUM(I164:S164))</f>
        <v/>
      </c>
      <c r="U164" t="inlineStr"/>
    </row>
    <row r="165">
      <c r="A165" t="inlineStr">
        <is>
          <t>유정어린이집</t>
        </is>
      </c>
      <c r="B165" t="inlineStr">
        <is>
          <t>어린이집</t>
        </is>
      </c>
      <c r="C165" t="inlineStr">
        <is>
          <t>가정</t>
        </is>
      </c>
      <c r="D165" t="inlineStr">
        <is>
          <t>금정구</t>
        </is>
      </c>
      <c r="E165" t="inlineStr">
        <is>
          <t>부산광역시 금정구 수림로 12 105동 105호(부곡동, 에스케이)</t>
        </is>
      </c>
      <c r="F165" s="11" t="inlineStr">
        <is>
          <t>http://cafe.naver.com/01034224133</t>
        </is>
      </c>
      <c r="G165" t="inlineStr">
        <is>
          <t>051-914-4133</t>
        </is>
      </c>
      <c r="H165" s="15" t="n">
        <v>20</v>
      </c>
      <c r="I165" s="15" t="n">
        <v>4</v>
      </c>
      <c r="J165" s="15" t="n">
        <v>5</v>
      </c>
      <c r="K165" s="15" t="n">
        <v>5</v>
      </c>
      <c r="L165" s="15" t="n">
        <v>0</v>
      </c>
      <c r="M165" s="15" t="n">
        <v>0</v>
      </c>
      <c r="N165" s="15" t="n">
        <v>0</v>
      </c>
      <c r="O165" s="15" t="n">
        <v>3</v>
      </c>
      <c r="P165" s="15" t="n">
        <v>0</v>
      </c>
      <c r="Q165" s="15" t="n">
        <v>0</v>
      </c>
      <c r="R165" s="15" t="n">
        <v>0</v>
      </c>
      <c r="S165" s="15" t="n">
        <v>12</v>
      </c>
      <c r="T165" s="14">
        <f>IF(COUNT(I165:S165)=0,"",SUM(I165:S165))</f>
        <v/>
      </c>
      <c r="U165" t="inlineStr"/>
    </row>
    <row r="166">
      <c r="A166" t="inlineStr">
        <is>
          <t>장전그린키즈어린이집</t>
        </is>
      </c>
      <c r="B166" t="inlineStr">
        <is>
          <t>어린이집</t>
        </is>
      </c>
      <c r="C166" t="inlineStr">
        <is>
          <t>가정</t>
        </is>
      </c>
      <c r="D166" t="inlineStr">
        <is>
          <t>금정구</t>
        </is>
      </c>
      <c r="E166" t="inlineStr">
        <is>
          <t>부산광역시 금정구 식물원로9번길 15 삼정그린코아 더베스트</t>
        </is>
      </c>
      <c r="F166" t="inlineStr"/>
      <c r="G166" t="inlineStr">
        <is>
          <t>051-905-2019</t>
        </is>
      </c>
      <c r="H166" s="15" t="n">
        <v>17</v>
      </c>
      <c r="I166" s="15" t="n">
        <v>5</v>
      </c>
      <c r="J166" s="15" t="n">
        <v>5</v>
      </c>
      <c r="K166" s="15" t="n">
        <v>7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5</v>
      </c>
      <c r="T166" s="14">
        <f>IF(COUNT(I166:S166)=0,"",SUM(I166:S166))</f>
        <v/>
      </c>
      <c r="U166" t="inlineStr"/>
    </row>
    <row r="167">
      <c r="A167" t="inlineStr">
        <is>
          <t>장전제일교회어린이집</t>
        </is>
      </c>
      <c r="B167" t="inlineStr">
        <is>
          <t>어린이집</t>
        </is>
      </c>
      <c r="C167" t="inlineStr">
        <is>
          <t>민간</t>
        </is>
      </c>
      <c r="D167" t="inlineStr">
        <is>
          <t>금정구</t>
        </is>
      </c>
      <c r="E167" t="inlineStr">
        <is>
          <t>부산광역시 금정구 금정로 50 (장전동)</t>
        </is>
      </c>
      <c r="F167" s="11" t="inlineStr">
        <is>
          <t>http://5815838@hanmaiㅣ.net</t>
        </is>
      </c>
      <c r="G167" t="inlineStr">
        <is>
          <t>051-518-8739</t>
        </is>
      </c>
      <c r="H167" s="15" t="n">
        <v>79</v>
      </c>
      <c r="I167" s="15" t="n">
        <v>0</v>
      </c>
      <c r="J167" s="15" t="n">
        <v>10</v>
      </c>
      <c r="K167" s="15" t="n">
        <v>14</v>
      </c>
      <c r="L167" s="15" t="n">
        <v>20</v>
      </c>
      <c r="M167" s="15" t="n">
        <v>20</v>
      </c>
      <c r="N167" s="15" t="n">
        <v>15</v>
      </c>
      <c r="O167" s="15" t="n">
        <v>0</v>
      </c>
      <c r="P167" s="15" t="n">
        <v>0</v>
      </c>
      <c r="Q167" s="15" t="n">
        <v>0</v>
      </c>
      <c r="R167" s="15" t="n">
        <v>0</v>
      </c>
      <c r="S167" s="15" t="n">
        <v>42</v>
      </c>
      <c r="T167" s="14">
        <f>IF(COUNT(I167:S167)=0,"",SUM(I167:S167))</f>
        <v/>
      </c>
      <c r="U167" t="inlineStr"/>
    </row>
    <row r="168">
      <c r="A168" t="inlineStr">
        <is>
          <t>지산어린이집</t>
        </is>
      </c>
      <c r="B168" t="inlineStr">
        <is>
          <t>어린이집</t>
        </is>
      </c>
      <c r="C168" t="inlineStr">
        <is>
          <t>국공립</t>
        </is>
      </c>
      <c r="D168" t="inlineStr">
        <is>
          <t>금정구</t>
        </is>
      </c>
      <c r="E168" t="inlineStr">
        <is>
          <t>부산광역시 금정구 기찰로108번길 48</t>
        </is>
      </c>
      <c r="F168" t="inlineStr"/>
      <c r="G168" t="inlineStr">
        <is>
          <t>051-515-5161</t>
        </is>
      </c>
      <c r="H168" s="15" t="n">
        <v>57</v>
      </c>
      <c r="I168" s="15" t="n">
        <v>0</v>
      </c>
      <c r="J168" s="15" t="n">
        <v>12</v>
      </c>
      <c r="K168" s="15" t="n">
        <v>17</v>
      </c>
      <c r="L168" s="15" t="n">
        <v>7</v>
      </c>
      <c r="M168" s="15" t="n">
        <v>0</v>
      </c>
      <c r="N168" s="15" t="n">
        <v>0</v>
      </c>
      <c r="O168" s="15" t="n">
        <v>0</v>
      </c>
      <c r="P168" s="15" t="n">
        <v>9</v>
      </c>
      <c r="Q168" s="15" t="n">
        <v>0</v>
      </c>
      <c r="R168" s="15" t="n">
        <v>0</v>
      </c>
      <c r="S168" s="15" t="n">
        <v>10</v>
      </c>
      <c r="T168" s="14">
        <f>IF(COUNT(I168:S168)=0,"",SUM(I168:S168))</f>
        <v/>
      </c>
      <c r="U168" t="inlineStr"/>
    </row>
    <row r="169">
      <c r="A169" t="inlineStr">
        <is>
          <t>푸른하늘어린이집</t>
        </is>
      </c>
      <c r="B169" t="inlineStr">
        <is>
          <t>어린이집</t>
        </is>
      </c>
      <c r="C169" t="inlineStr">
        <is>
          <t>가정</t>
        </is>
      </c>
      <c r="D169" t="inlineStr">
        <is>
          <t>금정구</t>
        </is>
      </c>
      <c r="E169" t="inlineStr">
        <is>
          <t>부산광역시 금정구 금강로379번길 50 104동 104호 (장전동, 금정산 쌍용예가아파트)</t>
        </is>
      </c>
      <c r="F169" t="inlineStr"/>
      <c r="G169" t="inlineStr">
        <is>
          <t>051-517-9007</t>
        </is>
      </c>
      <c r="H169" s="15" t="n">
        <v>19</v>
      </c>
      <c r="I169" s="15" t="n">
        <v>6</v>
      </c>
      <c r="J169" s="15" t="n">
        <v>0</v>
      </c>
      <c r="K169" s="15" t="n">
        <v>11</v>
      </c>
      <c r="L169" s="15" t="n">
        <v>0</v>
      </c>
      <c r="M169" s="15" t="n">
        <v>0</v>
      </c>
      <c r="N169" s="15" t="n">
        <v>0</v>
      </c>
      <c r="O169" s="15" t="n">
        <v>2</v>
      </c>
      <c r="P169" s="15" t="n">
        <v>0</v>
      </c>
      <c r="Q169" s="15" t="n">
        <v>0</v>
      </c>
      <c r="R169" s="15" t="n">
        <v>0</v>
      </c>
      <c r="S169" s="15" t="n">
        <v>5</v>
      </c>
      <c r="T169" s="14">
        <f>IF(COUNT(I169:S169)=0,"",SUM(I169:S169))</f>
        <v/>
      </c>
      <c r="U169" t="inlineStr"/>
    </row>
    <row r="170">
      <c r="A170" t="inlineStr">
        <is>
          <t>해맑은어린이집</t>
        </is>
      </c>
      <c r="B170" t="inlineStr">
        <is>
          <t>어린이집</t>
        </is>
      </c>
      <c r="C170" t="inlineStr">
        <is>
          <t>민간</t>
        </is>
      </c>
      <c r="D170" t="inlineStr">
        <is>
          <t>금정구</t>
        </is>
      </c>
      <c r="E170" t="inlineStr">
        <is>
          <t>부산광역시 금정구 금단로 113-13 부산시 금정구 금단로 113-13 해맑은어린이집</t>
        </is>
      </c>
      <c r="F170" s="11" t="inlineStr">
        <is>
          <t>https://blog.naver.com/sunnykids7130</t>
        </is>
      </c>
      <c r="G170" t="inlineStr">
        <is>
          <t>051-516-7130</t>
        </is>
      </c>
      <c r="H170" s="15" t="n">
        <v>78</v>
      </c>
      <c r="I170" s="15" t="n">
        <v>9</v>
      </c>
      <c r="J170" s="15" t="n">
        <v>5</v>
      </c>
      <c r="K170" s="15" t="n">
        <v>29</v>
      </c>
      <c r="L170" s="15" t="n">
        <v>12</v>
      </c>
      <c r="M170" s="15" t="n">
        <v>0</v>
      </c>
      <c r="N170" s="15" t="n">
        <v>0</v>
      </c>
      <c r="O170" s="15" t="n">
        <v>10</v>
      </c>
      <c r="P170" s="15" t="n">
        <v>12</v>
      </c>
      <c r="Q170" s="15" t="n">
        <v>0</v>
      </c>
      <c r="R170" s="15" t="n">
        <v>0</v>
      </c>
      <c r="S170" s="15" t="n">
        <v>28</v>
      </c>
      <c r="T170" s="14">
        <f>IF(COUNT(I170:S170)=0,"",SUM(I170:S170))</f>
        <v/>
      </c>
      <c r="U170" t="inlineStr"/>
    </row>
    <row r="171">
      <c r="A171" t="inlineStr">
        <is>
          <t>해수어린이집</t>
        </is>
      </c>
      <c r="B171" t="inlineStr">
        <is>
          <t>어린이집</t>
        </is>
      </c>
      <c r="C171" t="inlineStr">
        <is>
          <t>가정</t>
        </is>
      </c>
      <c r="D171" t="inlineStr">
        <is>
          <t>금정구</t>
        </is>
      </c>
      <c r="E171" t="inlineStr">
        <is>
          <t>부산광역시 금정구 식물원로 64 장전동 금정산 SK뷰  110동103호</t>
        </is>
      </c>
      <c r="F171" t="inlineStr"/>
      <c r="G171" t="inlineStr">
        <is>
          <t>051-514-9645</t>
        </is>
      </c>
      <c r="H171" s="15" t="n">
        <v>19</v>
      </c>
      <c r="I171" s="15" t="n">
        <v>7</v>
      </c>
      <c r="J171" s="15" t="n">
        <v>5</v>
      </c>
      <c r="K171" s="15" t="n">
        <v>0</v>
      </c>
      <c r="L171" s="15" t="n">
        <v>0</v>
      </c>
      <c r="M171" s="15" t="n">
        <v>0</v>
      </c>
      <c r="N171" s="15" t="n">
        <v>0</v>
      </c>
      <c r="O171" s="15" t="n">
        <v>6</v>
      </c>
      <c r="P171" s="15" t="n">
        <v>0</v>
      </c>
      <c r="Q171" s="15" t="n">
        <v>0</v>
      </c>
      <c r="R171" s="15" t="n">
        <v>0</v>
      </c>
      <c r="S171" s="15" t="n">
        <v>8</v>
      </c>
      <c r="T171" s="14">
        <f>IF(COUNT(I171:S171)=0,"",SUM(I171:S171))</f>
        <v/>
      </c>
      <c r="U171" t="inlineStr"/>
    </row>
    <row r="172">
      <c r="A172" t="inlineStr">
        <is>
          <t>행복한그림동산어린이집</t>
        </is>
      </c>
      <c r="B172" t="inlineStr">
        <is>
          <t>어린이집</t>
        </is>
      </c>
      <c r="C172" t="inlineStr">
        <is>
          <t>국공립</t>
        </is>
      </c>
      <c r="D172" t="inlineStr">
        <is>
          <t>금정구</t>
        </is>
      </c>
      <c r="E172" t="inlineStr">
        <is>
          <t>부산광역시 금정구 금사로29번길 57</t>
        </is>
      </c>
      <c r="F172" t="inlineStr"/>
      <c r="G172" t="inlineStr">
        <is>
          <t>051-522-4071</t>
        </is>
      </c>
      <c r="H172" s="15" t="n">
        <v>92</v>
      </c>
      <c r="I172" s="15" t="n">
        <v>0</v>
      </c>
      <c r="J172" s="15" t="n">
        <v>5</v>
      </c>
      <c r="K172" s="15" t="n">
        <v>9</v>
      </c>
      <c r="L172" s="15" t="n">
        <v>0</v>
      </c>
      <c r="M172" s="15" t="n">
        <v>0</v>
      </c>
      <c r="N172" s="15" t="n">
        <v>0</v>
      </c>
      <c r="O172" s="15" t="n">
        <v>0</v>
      </c>
      <c r="P172" s="15" t="n">
        <v>11</v>
      </c>
      <c r="Q172" s="15" t="n">
        <v>0</v>
      </c>
      <c r="R172" s="15" t="n">
        <v>3</v>
      </c>
      <c r="S172" s="15" t="n">
        <v>17</v>
      </c>
      <c r="T172" s="14">
        <f>IF(COUNT(I172:S172)=0,"",SUM(I172:S172))</f>
        <v/>
      </c>
      <c r="U172" t="inlineStr"/>
    </row>
    <row r="173">
      <c r="A173" t="inlineStr">
        <is>
          <t>EG아이숲어린이집</t>
        </is>
      </c>
      <c r="B173" t="inlineStr">
        <is>
          <t>어린이집</t>
        </is>
      </c>
      <c r="C173" t="inlineStr">
        <is>
          <t>민간</t>
        </is>
      </c>
      <c r="D173" t="inlineStr">
        <is>
          <t>기장군</t>
        </is>
      </c>
      <c r="E173" t="inlineStr">
        <is>
          <t>부산광역시 기장군 정관읍 정관로 350 이지더원 3차 관리동</t>
        </is>
      </c>
      <c r="F173" t="inlineStr"/>
      <c r="G173" t="inlineStr">
        <is>
          <t>051-728-0055</t>
        </is>
      </c>
      <c r="H173" s="15" t="n">
        <v>39</v>
      </c>
      <c r="I173" s="15" t="n">
        <v>8</v>
      </c>
      <c r="J173" s="15" t="n">
        <v>8</v>
      </c>
      <c r="K173" s="15" t="n">
        <v>7</v>
      </c>
      <c r="L173" s="15" t="n">
        <v>0</v>
      </c>
      <c r="M173" s="15" t="n">
        <v>0</v>
      </c>
      <c r="N173" s="15" t="n">
        <v>0</v>
      </c>
      <c r="O173" s="15" t="n">
        <v>5</v>
      </c>
      <c r="P173" s="15" t="n">
        <v>0</v>
      </c>
      <c r="Q173" s="15" t="n">
        <v>0</v>
      </c>
      <c r="R173" s="15" t="n">
        <v>0</v>
      </c>
      <c r="S173" s="15" t="n">
        <v>3</v>
      </c>
      <c r="T173" s="14">
        <f>IF(COUNT(I173:S173)=0,"",SUM(I173:S173))</f>
        <v/>
      </c>
      <c r="U173" t="inlineStr"/>
    </row>
    <row r="174">
      <c r="A174" t="inlineStr">
        <is>
          <t>가동캐슬어린이집</t>
        </is>
      </c>
      <c r="B174" t="inlineStr">
        <is>
          <t>어린이집</t>
        </is>
      </c>
      <c r="C174" t="inlineStr">
        <is>
          <t>가정</t>
        </is>
      </c>
      <c r="D174" t="inlineStr">
        <is>
          <t>기장군</t>
        </is>
      </c>
      <c r="E174" t="inlineStr">
        <is>
          <t>부산광역시 기장군 정관읍 가동3로 19 이진캐스빌2차 104동 105호</t>
        </is>
      </c>
      <c r="F174" t="inlineStr"/>
      <c r="G174" t="inlineStr">
        <is>
          <t>051-996-1002</t>
        </is>
      </c>
      <c r="H174" s="15" t="n">
        <v>20</v>
      </c>
      <c r="I174" s="15" t="n">
        <v>4</v>
      </c>
      <c r="J174" s="15" t="n">
        <v>4</v>
      </c>
      <c r="K174" s="15" t="n">
        <v>4</v>
      </c>
      <c r="L174" s="15" t="n">
        <v>0</v>
      </c>
      <c r="M174" s="15" t="n">
        <v>0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n">
        <v>0</v>
      </c>
      <c r="S174" s="15" t="n">
        <v>9</v>
      </c>
      <c r="T174" s="14">
        <f>IF(COUNT(I174:S174)=0,"",SUM(I174:S174))</f>
        <v/>
      </c>
      <c r="U174" t="inlineStr"/>
    </row>
    <row r="175">
      <c r="A175" t="inlineStr">
        <is>
          <t>가온어린이집</t>
        </is>
      </c>
      <c r="B175" t="inlineStr">
        <is>
          <t>어린이집</t>
        </is>
      </c>
      <c r="C175" t="inlineStr">
        <is>
          <t>가정</t>
        </is>
      </c>
      <c r="D175" t="inlineStr">
        <is>
          <t>기장군</t>
        </is>
      </c>
      <c r="E175" t="inlineStr">
        <is>
          <t>부산광역시 기장군 정관읍 정관4로 24 동일스위트 1차 109-104</t>
        </is>
      </c>
      <c r="F175" t="inlineStr"/>
      <c r="G175" t="inlineStr">
        <is>
          <t>051-728-5528</t>
        </is>
      </c>
      <c r="H175" s="15" t="n">
        <v>20</v>
      </c>
      <c r="I175" s="15" t="n">
        <v>4</v>
      </c>
      <c r="J175" s="15" t="n">
        <v>6</v>
      </c>
      <c r="K175" s="15" t="n">
        <v>4</v>
      </c>
      <c r="L175" s="15" t="n">
        <v>0</v>
      </c>
      <c r="M175" s="15" t="n">
        <v>0</v>
      </c>
      <c r="N175" s="15" t="n">
        <v>0</v>
      </c>
      <c r="O175" s="15" t="n">
        <v>0</v>
      </c>
      <c r="P175" s="15" t="n">
        <v>0</v>
      </c>
      <c r="Q175" s="15" t="n">
        <v>0</v>
      </c>
      <c r="R175" s="15" t="n">
        <v>0</v>
      </c>
      <c r="S175" s="15" t="n">
        <v>19</v>
      </c>
      <c r="T175" s="14">
        <f>IF(COUNT(I175:S175)=0,"",SUM(I175:S175))</f>
        <v/>
      </c>
      <c r="U175" t="inlineStr"/>
    </row>
    <row r="176">
      <c r="A176" t="inlineStr">
        <is>
          <t>가화사랑어린이집</t>
        </is>
      </c>
      <c r="B176" t="inlineStr">
        <is>
          <t>어린이집</t>
        </is>
      </c>
      <c r="C176" t="inlineStr">
        <is>
          <t>민간</t>
        </is>
      </c>
      <c r="D176" t="inlineStr">
        <is>
          <t>기장군</t>
        </is>
      </c>
      <c r="E176" t="inlineStr">
        <is>
          <t>부산광역시 기장군 정관읍 방곡로 39 가화정관타운 관리동</t>
        </is>
      </c>
      <c r="F176" t="inlineStr"/>
      <c r="G176" t="inlineStr">
        <is>
          <t>051-723-5050</t>
        </is>
      </c>
      <c r="H176" s="15" t="n">
        <v>39</v>
      </c>
      <c r="I176" s="15" t="n">
        <v>3</v>
      </c>
      <c r="J176" s="15" t="n">
        <v>8</v>
      </c>
      <c r="K176" s="15" t="n">
        <v>9</v>
      </c>
      <c r="L176" s="15" t="n">
        <v>6</v>
      </c>
      <c r="M176" s="15" t="n">
        <v>0</v>
      </c>
      <c r="N176" s="15" t="n">
        <v>0</v>
      </c>
      <c r="O176" s="15" t="n">
        <v>5</v>
      </c>
      <c r="P176" s="15" t="n">
        <v>0</v>
      </c>
      <c r="Q176" s="15" t="n">
        <v>0</v>
      </c>
      <c r="R176" s="15" t="n">
        <v>0</v>
      </c>
      <c r="S176" s="15" t="n">
        <v>9</v>
      </c>
      <c r="T176" s="14">
        <f>IF(COUNT(I176:S176)=0,"",SUM(I176:S176))</f>
        <v/>
      </c>
      <c r="U176" t="inlineStr"/>
    </row>
    <row r="177">
      <c r="A177" t="inlineStr">
        <is>
          <t>가화숲어린이집</t>
        </is>
      </c>
      <c r="B177" t="inlineStr">
        <is>
          <t>어린이집</t>
        </is>
      </c>
      <c r="C177" t="inlineStr">
        <is>
          <t>민간</t>
        </is>
      </c>
      <c r="D177" t="inlineStr">
        <is>
          <t>기장군</t>
        </is>
      </c>
      <c r="E177" t="inlineStr">
        <is>
          <t>부산광역시 기장군 정관읍 구연방곡로 120 가화만사성더테라스아파트</t>
        </is>
      </c>
      <c r="F177" t="inlineStr"/>
      <c r="G177" t="inlineStr">
        <is>
          <t>051-728-0332</t>
        </is>
      </c>
      <c r="H177" s="15" t="n">
        <v>39</v>
      </c>
      <c r="I177" s="15" t="n">
        <v>3</v>
      </c>
      <c r="J177" s="15" t="n">
        <v>10</v>
      </c>
      <c r="K177" s="15" t="n">
        <v>14</v>
      </c>
      <c r="L177" s="15" t="n">
        <v>0</v>
      </c>
      <c r="M177" s="15" t="n">
        <v>0</v>
      </c>
      <c r="N177" s="15" t="n">
        <v>0</v>
      </c>
      <c r="O177" s="15" t="n">
        <v>4</v>
      </c>
      <c r="P177" s="15" t="n">
        <v>0</v>
      </c>
      <c r="Q177" s="15" t="n">
        <v>0</v>
      </c>
      <c r="R177" s="15" t="n">
        <v>0</v>
      </c>
      <c r="S177" s="15" t="n">
        <v>10</v>
      </c>
      <c r="T177" s="14">
        <f>IF(COUNT(I177:S177)=0,"",SUM(I177:S177))</f>
        <v/>
      </c>
      <c r="U177" t="inlineStr"/>
    </row>
    <row r="178">
      <c r="A178" t="inlineStr">
        <is>
          <t>가화아이어린이집</t>
        </is>
      </c>
      <c r="B178" t="inlineStr">
        <is>
          <t>어린이집</t>
        </is>
      </c>
      <c r="C178" t="inlineStr">
        <is>
          <t>민간</t>
        </is>
      </c>
      <c r="D178" t="inlineStr">
        <is>
          <t>기장군</t>
        </is>
      </c>
      <c r="E178" t="inlineStr">
        <is>
          <t>부산광역시 기장군 이천10길 37 가화일광타워 101동 1층</t>
        </is>
      </c>
      <c r="F178" t="inlineStr"/>
      <c r="G178" t="inlineStr">
        <is>
          <t>051-723-3700</t>
        </is>
      </c>
      <c r="H178" s="15" t="n">
        <v>21</v>
      </c>
      <c r="I178" s="15" t="n">
        <v>6</v>
      </c>
      <c r="J178" s="15" t="n">
        <v>5</v>
      </c>
      <c r="K178" s="15" t="n">
        <v>0</v>
      </c>
      <c r="L178" s="15" t="n">
        <v>0</v>
      </c>
      <c r="M178" s="15" t="n">
        <v>0</v>
      </c>
      <c r="N178" s="15" t="n">
        <v>0</v>
      </c>
      <c r="O178" s="15" t="n">
        <v>0</v>
      </c>
      <c r="P178" s="15" t="n">
        <v>0</v>
      </c>
      <c r="Q178" s="15" t="n">
        <v>0</v>
      </c>
      <c r="R178" s="15" t="n">
        <v>0</v>
      </c>
      <c r="S178" s="15" t="n">
        <v>2</v>
      </c>
      <c r="T178" s="14">
        <f>IF(COUNT(I178:S178)=0,"",SUM(I178:S178))</f>
        <v/>
      </c>
      <c r="U178" t="inlineStr"/>
    </row>
    <row r="179">
      <c r="A179" t="inlineStr">
        <is>
          <t>가화행복어린이집</t>
        </is>
      </c>
      <c r="B179" t="inlineStr">
        <is>
          <t>어린이집</t>
        </is>
      </c>
      <c r="C179" t="inlineStr">
        <is>
          <t>민간</t>
        </is>
      </c>
      <c r="D179" t="inlineStr">
        <is>
          <t>기장군</t>
        </is>
      </c>
      <c r="E179" t="inlineStr">
        <is>
          <t>부산광역시 기장군 정관읍 구연방곡로 106 가화만사성더테라스2차</t>
        </is>
      </c>
      <c r="F179" t="inlineStr"/>
      <c r="G179" t="inlineStr">
        <is>
          <t>051-728-7977</t>
        </is>
      </c>
      <c r="H179" s="15" t="n">
        <v>27</v>
      </c>
      <c r="I179" s="15" t="n">
        <v>0</v>
      </c>
      <c r="J179" s="15" t="n">
        <v>3</v>
      </c>
      <c r="K179" s="15" t="n">
        <v>0</v>
      </c>
      <c r="L179" s="15" t="n">
        <v>8</v>
      </c>
      <c r="M179" s="15" t="n">
        <v>0</v>
      </c>
      <c r="N179" s="15" t="n">
        <v>0</v>
      </c>
      <c r="O179" s="15" t="n">
        <v>5</v>
      </c>
      <c r="P179" s="15" t="n">
        <v>0</v>
      </c>
      <c r="Q179" s="15" t="n">
        <v>0</v>
      </c>
      <c r="R179" s="15" t="n">
        <v>0</v>
      </c>
      <c r="S179" s="15" t="n">
        <v>13</v>
      </c>
      <c r="T179" s="14">
        <f>IF(COUNT(I179:S179)=0,"",SUM(I179:S179))</f>
        <v/>
      </c>
      <c r="U179" t="inlineStr"/>
    </row>
    <row r="180">
      <c r="A180" t="inlineStr">
        <is>
          <t>고촌어린이집</t>
        </is>
      </c>
      <c r="B180" t="inlineStr">
        <is>
          <t>어린이집</t>
        </is>
      </c>
      <c r="C180" t="inlineStr">
        <is>
          <t>국공립</t>
        </is>
      </c>
      <c r="D180" t="inlineStr">
        <is>
          <t>기장군</t>
        </is>
      </c>
      <c r="E180" t="inlineStr">
        <is>
          <t>부산광역시 기장군 철마면 고촌로44번길 16 112호 고촌어린이집</t>
        </is>
      </c>
      <c r="F180" t="inlineStr"/>
      <c r="G180" t="inlineStr">
        <is>
          <t>051-915-5000</t>
        </is>
      </c>
      <c r="H180" s="15" t="n">
        <v>33</v>
      </c>
      <c r="I180" s="15" t="n">
        <v>3</v>
      </c>
      <c r="J180" s="15" t="n">
        <v>0</v>
      </c>
      <c r="K180" s="15" t="n">
        <v>0</v>
      </c>
      <c r="L180" s="15" t="n">
        <v>0</v>
      </c>
      <c r="M180" s="15" t="n">
        <v>0</v>
      </c>
      <c r="N180" s="15" t="n">
        <v>0</v>
      </c>
      <c r="O180" s="15" t="n">
        <v>8</v>
      </c>
      <c r="P180" s="15" t="n">
        <v>5</v>
      </c>
      <c r="Q180" s="15" t="n">
        <v>0</v>
      </c>
      <c r="R180" s="15" t="n">
        <v>0</v>
      </c>
      <c r="S180" s="15" t="n">
        <v>7</v>
      </c>
      <c r="T180" s="14">
        <f>IF(COUNT(I180:S180)=0,"",SUM(I180:S180))</f>
        <v/>
      </c>
      <c r="U180" t="inlineStr"/>
    </row>
    <row r="181">
      <c r="A181" t="inlineStr">
        <is>
          <t>그림나라어린이집</t>
        </is>
      </c>
      <c r="B181" t="inlineStr">
        <is>
          <t>어린이집</t>
        </is>
      </c>
      <c r="C181" t="inlineStr">
        <is>
          <t>민간</t>
        </is>
      </c>
      <c r="D181" t="inlineStr">
        <is>
          <t>기장군</t>
        </is>
      </c>
      <c r="E181" t="inlineStr">
        <is>
          <t>부산광역시 기장군 기장읍 차성서로101번길 14</t>
        </is>
      </c>
      <c r="F181" t="inlineStr"/>
      <c r="G181" t="inlineStr">
        <is>
          <t>051-722-4370</t>
        </is>
      </c>
      <c r="H181" s="15" t="n">
        <v>80</v>
      </c>
      <c r="I181" s="15" t="n">
        <v>8</v>
      </c>
      <c r="J181" s="15" t="n">
        <v>5</v>
      </c>
      <c r="K181" s="15" t="n">
        <v>7</v>
      </c>
      <c r="L181" s="15" t="n">
        <v>17</v>
      </c>
      <c r="M181" s="15" t="n">
        <v>0</v>
      </c>
      <c r="N181" s="15" t="n">
        <v>0</v>
      </c>
      <c r="O181" s="15" t="n">
        <v>8</v>
      </c>
      <c r="P181" s="15" t="n">
        <v>19</v>
      </c>
      <c r="Q181" s="15" t="n">
        <v>0</v>
      </c>
      <c r="R181" s="15" t="n">
        <v>0</v>
      </c>
      <c r="S181" s="15" t="n">
        <v>35</v>
      </c>
      <c r="T181" s="14">
        <f>IF(COUNT(I181:S181)=0,"",SUM(I181:S181))</f>
        <v/>
      </c>
      <c r="U181" t="inlineStr"/>
    </row>
    <row r="182">
      <c r="A182" t="inlineStr">
        <is>
          <t>기장군종합사회복지관어린이집</t>
        </is>
      </c>
      <c r="B182" t="inlineStr">
        <is>
          <t>어린이집</t>
        </is>
      </c>
      <c r="C182" t="inlineStr">
        <is>
          <t>국공립</t>
        </is>
      </c>
      <c r="D182" t="inlineStr">
        <is>
          <t>기장군</t>
        </is>
      </c>
      <c r="E182" t="inlineStr">
        <is>
          <t>부산광역시 기장군 기장읍 차성로 206</t>
        </is>
      </c>
      <c r="F182" t="inlineStr"/>
      <c r="G182" t="inlineStr">
        <is>
          <t>051-724-8811</t>
        </is>
      </c>
      <c r="H182" s="15" t="n">
        <v>49</v>
      </c>
      <c r="I182" s="15" t="n">
        <v>0</v>
      </c>
      <c r="J182" s="15" t="n">
        <v>0</v>
      </c>
      <c r="K182" s="15" t="n">
        <v>0</v>
      </c>
      <c r="L182" s="15" t="n">
        <v>0</v>
      </c>
      <c r="M182" s="15" t="n">
        <v>0</v>
      </c>
      <c r="N182" s="15" t="n">
        <v>0</v>
      </c>
      <c r="O182" s="15" t="n">
        <v>13</v>
      </c>
      <c r="P182" s="15" t="n">
        <v>14</v>
      </c>
      <c r="Q182" s="15" t="n">
        <v>0</v>
      </c>
      <c r="R182" s="15" t="n">
        <v>0</v>
      </c>
      <c r="S182" s="15" t="n">
        <v>14</v>
      </c>
      <c r="T182" s="14">
        <f>IF(COUNT(I182:S182)=0,"",SUM(I182:S182))</f>
        <v/>
      </c>
      <c r="U182" t="inlineStr"/>
    </row>
    <row r="183">
      <c r="A183" t="inlineStr">
        <is>
          <t>기장소방서공동직장어린이집</t>
        </is>
      </c>
      <c r="B183" t="inlineStr">
        <is>
          <t>어린이집</t>
        </is>
      </c>
      <c r="C183" t="inlineStr">
        <is>
          <t>직장</t>
        </is>
      </c>
      <c r="D183" t="inlineStr">
        <is>
          <t>기장군</t>
        </is>
      </c>
      <c r="E183" t="inlineStr">
        <is>
          <t>부산광역시 기장군 정관읍 용수로 7</t>
        </is>
      </c>
      <c r="F183" t="inlineStr"/>
      <c r="G183" t="inlineStr">
        <is>
          <t>051-728-4119</t>
        </is>
      </c>
      <c r="H183" s="15" t="n">
        <v>49</v>
      </c>
      <c r="I183" s="15" t="n">
        <v>2</v>
      </c>
      <c r="J183" s="15" t="n">
        <v>6</v>
      </c>
      <c r="K183" s="15" t="n">
        <v>8</v>
      </c>
      <c r="L183" s="15" t="n">
        <v>0</v>
      </c>
      <c r="M183" s="15" t="n">
        <v>0</v>
      </c>
      <c r="N183" s="15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5</v>
      </c>
      <c r="T183" s="14">
        <f>IF(COUNT(I183:S183)=0,"",SUM(I183:S183))</f>
        <v/>
      </c>
      <c r="U183" t="inlineStr"/>
    </row>
    <row r="184">
      <c r="A184" t="inlineStr">
        <is>
          <t>기장웨이브리즈어린이집</t>
        </is>
      </c>
      <c r="B184" t="inlineStr">
        <is>
          <t>어린이집</t>
        </is>
      </c>
      <c r="C184" t="inlineStr">
        <is>
          <t>국공립</t>
        </is>
      </c>
      <c r="D184" t="inlineStr">
        <is>
          <t>기장군</t>
        </is>
      </c>
      <c r="E184" t="inlineStr">
        <is>
          <t>부산광역시 기장군 기장읍 대변로 43 관리동</t>
        </is>
      </c>
      <c r="F184" t="inlineStr"/>
      <c r="G184" t="inlineStr">
        <is>
          <t>051-711-0073</t>
        </is>
      </c>
      <c r="H184" s="15" t="n">
        <v>98</v>
      </c>
      <c r="I184" s="15" t="n">
        <v>8</v>
      </c>
      <c r="J184" s="15" t="n">
        <v>15</v>
      </c>
      <c r="K184" s="15" t="n">
        <v>20</v>
      </c>
      <c r="L184" s="15" t="n">
        <v>19</v>
      </c>
      <c r="M184" s="15" t="n">
        <v>16</v>
      </c>
      <c r="N184" s="15" t="n">
        <v>18</v>
      </c>
      <c r="O184" s="15" t="n">
        <v>0</v>
      </c>
      <c r="P184" s="15" t="n">
        <v>0</v>
      </c>
      <c r="Q184" s="15" t="n">
        <v>0</v>
      </c>
      <c r="R184" s="15" t="n">
        <v>0</v>
      </c>
      <c r="S184" s="15" t="n">
        <v>52</v>
      </c>
      <c r="T184" s="14">
        <f>IF(COUNT(I184:S184)=0,"",SUM(I184:S184))</f>
        <v/>
      </c>
      <c r="U184" t="inlineStr"/>
    </row>
    <row r="185">
      <c r="A185" t="inlineStr">
        <is>
          <t>까르르어린이집</t>
        </is>
      </c>
      <c r="B185" t="inlineStr">
        <is>
          <t>어린이집</t>
        </is>
      </c>
      <c r="C185" t="inlineStr">
        <is>
          <t>가정</t>
        </is>
      </c>
      <c r="D185" t="inlineStr">
        <is>
          <t>기장군</t>
        </is>
      </c>
      <c r="E185" t="inlineStr">
        <is>
          <t>부산광역시 기장군 정관읍 정관2로 9 이지2차아파트 208동 103호</t>
        </is>
      </c>
      <c r="F185" t="inlineStr"/>
      <c r="G185" t="inlineStr">
        <is>
          <t>051-728-1213</t>
        </is>
      </c>
      <c r="H185" s="15" t="n">
        <v>20</v>
      </c>
      <c r="I185" s="15" t="n">
        <v>5</v>
      </c>
      <c r="J185" s="15" t="n">
        <v>0</v>
      </c>
      <c r="K185" s="15" t="n">
        <v>4</v>
      </c>
      <c r="L185" s="15" t="n">
        <v>0</v>
      </c>
      <c r="M185" s="15" t="n">
        <v>0</v>
      </c>
      <c r="N185" s="15" t="n">
        <v>0</v>
      </c>
      <c r="O185" s="15" t="n">
        <v>7</v>
      </c>
      <c r="P185" s="15" t="n">
        <v>0</v>
      </c>
      <c r="Q185" s="15" t="n">
        <v>0</v>
      </c>
      <c r="R185" s="15" t="n">
        <v>0</v>
      </c>
      <c r="S185" s="15" t="n">
        <v>32</v>
      </c>
      <c r="T185" s="14">
        <f>IF(COUNT(I185:S185)=0,"",SUM(I185:S185))</f>
        <v/>
      </c>
      <c r="U185" t="inlineStr"/>
    </row>
    <row r="186">
      <c r="A186" t="inlineStr">
        <is>
          <t>꼬마어린이집</t>
        </is>
      </c>
      <c r="B186" t="inlineStr">
        <is>
          <t>어린이집</t>
        </is>
      </c>
      <c r="C186" t="inlineStr">
        <is>
          <t>가정</t>
        </is>
      </c>
      <c r="D186" t="inlineStr">
        <is>
          <t>기장군</t>
        </is>
      </c>
      <c r="E186" t="inlineStr">
        <is>
          <t>부산광역시 기장군 기장읍 차성로344번길 13 한신아파트 108동 104호</t>
        </is>
      </c>
      <c r="F186" t="inlineStr"/>
      <c r="G186" t="inlineStr">
        <is>
          <t>051-921-4232</t>
        </is>
      </c>
      <c r="H186" s="15" t="n">
        <v>20</v>
      </c>
      <c r="I186" s="15" t="n">
        <v>3</v>
      </c>
      <c r="J186" s="15" t="n">
        <v>0</v>
      </c>
      <c r="K186" s="15" t="n">
        <v>0</v>
      </c>
      <c r="L186" s="15" t="n">
        <v>0</v>
      </c>
      <c r="M186" s="15" t="n">
        <v>0</v>
      </c>
      <c r="N186" s="15" t="n">
        <v>0</v>
      </c>
      <c r="O186" s="15" t="n">
        <v>4</v>
      </c>
      <c r="P186" s="15" t="n">
        <v>0</v>
      </c>
      <c r="Q186" s="15" t="n">
        <v>0</v>
      </c>
      <c r="R186" s="15" t="n">
        <v>0</v>
      </c>
      <c r="S186" s="15" t="n">
        <v>6</v>
      </c>
      <c r="T186" s="14">
        <f>IF(COUNT(I186:S186)=0,"",SUM(I186:S186))</f>
        <v/>
      </c>
      <c r="U186" t="inlineStr"/>
    </row>
    <row r="187">
      <c r="A187" t="inlineStr">
        <is>
          <t>꼬망쎄어린이집</t>
        </is>
      </c>
      <c r="B187" t="inlineStr">
        <is>
          <t>어린이집</t>
        </is>
      </c>
      <c r="C187" t="inlineStr">
        <is>
          <t>가정</t>
        </is>
      </c>
      <c r="D187" t="inlineStr">
        <is>
          <t>기장군</t>
        </is>
      </c>
      <c r="E187" t="inlineStr">
        <is>
          <t>부산광역시 기장군 기장읍 차성서로 51 103동 102호(대라리, 이진캐스빌)</t>
        </is>
      </c>
      <c r="F187" s="11" t="inlineStr">
        <is>
          <t>http://www.kidsnote.com</t>
        </is>
      </c>
      <c r="G187" t="inlineStr">
        <is>
          <t>051-722-5815</t>
        </is>
      </c>
      <c r="H187" s="15" t="n">
        <v>20</v>
      </c>
      <c r="I187" s="15" t="n">
        <v>0</v>
      </c>
      <c r="J187" s="15" t="n">
        <v>0</v>
      </c>
      <c r="K187" s="15" t="n">
        <v>0</v>
      </c>
      <c r="L187" s="15" t="n">
        <v>0</v>
      </c>
      <c r="M187" s="15" t="n">
        <v>0</v>
      </c>
      <c r="N187" s="15" t="n">
        <v>0</v>
      </c>
      <c r="O187" s="15" t="n">
        <v>6</v>
      </c>
      <c r="P187" s="15" t="n">
        <v>0</v>
      </c>
      <c r="Q187" s="15" t="n">
        <v>0</v>
      </c>
      <c r="R187" s="15" t="n">
        <v>0</v>
      </c>
      <c r="S187" s="15" t="n">
        <v>6</v>
      </c>
      <c r="T187" s="14">
        <f>IF(COUNT(I187:S187)=0,"",SUM(I187:S187))</f>
        <v/>
      </c>
      <c r="U187" t="inlineStr"/>
    </row>
    <row r="188">
      <c r="A188" t="inlineStr">
        <is>
          <t>내리어린이집</t>
        </is>
      </c>
      <c r="B188" t="inlineStr">
        <is>
          <t>어린이집</t>
        </is>
      </c>
      <c r="C188" t="inlineStr">
        <is>
          <t>국공립</t>
        </is>
      </c>
      <c r="D188" t="inlineStr">
        <is>
          <t>기장군</t>
        </is>
      </c>
      <c r="E188" t="inlineStr">
        <is>
          <t>부산광역시 기장군 기장읍 소정안길 68 내리휴먼시아 110동 1층</t>
        </is>
      </c>
      <c r="F188" s="11" t="inlineStr">
        <is>
          <t>http://pegasusmw@naver.com</t>
        </is>
      </c>
      <c r="G188" t="inlineStr">
        <is>
          <t>051-722-4241</t>
        </is>
      </c>
      <c r="H188" s="15" t="n">
        <v>25</v>
      </c>
      <c r="I188" s="15" t="n">
        <v>0</v>
      </c>
      <c r="J188" s="15" t="n">
        <v>4</v>
      </c>
      <c r="K188" s="15" t="n">
        <v>0</v>
      </c>
      <c r="L188" s="15" t="n">
        <v>0</v>
      </c>
      <c r="M188" s="15" t="n">
        <v>0</v>
      </c>
      <c r="N188" s="15" t="n">
        <v>0</v>
      </c>
      <c r="O188" s="15" t="n">
        <v>6</v>
      </c>
      <c r="P188" s="15" t="n">
        <v>6</v>
      </c>
      <c r="Q188" s="15" t="n">
        <v>0</v>
      </c>
      <c r="R188" s="15" t="n">
        <v>0</v>
      </c>
      <c r="S188" s="15" t="n">
        <v>3</v>
      </c>
      <c r="T188" s="14">
        <f>IF(COUNT(I188:S188)=0,"",SUM(I188:S188))</f>
        <v/>
      </c>
      <c r="U188" t="inlineStr"/>
    </row>
    <row r="189">
      <c r="A189" t="inlineStr">
        <is>
          <t>늘채움어린이집</t>
        </is>
      </c>
      <c r="B189" t="inlineStr">
        <is>
          <t>어린이집</t>
        </is>
      </c>
      <c r="C189" t="inlineStr">
        <is>
          <t>가정</t>
        </is>
      </c>
      <c r="D189" t="inlineStr">
        <is>
          <t>기장군</t>
        </is>
      </c>
      <c r="E189" t="inlineStr">
        <is>
          <t>부산광역시 기장군 기장읍 차성남로 8-18 씨엘늘채움 아파트 101동 101호</t>
        </is>
      </c>
      <c r="F189" t="inlineStr"/>
      <c r="G189" t="inlineStr">
        <is>
          <t>051-724-2378</t>
        </is>
      </c>
      <c r="H189" s="15" t="n">
        <v>20</v>
      </c>
      <c r="I189" s="15" t="n">
        <v>2</v>
      </c>
      <c r="J189" s="15" t="n">
        <v>5</v>
      </c>
      <c r="K189" s="15" t="n">
        <v>0</v>
      </c>
      <c r="L189" s="15" t="n">
        <v>0</v>
      </c>
      <c r="M189" s="15" t="n">
        <v>0</v>
      </c>
      <c r="N189" s="15" t="n">
        <v>0</v>
      </c>
      <c r="O189" s="15" t="n">
        <v>7</v>
      </c>
      <c r="P189" s="15" t="n">
        <v>0</v>
      </c>
      <c r="Q189" s="15" t="n">
        <v>0</v>
      </c>
      <c r="R189" s="15" t="n">
        <v>0</v>
      </c>
      <c r="S189" s="15" t="n">
        <v>9</v>
      </c>
      <c r="T189" s="14">
        <f>IF(COUNT(I189:S189)=0,"",SUM(I189:S189))</f>
        <v/>
      </c>
      <c r="U189" t="inlineStr"/>
    </row>
    <row r="190">
      <c r="A190" t="inlineStr">
        <is>
          <t>더베스트어린이집</t>
        </is>
      </c>
      <c r="B190" t="inlineStr">
        <is>
          <t>어린이집</t>
        </is>
      </c>
      <c r="C190" t="inlineStr">
        <is>
          <t>민간</t>
        </is>
      </c>
      <c r="D190" t="inlineStr">
        <is>
          <t>기장군</t>
        </is>
      </c>
      <c r="E190" t="inlineStr">
        <is>
          <t>부산광역시 기장군 기장읍 기장대로 82-8 동부산삼정그린코아</t>
        </is>
      </c>
      <c r="F190" t="inlineStr"/>
      <c r="G190" t="inlineStr">
        <is>
          <t>051-724-1250</t>
        </is>
      </c>
      <c r="H190" s="15" t="n">
        <v>39</v>
      </c>
      <c r="I190" s="15" t="n">
        <v>4</v>
      </c>
      <c r="J190" s="15" t="n">
        <v>5</v>
      </c>
      <c r="K190" s="15" t="n">
        <v>7</v>
      </c>
      <c r="L190" s="15" t="n">
        <v>0</v>
      </c>
      <c r="M190" s="15" t="n">
        <v>0</v>
      </c>
      <c r="N190" s="15" t="n">
        <v>0</v>
      </c>
      <c r="O190" s="15" t="n">
        <v>7</v>
      </c>
      <c r="P190" s="15" t="n">
        <v>7</v>
      </c>
      <c r="Q190" s="15" t="n">
        <v>0</v>
      </c>
      <c r="R190" s="15" t="n">
        <v>0</v>
      </c>
      <c r="S190" s="15" t="n">
        <v>5</v>
      </c>
      <c r="T190" s="14">
        <f>IF(COUNT(I190:S190)=0,"",SUM(I190:S190))</f>
        <v/>
      </c>
      <c r="U190" t="inlineStr"/>
    </row>
    <row r="191">
      <c r="A191" t="inlineStr">
        <is>
          <t>동남권원자력의학원어린이집</t>
        </is>
      </c>
      <c r="B191" t="inlineStr">
        <is>
          <t>어린이집</t>
        </is>
      </c>
      <c r="C191" t="inlineStr">
        <is>
          <t>직장</t>
        </is>
      </c>
      <c r="D191" t="inlineStr">
        <is>
          <t>기장군</t>
        </is>
      </c>
      <c r="E191" t="inlineStr">
        <is>
          <t>부산광역시 기장군 좌동길 40 동남권원자력의학원</t>
        </is>
      </c>
      <c r="F191" t="inlineStr"/>
      <c r="G191" t="inlineStr">
        <is>
          <t>051-727-5897</t>
        </is>
      </c>
      <c r="H191" s="15" t="n">
        <v>39</v>
      </c>
      <c r="I191" s="15" t="n">
        <v>0</v>
      </c>
      <c r="J191" s="15" t="n">
        <v>0</v>
      </c>
      <c r="K191" s="15" t="n">
        <v>0</v>
      </c>
      <c r="L191" s="15" t="n">
        <v>0</v>
      </c>
      <c r="M191" s="15" t="n">
        <v>0</v>
      </c>
      <c r="N191" s="15" t="n">
        <v>0</v>
      </c>
      <c r="O191" s="15" t="n">
        <v>4</v>
      </c>
      <c r="P191" s="15" t="n">
        <v>20</v>
      </c>
      <c r="Q191" s="15" t="n">
        <v>0</v>
      </c>
      <c r="R191" s="15" t="n">
        <v>0</v>
      </c>
      <c r="S191" s="15" t="n">
        <v>22</v>
      </c>
      <c r="T191" s="14">
        <f>IF(COUNT(I191:S191)=0,"",SUM(I191:S191))</f>
        <v/>
      </c>
      <c r="U191" t="inlineStr"/>
    </row>
    <row r="192">
      <c r="A192" t="inlineStr">
        <is>
          <t>동원1차 어린이집</t>
        </is>
      </c>
      <c r="B192" t="inlineStr">
        <is>
          <t>어린이집</t>
        </is>
      </c>
      <c r="C192" t="inlineStr">
        <is>
          <t>국공립</t>
        </is>
      </c>
      <c r="D192" t="inlineStr">
        <is>
          <t>기장군</t>
        </is>
      </c>
      <c r="E192" t="inlineStr">
        <is>
          <t>부산광역시 기장군 정관읍 산단4로 139 관리동</t>
        </is>
      </c>
      <c r="F192" s="11" t="inlineStr">
        <is>
          <t>https://instagram.com/love.kid.dw?igshid=YmMyMTA2M2Y=</t>
        </is>
      </c>
      <c r="G192" t="inlineStr">
        <is>
          <t>051-728-2343</t>
        </is>
      </c>
      <c r="H192" s="15" t="n">
        <v>47</v>
      </c>
      <c r="I192" s="15" t="n">
        <v>10</v>
      </c>
      <c r="J192" s="15" t="n">
        <v>13</v>
      </c>
      <c r="K192" s="15" t="n">
        <v>20</v>
      </c>
      <c r="L192" s="15" t="n">
        <v>0</v>
      </c>
      <c r="M192" s="15" t="n">
        <v>0</v>
      </c>
      <c r="N192" s="15" t="n">
        <v>0</v>
      </c>
      <c r="O192" s="15" t="n">
        <v>0</v>
      </c>
      <c r="P192" s="15" t="n">
        <v>0</v>
      </c>
      <c r="Q192" s="15" t="n">
        <v>0</v>
      </c>
      <c r="R192" s="15" t="n">
        <v>0</v>
      </c>
      <c r="S192" s="15" t="n">
        <v>11</v>
      </c>
      <c r="T192" s="14">
        <f>IF(COUNT(I192:S192)=0,"",SUM(I192:S192))</f>
        <v/>
      </c>
      <c r="U192" t="inlineStr"/>
    </row>
    <row r="193">
      <c r="A193" t="inlineStr">
        <is>
          <t>동원2차어린이집</t>
        </is>
      </c>
      <c r="B193" t="inlineStr">
        <is>
          <t>어린이집</t>
        </is>
      </c>
      <c r="C193" t="inlineStr">
        <is>
          <t>민간</t>
        </is>
      </c>
      <c r="D193" t="inlineStr">
        <is>
          <t>기장군</t>
        </is>
      </c>
      <c r="E193" t="inlineStr">
        <is>
          <t>부산광역시 기장군 정관읍 정관5로 12 동원로얄듀크2차 관리동</t>
        </is>
      </c>
      <c r="F193" t="inlineStr"/>
      <c r="G193" t="inlineStr">
        <is>
          <t>051-727-5838</t>
        </is>
      </c>
      <c r="H193" s="15" t="n">
        <v>30</v>
      </c>
      <c r="I193" s="15" t="n">
        <v>4</v>
      </c>
      <c r="J193" s="15" t="n">
        <v>6</v>
      </c>
      <c r="K193" s="15" t="n">
        <v>4</v>
      </c>
      <c r="L193" s="15" t="n">
        <v>0</v>
      </c>
      <c r="M193" s="15" t="n">
        <v>0</v>
      </c>
      <c r="N193" s="15" t="n">
        <v>0</v>
      </c>
      <c r="O193" s="15" t="n">
        <v>7</v>
      </c>
      <c r="P193" s="15" t="n">
        <v>0</v>
      </c>
      <c r="Q193" s="15" t="n">
        <v>0</v>
      </c>
      <c r="R193" s="15" t="n">
        <v>0</v>
      </c>
      <c r="S193" s="15" t="n">
        <v>3</v>
      </c>
      <c r="T193" s="14">
        <f>IF(COUNT(I193:S193)=0,"",SUM(I193:S193))</f>
        <v/>
      </c>
      <c r="U193" t="inlineStr"/>
    </row>
    <row r="194">
      <c r="A194" t="inlineStr">
        <is>
          <t>동원로얄어린이집</t>
        </is>
      </c>
      <c r="B194" t="inlineStr">
        <is>
          <t>어린이집</t>
        </is>
      </c>
      <c r="C194" t="inlineStr">
        <is>
          <t>가정</t>
        </is>
      </c>
      <c r="D194" t="inlineStr">
        <is>
          <t>기장군</t>
        </is>
      </c>
      <c r="E194" t="inlineStr">
        <is>
          <t>부산광역시 기장군 정관읍 정관5로 12 동원로얄듀크2차 204-101</t>
        </is>
      </c>
      <c r="F194" s="11" t="inlineStr">
        <is>
          <t>http://mylee7698@naver.com</t>
        </is>
      </c>
      <c r="G194" t="inlineStr">
        <is>
          <t>051-987-3504</t>
        </is>
      </c>
      <c r="H194" s="15" t="n">
        <v>20</v>
      </c>
      <c r="I194" s="15" t="n">
        <v>3</v>
      </c>
      <c r="J194" s="15" t="n">
        <v>7</v>
      </c>
      <c r="K194" s="15" t="n">
        <v>10</v>
      </c>
      <c r="L194" s="15" t="n">
        <v>0</v>
      </c>
      <c r="M194" s="15" t="n">
        <v>0</v>
      </c>
      <c r="N194" s="15" t="n">
        <v>0</v>
      </c>
      <c r="O194" s="15" t="n">
        <v>0</v>
      </c>
      <c r="P194" s="15" t="n">
        <v>0</v>
      </c>
      <c r="Q194" s="15" t="n">
        <v>0</v>
      </c>
      <c r="R194" s="15" t="n">
        <v>0</v>
      </c>
      <c r="S194" s="15" t="n">
        <v>3</v>
      </c>
      <c r="T194" s="14">
        <f>IF(COUNT(I194:S194)=0,"",SUM(I194:S194))</f>
        <v/>
      </c>
      <c r="U194" t="inlineStr"/>
    </row>
    <row r="195">
      <c r="A195" t="inlineStr">
        <is>
          <t>동원미카엘어린이집</t>
        </is>
      </c>
      <c r="B195" t="inlineStr">
        <is>
          <t>어린이집</t>
        </is>
      </c>
      <c r="C195" t="inlineStr">
        <is>
          <t>가정</t>
        </is>
      </c>
      <c r="D195" t="inlineStr">
        <is>
          <t>기장군</t>
        </is>
      </c>
      <c r="E195" t="inlineStr">
        <is>
          <t>부산광역시 기장군 정관읍 정관5로 12 동원로얄듀크2차 216동 102호</t>
        </is>
      </c>
      <c r="F195" t="inlineStr"/>
      <c r="G195" t="inlineStr">
        <is>
          <t>051-727-3734</t>
        </is>
      </c>
      <c r="H195" s="15" t="n">
        <v>20</v>
      </c>
      <c r="I195" s="15" t="n">
        <v>2</v>
      </c>
      <c r="J195" s="15" t="n">
        <v>0</v>
      </c>
      <c r="K195" s="15" t="n">
        <v>0</v>
      </c>
      <c r="L195" s="15" t="n">
        <v>0</v>
      </c>
      <c r="M195" s="15" t="n">
        <v>0</v>
      </c>
      <c r="N195" s="15" t="n">
        <v>0</v>
      </c>
      <c r="O195" s="15" t="n">
        <v>3</v>
      </c>
      <c r="P195" s="15" t="n">
        <v>0</v>
      </c>
      <c r="Q195" s="15" t="n">
        <v>0</v>
      </c>
      <c r="R195" s="15" t="n">
        <v>0</v>
      </c>
      <c r="S195" s="15" t="n">
        <v>3</v>
      </c>
      <c r="T195" s="14">
        <f>IF(COUNT(I195:S195)=0,"",SUM(I195:S195))</f>
        <v/>
      </c>
      <c r="U195" t="inlineStr"/>
    </row>
    <row r="196">
      <c r="A196" t="inlineStr">
        <is>
          <t>동원푸른어린이집</t>
        </is>
      </c>
      <c r="B196" t="inlineStr">
        <is>
          <t>어린이집</t>
        </is>
      </c>
      <c r="C196" t="inlineStr">
        <is>
          <t>국공립</t>
        </is>
      </c>
      <c r="D196" t="inlineStr">
        <is>
          <t>기장군</t>
        </is>
      </c>
      <c r="E196" t="inlineStr">
        <is>
          <t>부산광역시 기장군 정관읍 정관5로 12 213동 102호</t>
        </is>
      </c>
      <c r="F196" t="inlineStr"/>
      <c r="G196" t="inlineStr">
        <is>
          <t>051-727-9756</t>
        </is>
      </c>
      <c r="H196" s="15" t="n">
        <v>20</v>
      </c>
      <c r="I196" s="15" t="n">
        <v>5</v>
      </c>
      <c r="J196" s="15" t="n">
        <v>8</v>
      </c>
      <c r="K196" s="15" t="n">
        <v>7</v>
      </c>
      <c r="L196" s="15" t="n">
        <v>0</v>
      </c>
      <c r="M196" s="15" t="n">
        <v>0</v>
      </c>
      <c r="N196" s="15" t="n">
        <v>0</v>
      </c>
      <c r="O196" s="15" t="n">
        <v>0</v>
      </c>
      <c r="P196" s="15" t="n">
        <v>0</v>
      </c>
      <c r="Q196" s="15" t="n">
        <v>0</v>
      </c>
      <c r="R196" s="15" t="n">
        <v>0</v>
      </c>
      <c r="S196" s="15" t="n">
        <v>15</v>
      </c>
      <c r="T196" s="14">
        <f>IF(COUNT(I196:S196)=0,"",SUM(I196:S196))</f>
        <v/>
      </c>
      <c r="U196" t="inlineStr"/>
    </row>
    <row r="197">
      <c r="A197" t="inlineStr">
        <is>
          <t>동일3차어린이집</t>
        </is>
      </c>
      <c r="B197" t="inlineStr">
        <is>
          <t>어린이집</t>
        </is>
      </c>
      <c r="C197" t="inlineStr">
        <is>
          <t>민간</t>
        </is>
      </c>
      <c r="D197" t="inlineStr">
        <is>
          <t>기장군</t>
        </is>
      </c>
      <c r="E197" t="inlineStr">
        <is>
          <t>부산광역시 기장군 정관읍 모전1길 9 동일스위트3차 관리동</t>
        </is>
      </c>
      <c r="F197" t="inlineStr"/>
      <c r="G197" t="inlineStr">
        <is>
          <t>051-727-5535</t>
        </is>
      </c>
      <c r="H197" s="15" t="n">
        <v>39</v>
      </c>
      <c r="I197" s="15" t="n">
        <v>7</v>
      </c>
      <c r="J197" s="15" t="n">
        <v>13</v>
      </c>
      <c r="K197" s="15" t="n">
        <v>7</v>
      </c>
      <c r="L197" s="15" t="n">
        <v>8</v>
      </c>
      <c r="M197" s="15" t="n">
        <v>0</v>
      </c>
      <c r="N197" s="15" t="n">
        <v>0</v>
      </c>
      <c r="O197" s="15" t="n">
        <v>0</v>
      </c>
      <c r="P197" s="15" t="n">
        <v>0</v>
      </c>
      <c r="Q197" s="15" t="n">
        <v>0</v>
      </c>
      <c r="R197" s="15" t="n">
        <v>0</v>
      </c>
      <c r="S197" s="15" t="n">
        <v>5</v>
      </c>
      <c r="T197" s="14">
        <f>IF(COUNT(I197:S197)=0,"",SUM(I197:S197))</f>
        <v/>
      </c>
      <c r="U197" t="inlineStr"/>
    </row>
    <row r="198">
      <c r="A198" t="inlineStr">
        <is>
          <t>동일스위트어린이집</t>
        </is>
      </c>
      <c r="B198" t="inlineStr">
        <is>
          <t>어린이집</t>
        </is>
      </c>
      <c r="C198" t="inlineStr">
        <is>
          <t>민간</t>
        </is>
      </c>
      <c r="D198" t="inlineStr">
        <is>
          <t>기장군</t>
        </is>
      </c>
      <c r="E198" t="inlineStr">
        <is>
          <t>부산광역시 기장군 정관읍 정관4로 24 동일스위트1차 관리동</t>
        </is>
      </c>
      <c r="F198" t="inlineStr"/>
      <c r="G198" t="inlineStr">
        <is>
          <t>051-727-5540</t>
        </is>
      </c>
      <c r="H198" s="15" t="n">
        <v>21</v>
      </c>
      <c r="I198" s="15" t="n">
        <v>0</v>
      </c>
      <c r="J198" s="15" t="n">
        <v>4</v>
      </c>
      <c r="K198" s="15" t="n">
        <v>7</v>
      </c>
      <c r="L198" s="15" t="n">
        <v>0</v>
      </c>
      <c r="M198" s="15" t="n">
        <v>0</v>
      </c>
      <c r="N198" s="15" t="n">
        <v>0</v>
      </c>
      <c r="O198" s="15" t="n">
        <v>2</v>
      </c>
      <c r="P198" s="15" t="n">
        <v>0</v>
      </c>
      <c r="Q198" s="15" t="n">
        <v>0</v>
      </c>
      <c r="R198" s="15" t="n">
        <v>0</v>
      </c>
      <c r="S198" s="15" t="n">
        <v>5</v>
      </c>
      <c r="T198" s="14">
        <f>IF(COUNT(I198:S198)=0,"",SUM(I198:S198))</f>
        <v/>
      </c>
      <c r="U198" t="inlineStr"/>
    </row>
    <row r="199">
      <c r="A199" t="inlineStr">
        <is>
          <t>동일천사어린이집</t>
        </is>
      </c>
      <c r="B199" t="inlineStr">
        <is>
          <t>어린이집</t>
        </is>
      </c>
      <c r="C199" t="inlineStr">
        <is>
          <t>민간</t>
        </is>
      </c>
      <c r="D199" t="inlineStr">
        <is>
          <t>기장군</t>
        </is>
      </c>
      <c r="E199" t="inlineStr">
        <is>
          <t>부산광역시 기장군 정관읍 정관3로 23 동일스위트2차 관리동</t>
        </is>
      </c>
      <c r="F199" t="inlineStr"/>
      <c r="G199" t="inlineStr">
        <is>
          <t>051-531-1004</t>
        </is>
      </c>
      <c r="H199" s="15" t="n">
        <v>39</v>
      </c>
      <c r="I199" s="15" t="n">
        <v>5</v>
      </c>
      <c r="J199" s="15" t="n">
        <v>5</v>
      </c>
      <c r="K199" s="15" t="n">
        <v>13</v>
      </c>
      <c r="L199" s="15" t="n">
        <v>0</v>
      </c>
      <c r="M199" s="15" t="n">
        <v>0</v>
      </c>
      <c r="N199" s="15" t="n">
        <v>0</v>
      </c>
      <c r="O199" s="15" t="n">
        <v>2</v>
      </c>
      <c r="P199" s="15" t="n">
        <v>0</v>
      </c>
      <c r="Q199" s="15" t="n">
        <v>0</v>
      </c>
      <c r="R199" s="15" t="n">
        <v>0</v>
      </c>
      <c r="S199" s="15" t="n">
        <v>11</v>
      </c>
      <c r="T199" s="14">
        <f>IF(COUNT(I199:S199)=0,"",SUM(I199:S199))</f>
        <v/>
      </c>
      <c r="U199" t="inlineStr"/>
    </row>
    <row r="200">
      <c r="A200" t="inlineStr">
        <is>
          <t>롯데캐슬2차어린이집</t>
        </is>
      </c>
      <c r="B200" t="inlineStr">
        <is>
          <t>어린이집</t>
        </is>
      </c>
      <c r="C200" t="inlineStr">
        <is>
          <t>가정</t>
        </is>
      </c>
      <c r="D200" t="inlineStr">
        <is>
          <t>기장군</t>
        </is>
      </c>
      <c r="E200" t="inlineStr">
        <is>
          <t>부산광역시 기장군 정관읍 정관3로 51 롯데캐슬2차아파트 206동 102호</t>
        </is>
      </c>
      <c r="F200" t="inlineStr"/>
      <c r="G200" t="inlineStr">
        <is>
          <t>051-992-4252</t>
        </is>
      </c>
      <c r="H200" s="15" t="n">
        <v>20</v>
      </c>
      <c r="I200" s="15" t="n">
        <v>4</v>
      </c>
      <c r="J200" s="15" t="n">
        <v>3</v>
      </c>
      <c r="K200" s="15" t="n">
        <v>5</v>
      </c>
      <c r="L200" s="15" t="n">
        <v>0</v>
      </c>
      <c r="M200" s="15" t="n">
        <v>0</v>
      </c>
      <c r="N200" s="15" t="n">
        <v>0</v>
      </c>
      <c r="O200" s="15" t="n">
        <v>0</v>
      </c>
      <c r="P200" s="15" t="n">
        <v>0</v>
      </c>
      <c r="Q200" s="15" t="n">
        <v>0</v>
      </c>
      <c r="R200" s="15" t="n">
        <v>0</v>
      </c>
      <c r="S200" s="15" t="n">
        <v>5</v>
      </c>
      <c r="T200" s="14">
        <f>IF(COUNT(I200:S200)=0,"",SUM(I200:S200))</f>
        <v/>
      </c>
      <c r="U200" t="inlineStr"/>
    </row>
    <row r="201">
      <c r="A201" t="inlineStr">
        <is>
          <t>롯데캐슬어린이집</t>
        </is>
      </c>
      <c r="B201" t="inlineStr">
        <is>
          <t>어린이집</t>
        </is>
      </c>
      <c r="C201" t="inlineStr">
        <is>
          <t>민간</t>
        </is>
      </c>
      <c r="D201" t="inlineStr">
        <is>
          <t>기장군</t>
        </is>
      </c>
      <c r="E201" t="inlineStr">
        <is>
          <t>부산광역시 기장군 정관읍 정관3로 52 롯데캐슬아파트 관리동</t>
        </is>
      </c>
      <c r="F201" t="inlineStr"/>
      <c r="G201" t="inlineStr">
        <is>
          <t>051-727-3012</t>
        </is>
      </c>
      <c r="H201" s="15" t="n">
        <v>39</v>
      </c>
      <c r="I201" s="15" t="n">
        <v>4</v>
      </c>
      <c r="J201" s="15" t="n">
        <v>13</v>
      </c>
      <c r="K201" s="15" t="n">
        <v>6</v>
      </c>
      <c r="L201" s="15" t="n">
        <v>11</v>
      </c>
      <c r="M201" s="15" t="n">
        <v>0</v>
      </c>
      <c r="N201" s="15" t="n">
        <v>0</v>
      </c>
      <c r="O201" s="15" t="n">
        <v>0</v>
      </c>
      <c r="P201" s="15" t="n">
        <v>0</v>
      </c>
      <c r="Q201" s="15" t="n">
        <v>0</v>
      </c>
      <c r="R201" s="15" t="n">
        <v>0</v>
      </c>
      <c r="S201" s="15" t="n">
        <v>0</v>
      </c>
      <c r="T201" s="14">
        <f>IF(COUNT(I201:S201)=0,"",SUM(I201:S201))</f>
        <v/>
      </c>
      <c r="U201" t="inlineStr"/>
    </row>
    <row r="202">
      <c r="A202" t="inlineStr">
        <is>
          <t>리틀하버드어린이집</t>
        </is>
      </c>
      <c r="B202" t="inlineStr">
        <is>
          <t>어린이집</t>
        </is>
      </c>
      <c r="C202" t="inlineStr">
        <is>
          <t>민간</t>
        </is>
      </c>
      <c r="D202" t="inlineStr">
        <is>
          <t>기장군</t>
        </is>
      </c>
      <c r="E202" t="inlineStr">
        <is>
          <t>부산광역시 기장군 정관읍 용수1길 16-14</t>
        </is>
      </c>
      <c r="F202" s="11" t="inlineStr">
        <is>
          <t>https://www.instagram.com/littleharvard.official/</t>
        </is>
      </c>
      <c r="G202" t="inlineStr">
        <is>
          <t>051-939-0250</t>
        </is>
      </c>
      <c r="H202" s="15" t="n">
        <v>98</v>
      </c>
      <c r="I202" s="15" t="n">
        <v>3</v>
      </c>
      <c r="J202" s="15" t="n">
        <v>5</v>
      </c>
      <c r="K202" s="15" t="n">
        <v>14</v>
      </c>
      <c r="L202" s="15" t="n">
        <v>21</v>
      </c>
      <c r="M202" s="15" t="n">
        <v>13</v>
      </c>
      <c r="N202" s="15" t="n">
        <v>16</v>
      </c>
      <c r="O202" s="15" t="n">
        <v>5</v>
      </c>
      <c r="P202" s="15" t="n">
        <v>0</v>
      </c>
      <c r="Q202" s="15" t="n">
        <v>0</v>
      </c>
      <c r="R202" s="15" t="n">
        <v>0</v>
      </c>
      <c r="S202" s="15" t="n">
        <v>20</v>
      </c>
      <c r="T202" s="14">
        <f>IF(COUNT(I202:S202)=0,"",SUM(I202:S202))</f>
        <v/>
      </c>
      <c r="U202" t="inlineStr"/>
    </row>
    <row r="203">
      <c r="A203" t="inlineStr">
        <is>
          <t>별사탕어린이집</t>
        </is>
      </c>
      <c r="B203" t="inlineStr">
        <is>
          <t>어린이집</t>
        </is>
      </c>
      <c r="C203" t="inlineStr">
        <is>
          <t>가정</t>
        </is>
      </c>
      <c r="D203" t="inlineStr">
        <is>
          <t>기장군</t>
        </is>
      </c>
      <c r="E203" t="inlineStr">
        <is>
          <t>부산광역시 기장군 기장읍 차성로 461 101동 101호</t>
        </is>
      </c>
      <c r="F203" t="inlineStr"/>
      <c r="G203" t="inlineStr">
        <is>
          <t>051-724-1012</t>
        </is>
      </c>
      <c r="H203" s="15" t="n">
        <v>20</v>
      </c>
      <c r="I203" s="15" t="n">
        <v>4</v>
      </c>
      <c r="J203" s="15" t="n">
        <v>5</v>
      </c>
      <c r="K203" s="15" t="n">
        <v>7</v>
      </c>
      <c r="L203" s="15" t="n">
        <v>0</v>
      </c>
      <c r="M203" s="15" t="n">
        <v>0</v>
      </c>
      <c r="N203" s="15" t="n">
        <v>0</v>
      </c>
      <c r="O203" s="15" t="n">
        <v>0</v>
      </c>
      <c r="P203" s="15" t="n">
        <v>0</v>
      </c>
      <c r="Q203" s="15" t="n">
        <v>0</v>
      </c>
      <c r="R203" s="15" t="n">
        <v>0</v>
      </c>
      <c r="S203" s="15" t="n">
        <v>6</v>
      </c>
      <c r="T203" s="14">
        <f>IF(COUNT(I203:S203)=0,"",SUM(I203:S203))</f>
        <v/>
      </c>
      <c r="U203" t="inlineStr"/>
    </row>
    <row r="204">
      <c r="A204" t="inlineStr">
        <is>
          <t>보금자리어린이집</t>
        </is>
      </c>
      <c r="B204" t="inlineStr">
        <is>
          <t>어린이집</t>
        </is>
      </c>
      <c r="C204" t="inlineStr">
        <is>
          <t>민간</t>
        </is>
      </c>
      <c r="D204" t="inlineStr">
        <is>
          <t>기장군</t>
        </is>
      </c>
      <c r="E204" t="inlineStr">
        <is>
          <t>부산광역시 기장군 정관읍 방곡로 29 이지더원 5차 관리동</t>
        </is>
      </c>
      <c r="F204" t="inlineStr"/>
      <c r="G204" t="inlineStr">
        <is>
          <t>051-727-8117</t>
        </is>
      </c>
      <c r="H204" s="15" t="n">
        <v>21</v>
      </c>
      <c r="I204" s="15" t="n">
        <v>2</v>
      </c>
      <c r="J204" s="15" t="n">
        <v>0</v>
      </c>
      <c r="K204" s="15" t="n">
        <v>5</v>
      </c>
      <c r="L204" s="15" t="n">
        <v>0</v>
      </c>
      <c r="M204" s="15" t="n">
        <v>0</v>
      </c>
      <c r="N204" s="15" t="n">
        <v>0</v>
      </c>
      <c r="O204" s="15" t="n">
        <v>3</v>
      </c>
      <c r="P204" s="15" t="n">
        <v>0</v>
      </c>
      <c r="Q204" s="15" t="n">
        <v>0</v>
      </c>
      <c r="R204" s="15" t="n">
        <v>0</v>
      </c>
      <c r="S204" s="15" t="n">
        <v>5</v>
      </c>
      <c r="T204" s="14">
        <f>IF(COUNT(I204:S204)=0,"",SUM(I204:S204))</f>
        <v/>
      </c>
      <c r="U204" t="inlineStr"/>
    </row>
    <row r="205">
      <c r="A205" t="inlineStr">
        <is>
          <t>부산정관산업단지 공동직장 어린이집</t>
        </is>
      </c>
      <c r="B205" t="inlineStr">
        <is>
          <t>어린이집</t>
        </is>
      </c>
      <c r="C205" t="inlineStr">
        <is>
          <t>직장</t>
        </is>
      </c>
      <c r="D205" t="inlineStr">
        <is>
          <t>기장군</t>
        </is>
      </c>
      <c r="E205" t="inlineStr">
        <is>
          <t>부산광역시 기장군 정관읍 산단로 363</t>
        </is>
      </c>
      <c r="F205" t="inlineStr"/>
      <c r="G205" t="inlineStr">
        <is>
          <t>051-710-0062</t>
        </is>
      </c>
      <c r="H205" s="15" t="n">
        <v>70</v>
      </c>
      <c r="I205" s="15" t="n">
        <v>1</v>
      </c>
      <c r="J205" s="15" t="n">
        <v>0</v>
      </c>
      <c r="K205" s="15" t="n">
        <v>0</v>
      </c>
      <c r="L205" s="15" t="n">
        <v>10</v>
      </c>
      <c r="M205" s="15" t="n">
        <v>9</v>
      </c>
      <c r="N205" s="15" t="n">
        <v>11</v>
      </c>
      <c r="O205" s="15" t="n">
        <v>16</v>
      </c>
      <c r="P205" s="15" t="n">
        <v>0</v>
      </c>
      <c r="Q205" s="15" t="n">
        <v>0</v>
      </c>
      <c r="R205" s="15" t="n">
        <v>0</v>
      </c>
      <c r="S205" s="15" t="n">
        <v>23</v>
      </c>
      <c r="T205" s="14">
        <f>IF(COUNT(I205:S205)=0,"",SUM(I205:S205))</f>
        <v/>
      </c>
      <c r="U205" t="inlineStr"/>
    </row>
    <row r="206">
      <c r="A206" t="inlineStr">
        <is>
          <t>사랑가득어린이집</t>
        </is>
      </c>
      <c r="B206" t="inlineStr">
        <is>
          <t>어린이집</t>
        </is>
      </c>
      <c r="C206" t="inlineStr">
        <is>
          <t>민간</t>
        </is>
      </c>
      <c r="D206" t="inlineStr">
        <is>
          <t>기장군</t>
        </is>
      </c>
      <c r="E206" t="inlineStr">
        <is>
          <t>부산광역시 기장군 기장읍 차성동로31번길 6</t>
        </is>
      </c>
      <c r="F206" s="11" t="inlineStr">
        <is>
          <t>http://threefairy@naver.com</t>
        </is>
      </c>
      <c r="G206" t="inlineStr">
        <is>
          <t>051-721-0304</t>
        </is>
      </c>
      <c r="H206" s="15" t="n">
        <v>39</v>
      </c>
      <c r="I206" s="15" t="n">
        <v>6</v>
      </c>
      <c r="J206" s="15" t="n">
        <v>0</v>
      </c>
      <c r="K206" s="15" t="n">
        <v>7</v>
      </c>
      <c r="L206" s="15" t="n">
        <v>0</v>
      </c>
      <c r="M206" s="15" t="n">
        <v>0</v>
      </c>
      <c r="N206" s="15" t="n">
        <v>0</v>
      </c>
      <c r="O206" s="15" t="n">
        <v>4</v>
      </c>
      <c r="P206" s="15" t="n">
        <v>8</v>
      </c>
      <c r="Q206" s="15" t="n">
        <v>0</v>
      </c>
      <c r="R206" s="15" t="n">
        <v>0</v>
      </c>
      <c r="S206" s="15" t="n">
        <v>10</v>
      </c>
      <c r="T206" s="14">
        <f>IF(COUNT(I206:S206)=0,"",SUM(I206:S206))</f>
        <v/>
      </c>
      <c r="U206" t="inlineStr"/>
    </row>
    <row r="207">
      <c r="A207" t="inlineStr">
        <is>
          <t>사랑둥이어린이집</t>
        </is>
      </c>
      <c r="B207" t="inlineStr">
        <is>
          <t>어린이집</t>
        </is>
      </c>
      <c r="C207" t="inlineStr">
        <is>
          <t>국공립</t>
        </is>
      </c>
      <c r="D207" t="inlineStr">
        <is>
          <t>기장군</t>
        </is>
      </c>
      <c r="E207" t="inlineStr">
        <is>
          <t>부산광역시 기장군 기장읍 차성로 461 103-101(이진캐스빌블루1차)</t>
        </is>
      </c>
      <c r="F207" t="inlineStr"/>
      <c r="G207" t="inlineStr">
        <is>
          <t>051-721-9985</t>
        </is>
      </c>
      <c r="H207" s="15" t="n">
        <v>20</v>
      </c>
      <c r="I207" s="15" t="n">
        <v>5</v>
      </c>
      <c r="J207" s="15" t="n">
        <v>6</v>
      </c>
      <c r="K207" s="15" t="n">
        <v>6</v>
      </c>
      <c r="L207" s="15" t="n">
        <v>0</v>
      </c>
      <c r="M207" s="15" t="n">
        <v>0</v>
      </c>
      <c r="N207" s="15" t="n">
        <v>0</v>
      </c>
      <c r="O207" s="15" t="n">
        <v>0</v>
      </c>
      <c r="P207" s="15" t="n">
        <v>0</v>
      </c>
      <c r="Q207" s="15" t="n">
        <v>0</v>
      </c>
      <c r="R207" s="15" t="n">
        <v>0</v>
      </c>
      <c r="S207" s="15" t="n">
        <v>6</v>
      </c>
      <c r="T207" s="14">
        <f>IF(COUNT(I207:S207)=0,"",SUM(I207:S207))</f>
        <v/>
      </c>
      <c r="U207" t="inlineStr"/>
    </row>
    <row r="208">
      <c r="A208" t="inlineStr">
        <is>
          <t>사랑샘어린이집</t>
        </is>
      </c>
      <c r="B208" t="inlineStr">
        <is>
          <t>어린이집</t>
        </is>
      </c>
      <c r="C208" t="inlineStr">
        <is>
          <t>가정</t>
        </is>
      </c>
      <c r="D208" t="inlineStr">
        <is>
          <t>기장군</t>
        </is>
      </c>
      <c r="E208" t="inlineStr">
        <is>
          <t>부산광역시 기장군 정관읍 정관로 513 105동 101호</t>
        </is>
      </c>
      <c r="F208" t="inlineStr"/>
      <c r="G208" t="inlineStr">
        <is>
          <t>051-728-4515</t>
        </is>
      </c>
      <c r="H208" s="15" t="n">
        <v>20</v>
      </c>
      <c r="I208" s="15" t="n">
        <v>0</v>
      </c>
      <c r="J208" s="15" t="n">
        <v>0</v>
      </c>
      <c r="K208" s="15" t="n">
        <v>4</v>
      </c>
      <c r="L208" s="15" t="n">
        <v>0</v>
      </c>
      <c r="M208" s="15" t="n">
        <v>0</v>
      </c>
      <c r="N208" s="15" t="n">
        <v>0</v>
      </c>
      <c r="O208" s="15" t="n">
        <v>0</v>
      </c>
      <c r="P208" s="15" t="n">
        <v>0</v>
      </c>
      <c r="Q208" s="15" t="n">
        <v>0</v>
      </c>
      <c r="R208" s="15" t="n">
        <v>0</v>
      </c>
      <c r="S208" s="15" t="n">
        <v>2</v>
      </c>
      <c r="T208" s="14">
        <f>IF(COUNT(I208:S208)=0,"",SUM(I208:S208))</f>
        <v/>
      </c>
      <c r="U208" t="inlineStr"/>
    </row>
    <row r="209">
      <c r="A209" t="inlineStr">
        <is>
          <t>산새들어린이집</t>
        </is>
      </c>
      <c r="B209" t="inlineStr">
        <is>
          <t>어린이집</t>
        </is>
      </c>
      <c r="C209" t="inlineStr">
        <is>
          <t>민간</t>
        </is>
      </c>
      <c r="D209" t="inlineStr">
        <is>
          <t>기장군</t>
        </is>
      </c>
      <c r="E209" t="inlineStr">
        <is>
          <t>부산광역시 기장군 정관읍 방곡3로 11 관리동 (서희스타힐스)</t>
        </is>
      </c>
      <c r="F209" t="inlineStr"/>
      <c r="G209" t="inlineStr">
        <is>
          <t>051-728-0809</t>
        </is>
      </c>
      <c r="H209" s="15" t="n">
        <v>21</v>
      </c>
      <c r="I209" s="15" t="n">
        <v>2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5</v>
      </c>
      <c r="P209" s="15" t="n">
        <v>0</v>
      </c>
      <c r="Q209" s="15" t="n">
        <v>0</v>
      </c>
      <c r="R209" s="15" t="n">
        <v>0</v>
      </c>
      <c r="S209" s="15" t="n">
        <v>3</v>
      </c>
      <c r="T209" s="14">
        <f>IF(COUNT(I209:S209)=0,"",SUM(I209:S209))</f>
        <v/>
      </c>
      <c r="U209" t="inlineStr"/>
    </row>
    <row r="210">
      <c r="A210" t="inlineStr">
        <is>
          <t>삼동어린이집</t>
        </is>
      </c>
      <c r="B210" t="inlineStr">
        <is>
          <t>어린이집</t>
        </is>
      </c>
      <c r="C210" t="inlineStr">
        <is>
          <t>국공립</t>
        </is>
      </c>
      <c r="D210" t="inlineStr">
        <is>
          <t>기장군</t>
        </is>
      </c>
      <c r="E210" t="inlineStr">
        <is>
          <t>부산광역시 기장군 철마면 철마삼동로 80</t>
        </is>
      </c>
      <c r="F210" s="11" t="inlineStr">
        <is>
          <t>https://blog.naver.com/samdong5085233</t>
        </is>
      </c>
      <c r="G210" t="inlineStr">
        <is>
          <t>051-508-5233</t>
        </is>
      </c>
      <c r="H210" s="15" t="n">
        <v>55</v>
      </c>
      <c r="I210" s="15" t="n">
        <v>5</v>
      </c>
      <c r="J210" s="15" t="n">
        <v>12</v>
      </c>
      <c r="K210" s="15" t="n">
        <v>12</v>
      </c>
      <c r="L210" s="15" t="n">
        <v>5</v>
      </c>
      <c r="M210" s="15" t="n">
        <v>0</v>
      </c>
      <c r="N210" s="15" t="n">
        <v>0</v>
      </c>
      <c r="O210" s="15" t="n">
        <v>2</v>
      </c>
      <c r="P210" s="15" t="n">
        <v>0</v>
      </c>
      <c r="Q210" s="15" t="n">
        <v>0</v>
      </c>
      <c r="R210" s="15" t="n">
        <v>0</v>
      </c>
      <c r="S210" s="15" t="n">
        <v>9</v>
      </c>
      <c r="T210" s="14">
        <f>IF(COUNT(I210:S210)=0,"",SUM(I210:S210))</f>
        <v/>
      </c>
      <c r="U210" t="inlineStr"/>
    </row>
    <row r="211">
      <c r="A211" t="inlineStr">
        <is>
          <t>새봄어린이집</t>
        </is>
      </c>
      <c r="B211" t="inlineStr">
        <is>
          <t>어린이집</t>
        </is>
      </c>
      <c r="C211" t="inlineStr">
        <is>
          <t>가정</t>
        </is>
      </c>
      <c r="D211" t="inlineStr">
        <is>
          <t>기장군</t>
        </is>
      </c>
      <c r="E211" t="inlineStr">
        <is>
          <t>부산광역시 기장군 정관읍 모전1길 9 동일스위트3차 310동 103호</t>
        </is>
      </c>
      <c r="F211" t="inlineStr"/>
      <c r="G211" t="inlineStr">
        <is>
          <t>051-991-1007</t>
        </is>
      </c>
      <c r="H211" s="15" t="n">
        <v>20</v>
      </c>
      <c r="I211" s="15" t="n">
        <v>4</v>
      </c>
      <c r="J211" s="15" t="n">
        <v>5</v>
      </c>
      <c r="K211" s="15" t="n">
        <v>6</v>
      </c>
      <c r="L211" s="15" t="n">
        <v>0</v>
      </c>
      <c r="M211" s="15" t="n">
        <v>0</v>
      </c>
      <c r="N211" s="15" t="n">
        <v>0</v>
      </c>
      <c r="O211" s="15" t="n">
        <v>0</v>
      </c>
      <c r="P211" s="15" t="n">
        <v>0</v>
      </c>
      <c r="Q211" s="15" t="n">
        <v>0</v>
      </c>
      <c r="R211" s="15" t="n">
        <v>0</v>
      </c>
      <c r="S211" s="15" t="n">
        <v>13</v>
      </c>
      <c r="T211" s="14">
        <f>IF(COUNT(I211:S211)=0,"",SUM(I211:S211))</f>
        <v/>
      </c>
      <c r="U211" t="inlineStr"/>
    </row>
    <row r="212">
      <c r="A212" t="inlineStr">
        <is>
          <t>새싹어린이집</t>
        </is>
      </c>
      <c r="B212" t="inlineStr">
        <is>
          <t>어린이집</t>
        </is>
      </c>
      <c r="C212" t="inlineStr">
        <is>
          <t>가정</t>
        </is>
      </c>
      <c r="D212" t="inlineStr">
        <is>
          <t>기장군</t>
        </is>
      </c>
      <c r="E212" t="inlineStr">
        <is>
          <t>부산광역시 기장군 기장읍 차성서로 51 이진캐스빌 101-102</t>
        </is>
      </c>
      <c r="F212" t="inlineStr"/>
      <c r="G212" t="inlineStr">
        <is>
          <t>051-722-3515</t>
        </is>
      </c>
      <c r="H212" s="15" t="n">
        <v>18</v>
      </c>
      <c r="I212" s="15" t="n">
        <v>2</v>
      </c>
      <c r="J212" s="15" t="n">
        <v>7</v>
      </c>
      <c r="K212" s="15" t="n">
        <v>4</v>
      </c>
      <c r="L212" s="15" t="n">
        <v>0</v>
      </c>
      <c r="M212" s="15" t="n">
        <v>0</v>
      </c>
      <c r="N212" s="15" t="n">
        <v>0</v>
      </c>
      <c r="O212" s="15" t="n">
        <v>2</v>
      </c>
      <c r="P212" s="15" t="n">
        <v>0</v>
      </c>
      <c r="Q212" s="15" t="n">
        <v>0</v>
      </c>
      <c r="R212" s="15" t="n">
        <v>0</v>
      </c>
      <c r="S212" s="15" t="n">
        <v>8</v>
      </c>
      <c r="T212" s="14">
        <f>IF(COUNT(I212:S212)=0,"",SUM(I212:S212))</f>
        <v/>
      </c>
      <c r="U212" t="inlineStr"/>
    </row>
    <row r="213">
      <c r="A213" t="inlineStr">
        <is>
          <t>센트럴어린이집</t>
        </is>
      </c>
      <c r="B213" t="inlineStr">
        <is>
          <t>어린이집</t>
        </is>
      </c>
      <c r="C213" t="inlineStr">
        <is>
          <t>민간</t>
        </is>
      </c>
      <c r="D213" t="inlineStr">
        <is>
          <t>기장군</t>
        </is>
      </c>
      <c r="E213" t="inlineStr">
        <is>
          <t>부산광역시 기장군 정관읍 구연방곡로 10 정관센트럴파크 관리동</t>
        </is>
      </c>
      <c r="F213" s="11" t="inlineStr">
        <is>
          <t>http://chjs0659 @hanmail.net</t>
        </is>
      </c>
      <c r="G213" t="inlineStr">
        <is>
          <t>051-728-1359</t>
        </is>
      </c>
      <c r="H213" s="15" t="n">
        <v>25</v>
      </c>
      <c r="I213" s="15" t="n">
        <v>3</v>
      </c>
      <c r="J213" s="15" t="n">
        <v>5</v>
      </c>
      <c r="K213" s="15" t="n">
        <v>7</v>
      </c>
      <c r="L213" s="15" t="n">
        <v>0</v>
      </c>
      <c r="M213" s="15" t="n">
        <v>0</v>
      </c>
      <c r="N213" s="15" t="n">
        <v>0</v>
      </c>
      <c r="O213" s="15" t="n">
        <v>0</v>
      </c>
      <c r="P213" s="15" t="n">
        <v>0</v>
      </c>
      <c r="Q213" s="15" t="n">
        <v>0</v>
      </c>
      <c r="R213" s="15" t="n">
        <v>0</v>
      </c>
      <c r="S213" s="15" t="n">
        <v>7</v>
      </c>
      <c r="T213" s="14">
        <f>IF(COUNT(I213:S213)=0,"",SUM(I213:S213))</f>
        <v/>
      </c>
      <c r="U213" t="inlineStr"/>
    </row>
    <row r="214">
      <c r="A214" t="inlineStr">
        <is>
          <t>소망어린이집</t>
        </is>
      </c>
      <c r="B214" t="inlineStr">
        <is>
          <t>어린이집</t>
        </is>
      </c>
      <c r="C214" t="inlineStr">
        <is>
          <t>민간</t>
        </is>
      </c>
      <c r="D214" t="inlineStr">
        <is>
          <t>기장군</t>
        </is>
      </c>
      <c r="E214" t="inlineStr">
        <is>
          <t>부산광역시 기장군 기장읍 배산로 60</t>
        </is>
      </c>
      <c r="F214" s="11" t="inlineStr">
        <is>
          <t>https://blog.naver.com/somang724</t>
        </is>
      </c>
      <c r="G214" t="inlineStr">
        <is>
          <t>051-724-1615</t>
        </is>
      </c>
      <c r="H214" s="15" t="n">
        <v>21</v>
      </c>
      <c r="I214" s="15" t="n">
        <v>0</v>
      </c>
      <c r="J214" s="15" t="n">
        <v>0</v>
      </c>
      <c r="K214" s="15" t="n">
        <v>0</v>
      </c>
      <c r="L214" s="15" t="n">
        <v>0</v>
      </c>
      <c r="M214" s="15" t="n">
        <v>0</v>
      </c>
      <c r="N214" s="15" t="n">
        <v>0</v>
      </c>
      <c r="O214" s="15" t="n">
        <v>0</v>
      </c>
      <c r="P214" s="15" t="n">
        <v>0</v>
      </c>
      <c r="Q214" s="15" t="n">
        <v>0</v>
      </c>
      <c r="R214" s="15" t="n">
        <v>20</v>
      </c>
      <c r="S214" s="15" t="n">
        <v>0</v>
      </c>
      <c r="T214" s="14">
        <f>IF(COUNT(I214:S214)=0,"",SUM(I214:S214))</f>
        <v/>
      </c>
      <c r="U214" t="inlineStr"/>
    </row>
    <row r="215">
      <c r="A215" t="inlineStr">
        <is>
          <t>숲속나라어린이집</t>
        </is>
      </c>
      <c r="B215" t="inlineStr">
        <is>
          <t>어린이집</t>
        </is>
      </c>
      <c r="C215" t="inlineStr">
        <is>
          <t>민간</t>
        </is>
      </c>
      <c r="D215" t="inlineStr">
        <is>
          <t>기장군</t>
        </is>
      </c>
      <c r="E215" t="inlineStr">
        <is>
          <t>부산광역시 기장군 정관읍 산막길 46-29</t>
        </is>
      </c>
      <c r="F215" s="11" t="inlineStr">
        <is>
          <t>https://m.blog.naver.com/forestlandkids</t>
        </is>
      </c>
      <c r="G215" t="inlineStr">
        <is>
          <t>051-728-2822</t>
        </is>
      </c>
      <c r="H215" s="15" t="n">
        <v>138</v>
      </c>
      <c r="I215" s="15" t="n">
        <v>0</v>
      </c>
      <c r="J215" s="15" t="n">
        <v>10</v>
      </c>
      <c r="K215" s="15" t="n">
        <v>24</v>
      </c>
      <c r="L215" s="15" t="n">
        <v>8</v>
      </c>
      <c r="M215" s="15" t="n">
        <v>0</v>
      </c>
      <c r="N215" s="15" t="n">
        <v>0</v>
      </c>
      <c r="O215" s="15" t="n">
        <v>5</v>
      </c>
      <c r="P215" s="15" t="n">
        <v>0</v>
      </c>
      <c r="Q215" s="15" t="n">
        <v>0</v>
      </c>
      <c r="R215" s="15" t="n">
        <v>0</v>
      </c>
      <c r="S215" s="15" t="n">
        <v>10</v>
      </c>
      <c r="T215" s="14">
        <f>IF(COUNT(I215:S215)=0,"",SUM(I215:S215))</f>
        <v/>
      </c>
      <c r="U215" t="inlineStr"/>
    </row>
    <row r="216">
      <c r="A216" t="inlineStr">
        <is>
          <t>신동아어린이집</t>
        </is>
      </c>
      <c r="B216" t="inlineStr">
        <is>
          <t>어린이집</t>
        </is>
      </c>
      <c r="C216" t="inlineStr">
        <is>
          <t>민간</t>
        </is>
      </c>
      <c r="D216" t="inlineStr">
        <is>
          <t>기장군</t>
        </is>
      </c>
      <c r="E216" t="inlineStr">
        <is>
          <t>부산광역시 기장군 정관읍 정관5로 75 신동아파밀리에아파트 관리동</t>
        </is>
      </c>
      <c r="F216" t="inlineStr"/>
      <c r="G216" t="inlineStr">
        <is>
          <t>051-722-4822</t>
        </is>
      </c>
      <c r="H216" s="15" t="n">
        <v>21</v>
      </c>
      <c r="I216" s="15" t="n">
        <v>0</v>
      </c>
      <c r="J216" s="15" t="n">
        <v>0</v>
      </c>
      <c r="K216" s="15" t="n">
        <v>0</v>
      </c>
      <c r="L216" s="15" t="n">
        <v>6</v>
      </c>
      <c r="M216" s="15" t="n">
        <v>0</v>
      </c>
      <c r="N216" s="15" t="n">
        <v>0</v>
      </c>
      <c r="O216" s="15" t="n">
        <v>2</v>
      </c>
      <c r="P216" s="15" t="n">
        <v>0</v>
      </c>
      <c r="Q216" s="15" t="n">
        <v>0</v>
      </c>
      <c r="R216" s="15" t="n">
        <v>0</v>
      </c>
      <c r="S216" s="15" t="n">
        <v>7</v>
      </c>
      <c r="T216" s="14">
        <f>IF(COUNT(I216:S216)=0,"",SUM(I216:S216))</f>
        <v/>
      </c>
      <c r="U216" t="inlineStr"/>
    </row>
    <row r="217">
      <c r="A217" t="inlineStr">
        <is>
          <t>아가피아어린이집</t>
        </is>
      </c>
      <c r="B217" t="inlineStr">
        <is>
          <t>어린이집</t>
        </is>
      </c>
      <c r="C217" t="inlineStr">
        <is>
          <t>가정</t>
        </is>
      </c>
      <c r="D217" t="inlineStr">
        <is>
          <t>기장군</t>
        </is>
      </c>
      <c r="E217" t="inlineStr">
        <is>
          <t>부산광역시 기장군 기장읍 차성로344번길 13 103동 104호</t>
        </is>
      </c>
      <c r="F217" t="inlineStr"/>
      <c r="G217" t="inlineStr">
        <is>
          <t>051-723-0826</t>
        </is>
      </c>
      <c r="H217" s="15" t="n">
        <v>20</v>
      </c>
      <c r="I217" s="15" t="n">
        <v>5</v>
      </c>
      <c r="J217" s="15" t="n">
        <v>5</v>
      </c>
      <c r="K217" s="15" t="n">
        <v>0</v>
      </c>
      <c r="L217" s="15" t="n">
        <v>0</v>
      </c>
      <c r="M217" s="15" t="n">
        <v>0</v>
      </c>
      <c r="N217" s="15" t="n">
        <v>0</v>
      </c>
      <c r="O217" s="15" t="n">
        <v>4</v>
      </c>
      <c r="P217" s="15" t="n">
        <v>0</v>
      </c>
      <c r="Q217" s="15" t="n">
        <v>0</v>
      </c>
      <c r="R217" s="15" t="n">
        <v>0</v>
      </c>
      <c r="S217" s="15" t="n">
        <v>3</v>
      </c>
      <c r="T217" s="14">
        <f>IF(COUNT(I217:S217)=0,"",SUM(I217:S217))</f>
        <v/>
      </c>
      <c r="U217" t="inlineStr"/>
    </row>
    <row r="218">
      <c r="A218" t="inlineStr">
        <is>
          <t>아기산새소리어린이집</t>
        </is>
      </c>
      <c r="B218" t="inlineStr">
        <is>
          <t>어린이집</t>
        </is>
      </c>
      <c r="C218" t="inlineStr">
        <is>
          <t>민간</t>
        </is>
      </c>
      <c r="D218" t="inlineStr">
        <is>
          <t>기장군</t>
        </is>
      </c>
      <c r="E218" t="inlineStr">
        <is>
          <t>부산광역시 기장군 기장읍 차성남로 1-4</t>
        </is>
      </c>
      <c r="F218" t="inlineStr"/>
      <c r="G218" t="inlineStr">
        <is>
          <t>051-721-2682</t>
        </is>
      </c>
      <c r="H218" s="15" t="n">
        <v>37</v>
      </c>
      <c r="I218" s="15" t="n">
        <v>0</v>
      </c>
      <c r="J218" s="15" t="n">
        <v>5</v>
      </c>
      <c r="K218" s="15" t="n">
        <v>8</v>
      </c>
      <c r="L218" s="15" t="n">
        <v>0</v>
      </c>
      <c r="M218" s="15" t="n">
        <v>0</v>
      </c>
      <c r="N218" s="15" t="n">
        <v>0</v>
      </c>
      <c r="O218" s="15" t="n">
        <v>2</v>
      </c>
      <c r="P218" s="15" t="n">
        <v>0</v>
      </c>
      <c r="Q218" s="15" t="n">
        <v>0</v>
      </c>
      <c r="R218" s="15" t="n">
        <v>0</v>
      </c>
      <c r="S218" s="15" t="n">
        <v>3</v>
      </c>
      <c r="T218" s="14">
        <f>IF(COUNT(I218:S218)=0,"",SUM(I218:S218))</f>
        <v/>
      </c>
      <c r="U218" t="inlineStr"/>
    </row>
    <row r="219">
      <c r="A219" t="inlineStr">
        <is>
          <t>아이그루어린이집</t>
        </is>
      </c>
      <c r="B219" t="inlineStr">
        <is>
          <t>어린이집</t>
        </is>
      </c>
      <c r="C219" t="inlineStr">
        <is>
          <t>민간</t>
        </is>
      </c>
      <c r="D219" t="inlineStr">
        <is>
          <t>기장군</t>
        </is>
      </c>
      <c r="E219" t="inlineStr">
        <is>
          <t>부산광역시 기장군 철마면 고촌로 11 고촌LH2차아파트 관리동</t>
        </is>
      </c>
      <c r="F219" t="inlineStr"/>
      <c r="G219" t="inlineStr">
        <is>
          <t>051-724-1838</t>
        </is>
      </c>
      <c r="H219" s="15" t="n">
        <v>25</v>
      </c>
      <c r="I219" s="15" t="n">
        <v>2</v>
      </c>
      <c r="J219" s="15" t="n">
        <v>0</v>
      </c>
      <c r="K219" s="15" t="n">
        <v>0</v>
      </c>
      <c r="L219" s="15" t="n">
        <v>0</v>
      </c>
      <c r="M219" s="15" t="n">
        <v>0</v>
      </c>
      <c r="N219" s="15" t="n">
        <v>0</v>
      </c>
      <c r="O219" s="15" t="n">
        <v>7</v>
      </c>
      <c r="P219" s="15" t="n">
        <v>7</v>
      </c>
      <c r="Q219" s="15" t="n">
        <v>0</v>
      </c>
      <c r="R219" s="15" t="n">
        <v>0</v>
      </c>
      <c r="S219" s="15" t="n">
        <v>12</v>
      </c>
      <c r="T219" s="14">
        <f>IF(COUNT(I219:S219)=0,"",SUM(I219:S219))</f>
        <v/>
      </c>
      <c r="U219" t="inlineStr"/>
    </row>
    <row r="220">
      <c r="A220" t="inlineStr">
        <is>
          <t>아이뜰어린이집</t>
        </is>
      </c>
      <c r="B220" t="inlineStr">
        <is>
          <t>어린이집</t>
        </is>
      </c>
      <c r="C220" t="inlineStr">
        <is>
          <t>가정</t>
        </is>
      </c>
      <c r="D220" t="inlineStr">
        <is>
          <t>기장군</t>
        </is>
      </c>
      <c r="E220" t="inlineStr">
        <is>
          <t>부산광역시 기장군 정관읍 모전1길 9 동일스위트3차 306동 103호</t>
        </is>
      </c>
      <c r="F220" t="inlineStr"/>
      <c r="G220" t="inlineStr">
        <is>
          <t>051-900-7333</t>
        </is>
      </c>
      <c r="H220" s="15" t="n">
        <v>20</v>
      </c>
      <c r="I220" s="15" t="n">
        <v>1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0</v>
      </c>
      <c r="O220" s="15" t="n">
        <v>3</v>
      </c>
      <c r="P220" s="15" t="n">
        <v>0</v>
      </c>
      <c r="Q220" s="15" t="n">
        <v>0</v>
      </c>
      <c r="R220" s="15" t="n">
        <v>0</v>
      </c>
      <c r="S220" s="15" t="n">
        <v>3</v>
      </c>
      <c r="T220" s="14">
        <f>IF(COUNT(I220:S220)=0,"",SUM(I220:S220))</f>
        <v/>
      </c>
      <c r="U220" t="inlineStr"/>
    </row>
    <row r="221">
      <c r="A221" t="inlineStr">
        <is>
          <t>아이세상어린이집</t>
        </is>
      </c>
      <c r="B221" t="inlineStr">
        <is>
          <t>어린이집</t>
        </is>
      </c>
      <c r="C221" t="inlineStr">
        <is>
          <t>민간</t>
        </is>
      </c>
      <c r="D221" t="inlineStr">
        <is>
          <t>기장군</t>
        </is>
      </c>
      <c r="E221" t="inlineStr">
        <is>
          <t>부산광역시 기장군 정관읍 정관2로 40 현진에버빌 관리동</t>
        </is>
      </c>
      <c r="F221" t="inlineStr"/>
      <c r="G221" t="inlineStr">
        <is>
          <t>051-727-0381</t>
        </is>
      </c>
      <c r="H221" s="15" t="n">
        <v>39</v>
      </c>
      <c r="I221" s="15" t="n">
        <v>0</v>
      </c>
      <c r="J221" s="15" t="n">
        <v>0</v>
      </c>
      <c r="K221" s="15" t="n">
        <v>0</v>
      </c>
      <c r="L221" s="15" t="n">
        <v>0</v>
      </c>
      <c r="M221" s="15" t="n">
        <v>0</v>
      </c>
      <c r="N221" s="15" t="n">
        <v>0</v>
      </c>
      <c r="O221" s="15" t="n">
        <v>1</v>
      </c>
      <c r="P221" s="15" t="n">
        <v>0</v>
      </c>
      <c r="Q221" s="15" t="n">
        <v>0</v>
      </c>
      <c r="R221" s="15" t="n">
        <v>7</v>
      </c>
      <c r="S221" s="15" t="n">
        <v>6</v>
      </c>
      <c r="T221" s="14">
        <f>IF(COUNT(I221:S221)=0,"",SUM(I221:S221))</f>
        <v/>
      </c>
      <c r="U221" t="inlineStr"/>
    </row>
    <row r="222">
      <c r="A222" t="inlineStr">
        <is>
          <t>아이조아어린이집</t>
        </is>
      </c>
      <c r="B222" t="inlineStr">
        <is>
          <t>어린이집</t>
        </is>
      </c>
      <c r="C222" t="inlineStr">
        <is>
          <t>가정</t>
        </is>
      </c>
      <c r="D222" t="inlineStr">
        <is>
          <t>기장군</t>
        </is>
      </c>
      <c r="E222" t="inlineStr">
        <is>
          <t>부산광역시 기장군 정관읍 정관3로 23 동일스위트2차 214-104</t>
        </is>
      </c>
      <c r="F222" t="inlineStr"/>
      <c r="G222" t="inlineStr">
        <is>
          <t>051-723-9911</t>
        </is>
      </c>
      <c r="H222" s="15" t="n">
        <v>20</v>
      </c>
      <c r="I222" s="15" t="n">
        <v>2</v>
      </c>
      <c r="J222" s="15" t="n">
        <v>0</v>
      </c>
      <c r="K222" s="15" t="n">
        <v>0</v>
      </c>
      <c r="L222" s="15" t="n">
        <v>0</v>
      </c>
      <c r="M222" s="15" t="n">
        <v>0</v>
      </c>
      <c r="N222" s="15" t="n">
        <v>0</v>
      </c>
      <c r="O222" s="15" t="n">
        <v>3</v>
      </c>
      <c r="P222" s="15" t="n">
        <v>0</v>
      </c>
      <c r="Q222" s="15" t="n">
        <v>0</v>
      </c>
      <c r="R222" s="15" t="n">
        <v>0</v>
      </c>
      <c r="S222" s="15" t="n">
        <v>7</v>
      </c>
      <c r="T222" s="14">
        <f>IF(COUNT(I222:S222)=0,"",SUM(I222:S222))</f>
        <v/>
      </c>
      <c r="U222" t="inlineStr"/>
    </row>
    <row r="223">
      <c r="A223" t="inlineStr">
        <is>
          <t>아이캐슬어린이집</t>
        </is>
      </c>
      <c r="B223" t="inlineStr">
        <is>
          <t>어린이집</t>
        </is>
      </c>
      <c r="C223" t="inlineStr">
        <is>
          <t>가정</t>
        </is>
      </c>
      <c r="D223" t="inlineStr">
        <is>
          <t>기장군</t>
        </is>
      </c>
      <c r="E223" t="inlineStr">
        <is>
          <t>부산광역시 기장군 정관읍 정관로 545 이진캐스빌 109동 103호</t>
        </is>
      </c>
      <c r="F223" t="inlineStr"/>
      <c r="G223" t="inlineStr">
        <is>
          <t>051-965-7887</t>
        </is>
      </c>
      <c r="H223" s="15" t="n">
        <v>20</v>
      </c>
      <c r="I223" s="15" t="n">
        <v>2</v>
      </c>
      <c r="J223" s="15" t="n">
        <v>1</v>
      </c>
      <c r="K223" s="15" t="n">
        <v>0</v>
      </c>
      <c r="L223" s="15" t="n">
        <v>0</v>
      </c>
      <c r="M223" s="15" t="n">
        <v>0</v>
      </c>
      <c r="N223" s="15" t="n">
        <v>0</v>
      </c>
      <c r="O223" s="15" t="n">
        <v>0</v>
      </c>
      <c r="P223" s="15" t="n">
        <v>0</v>
      </c>
      <c r="Q223" s="15" t="n">
        <v>0</v>
      </c>
      <c r="R223" s="15" t="n">
        <v>0</v>
      </c>
      <c r="S223" s="15" t="n">
        <v>5</v>
      </c>
      <c r="T223" s="14">
        <f>IF(COUNT(I223:S223)=0,"",SUM(I223:S223))</f>
        <v/>
      </c>
      <c r="U223" t="inlineStr"/>
    </row>
    <row r="224">
      <c r="A224" t="inlineStr">
        <is>
          <t>양우내안애어린이집</t>
        </is>
      </c>
      <c r="B224" t="inlineStr">
        <is>
          <t>어린이집</t>
        </is>
      </c>
      <c r="C224" t="inlineStr">
        <is>
          <t>민간</t>
        </is>
      </c>
      <c r="D224" t="inlineStr">
        <is>
          <t>기장군</t>
        </is>
      </c>
      <c r="E224" t="inlineStr">
        <is>
          <t>부산광역시 기장군 정관읍 정관5로 144 풀리페아파트 관리동어린이집</t>
        </is>
      </c>
      <c r="F224" t="inlineStr"/>
      <c r="G224" t="inlineStr">
        <is>
          <t>051-727-7881</t>
        </is>
      </c>
      <c r="H224" s="15" t="n">
        <v>26</v>
      </c>
      <c r="I224" s="15" t="n">
        <v>2</v>
      </c>
      <c r="J224" s="15" t="n">
        <v>0</v>
      </c>
      <c r="K224" s="15" t="n">
        <v>4</v>
      </c>
      <c r="L224" s="15" t="n">
        <v>0</v>
      </c>
      <c r="M224" s="15" t="n">
        <v>0</v>
      </c>
      <c r="N224" s="15" t="n">
        <v>0</v>
      </c>
      <c r="O224" s="15" t="n">
        <v>4</v>
      </c>
      <c r="P224" s="15" t="n">
        <v>0</v>
      </c>
      <c r="Q224" s="15" t="n">
        <v>0</v>
      </c>
      <c r="R224" s="15" t="n">
        <v>0</v>
      </c>
      <c r="S224" s="15" t="n">
        <v>7</v>
      </c>
      <c r="T224" s="14">
        <f>IF(COUNT(I224:S224)=0,"",SUM(I224:S224))</f>
        <v/>
      </c>
      <c r="U224" t="inlineStr"/>
    </row>
    <row r="225">
      <c r="A225" t="inlineStr">
        <is>
          <t>에코맘 어린이집</t>
        </is>
      </c>
      <c r="B225" t="inlineStr">
        <is>
          <t>어린이집</t>
        </is>
      </c>
      <c r="C225" t="inlineStr">
        <is>
          <t>국공립</t>
        </is>
      </c>
      <c r="D225" t="inlineStr">
        <is>
          <t>기장군</t>
        </is>
      </c>
      <c r="E225" t="inlineStr">
        <is>
          <t>부산광역시 기장군 정관읍 정관3로 52 115동 103호</t>
        </is>
      </c>
      <c r="F225" t="inlineStr"/>
      <c r="G225" t="inlineStr">
        <is>
          <t>070-4111-0130</t>
        </is>
      </c>
      <c r="H225" s="15" t="n">
        <v>20</v>
      </c>
      <c r="I225" s="15" t="n">
        <v>3</v>
      </c>
      <c r="J225" s="15" t="n">
        <v>4</v>
      </c>
      <c r="K225" s="15" t="n">
        <v>4</v>
      </c>
      <c r="L225" s="15" t="n">
        <v>0</v>
      </c>
      <c r="M225" s="15" t="n">
        <v>0</v>
      </c>
      <c r="N225" s="15" t="n">
        <v>0</v>
      </c>
      <c r="O225" s="15" t="n">
        <v>6</v>
      </c>
      <c r="P225" s="15" t="n">
        <v>0</v>
      </c>
      <c r="Q225" s="15" t="n">
        <v>0</v>
      </c>
      <c r="R225" s="15" t="n">
        <v>0</v>
      </c>
      <c r="S225" s="15" t="n">
        <v>7</v>
      </c>
      <c r="T225" s="14">
        <f>IF(COUNT(I225:S225)=0,"",SUM(I225:S225))</f>
        <v/>
      </c>
      <c r="U225" t="inlineStr"/>
    </row>
    <row r="226">
      <c r="A226" t="inlineStr">
        <is>
          <t>엔젤어린이집</t>
        </is>
      </c>
      <c r="B226" t="inlineStr">
        <is>
          <t>어린이집</t>
        </is>
      </c>
      <c r="C226" t="inlineStr">
        <is>
          <t>민간</t>
        </is>
      </c>
      <c r="D226" t="inlineStr">
        <is>
          <t>기장군</t>
        </is>
      </c>
      <c r="E226" t="inlineStr">
        <is>
          <t>부산광역시 기장군 기장읍 차성서로 42</t>
        </is>
      </c>
      <c r="F226" t="inlineStr"/>
      <c r="G226" t="inlineStr">
        <is>
          <t>051-724-5134</t>
        </is>
      </c>
      <c r="H226" s="15" t="n">
        <v>136</v>
      </c>
      <c r="I226" s="15" t="n">
        <v>6</v>
      </c>
      <c r="J226" s="15" t="n">
        <v>8</v>
      </c>
      <c r="K226" s="15" t="n">
        <v>13</v>
      </c>
      <c r="L226" s="15" t="n">
        <v>15</v>
      </c>
      <c r="M226" s="15" t="n">
        <v>0</v>
      </c>
      <c r="N226" s="15" t="n">
        <v>0</v>
      </c>
      <c r="O226" s="15" t="n">
        <v>0</v>
      </c>
      <c r="P226" s="15" t="n">
        <v>0</v>
      </c>
      <c r="Q226" s="15" t="n">
        <v>0</v>
      </c>
      <c r="R226" s="15" t="n">
        <v>0</v>
      </c>
      <c r="S226" s="15" t="n">
        <v>5</v>
      </c>
      <c r="T226" s="14">
        <f>IF(COUNT(I226:S226)=0,"",SUM(I226:S226))</f>
        <v/>
      </c>
      <c r="U226" t="inlineStr"/>
    </row>
    <row r="227">
      <c r="A227" t="inlineStr">
        <is>
          <t>연지어린이집</t>
        </is>
      </c>
      <c r="B227" t="inlineStr">
        <is>
          <t>어린이집</t>
        </is>
      </c>
      <c r="C227" t="inlineStr">
        <is>
          <t>국공립</t>
        </is>
      </c>
      <c r="D227" t="inlineStr">
        <is>
          <t>기장군</t>
        </is>
      </c>
      <c r="E227" t="inlineStr">
        <is>
          <t>부산광역시 기장군 정관읍 정관4로 24 동일스위트1차 103-101</t>
        </is>
      </c>
      <c r="F227" t="inlineStr"/>
      <c r="G227" t="inlineStr">
        <is>
          <t>051-782-9124</t>
        </is>
      </c>
      <c r="H227" s="15" t="n">
        <v>20</v>
      </c>
      <c r="I227" s="15" t="n">
        <v>3</v>
      </c>
      <c r="J227" s="15" t="n">
        <v>7</v>
      </c>
      <c r="K227" s="15" t="n">
        <v>6</v>
      </c>
      <c r="L227" s="15" t="n">
        <v>0</v>
      </c>
      <c r="M227" s="15" t="n">
        <v>0</v>
      </c>
      <c r="N227" s="15" t="n">
        <v>0</v>
      </c>
      <c r="O227" s="15" t="n">
        <v>0</v>
      </c>
      <c r="P227" s="15" t="n">
        <v>0</v>
      </c>
      <c r="Q227" s="15" t="n">
        <v>0</v>
      </c>
      <c r="R227" s="15" t="n">
        <v>0</v>
      </c>
      <c r="S227" s="15" t="n">
        <v>15</v>
      </c>
      <c r="T227" s="14">
        <f>IF(COUNT(I227:S227)=0,"",SUM(I227:S227))</f>
        <v/>
      </c>
      <c r="U227" t="inlineStr"/>
    </row>
    <row r="228">
      <c r="A228" t="inlineStr">
        <is>
          <t>예뜰어린이집</t>
        </is>
      </c>
      <c r="B228" t="inlineStr">
        <is>
          <t>어린이집</t>
        </is>
      </c>
      <c r="C228" t="inlineStr">
        <is>
          <t>가정</t>
        </is>
      </c>
      <c r="D228" t="inlineStr">
        <is>
          <t>기장군</t>
        </is>
      </c>
      <c r="E228" t="inlineStr">
        <is>
          <t>부산광역시 기장군 정관읍 산단4로 139 동원로얄듀크1차 104동 105호</t>
        </is>
      </c>
      <c r="F228" t="inlineStr"/>
      <c r="G228" t="inlineStr">
        <is>
          <t>051-727-3756</t>
        </is>
      </c>
      <c r="H228" s="15" t="n">
        <v>20</v>
      </c>
      <c r="I228" s="15" t="n">
        <v>3</v>
      </c>
      <c r="J228" s="15" t="n">
        <v>3</v>
      </c>
      <c r="K228" s="15" t="n">
        <v>4</v>
      </c>
      <c r="L228" s="15" t="n">
        <v>0</v>
      </c>
      <c r="M228" s="15" t="n">
        <v>0</v>
      </c>
      <c r="N228" s="15" t="n">
        <v>0</v>
      </c>
      <c r="O228" s="15" t="n">
        <v>0</v>
      </c>
      <c r="P228" s="15" t="n">
        <v>0</v>
      </c>
      <c r="Q228" s="15" t="n">
        <v>0</v>
      </c>
      <c r="R228" s="15" t="n">
        <v>0</v>
      </c>
      <c r="S228" s="15" t="n">
        <v>3</v>
      </c>
      <c r="T228" s="14">
        <f>IF(COUNT(I228:S228)=0,"",SUM(I228:S228))</f>
        <v/>
      </c>
      <c r="U228" t="inlineStr"/>
    </row>
    <row r="229">
      <c r="A229" t="inlineStr">
        <is>
          <t>예쁜별어린이집</t>
        </is>
      </c>
      <c r="B229" t="inlineStr">
        <is>
          <t>어린이집</t>
        </is>
      </c>
      <c r="C229" t="inlineStr">
        <is>
          <t>민간</t>
        </is>
      </c>
      <c r="D229" t="inlineStr">
        <is>
          <t>기장군</t>
        </is>
      </c>
      <c r="E229" t="inlineStr">
        <is>
          <t>부산광역시 기장군 정관읍 정관로 545 이진캐스빌아파트 관리동</t>
        </is>
      </c>
      <c r="F229" t="inlineStr"/>
      <c r="G229" t="inlineStr">
        <is>
          <t>051-728-2835</t>
        </is>
      </c>
      <c r="H229" s="15" t="n">
        <v>39</v>
      </c>
      <c r="I229" s="15" t="n">
        <v>5</v>
      </c>
      <c r="J229" s="15" t="n">
        <v>9</v>
      </c>
      <c r="K229" s="15" t="n">
        <v>12</v>
      </c>
      <c r="L229" s="15" t="n">
        <v>0</v>
      </c>
      <c r="M229" s="15" t="n">
        <v>0</v>
      </c>
      <c r="N229" s="15" t="n">
        <v>0</v>
      </c>
      <c r="O229" s="15" t="n">
        <v>0</v>
      </c>
      <c r="P229" s="15" t="n">
        <v>0</v>
      </c>
      <c r="Q229" s="15" t="n">
        <v>0</v>
      </c>
      <c r="R229" s="15" t="n">
        <v>0</v>
      </c>
      <c r="S229" s="15" t="n">
        <v>12</v>
      </c>
      <c r="T229" s="14">
        <f>IF(COUNT(I229:S229)=0,"",SUM(I229:S229))</f>
        <v/>
      </c>
      <c r="U229" t="inlineStr"/>
    </row>
    <row r="230">
      <c r="A230" t="inlineStr">
        <is>
          <t>예쁜아이숲어린이집</t>
        </is>
      </c>
      <c r="B230" t="inlineStr">
        <is>
          <t>어린이집</t>
        </is>
      </c>
      <c r="C230" t="inlineStr">
        <is>
          <t>가정</t>
        </is>
      </c>
      <c r="D230" t="inlineStr">
        <is>
          <t>기장군</t>
        </is>
      </c>
      <c r="E230" t="inlineStr">
        <is>
          <t>부산광역시 기장군 정관읍 정관3로 23 동일스위트2차아파트 216동 104호</t>
        </is>
      </c>
      <c r="F230" t="inlineStr"/>
      <c r="G230" t="inlineStr">
        <is>
          <t>051-728-1045</t>
        </is>
      </c>
      <c r="H230" s="15" t="n">
        <v>20</v>
      </c>
      <c r="I230" s="15" t="n">
        <v>4</v>
      </c>
      <c r="J230" s="15" t="n">
        <v>0</v>
      </c>
      <c r="K230" s="15" t="n">
        <v>0</v>
      </c>
      <c r="L230" s="15" t="n">
        <v>0</v>
      </c>
      <c r="M230" s="15" t="n">
        <v>0</v>
      </c>
      <c r="N230" s="15" t="n">
        <v>0</v>
      </c>
      <c r="O230" s="15" t="n">
        <v>4</v>
      </c>
      <c r="P230" s="15" t="n">
        <v>0</v>
      </c>
      <c r="Q230" s="15" t="n">
        <v>0</v>
      </c>
      <c r="R230" s="15" t="n">
        <v>0</v>
      </c>
      <c r="S230" s="15" t="n">
        <v>3</v>
      </c>
      <c r="T230" s="14">
        <f>IF(COUNT(I230:S230)=0,"",SUM(I230:S230))</f>
        <v/>
      </c>
      <c r="U230" t="inlineStr"/>
    </row>
    <row r="231">
      <c r="A231" t="inlineStr">
        <is>
          <t>예쁜아이어린이집</t>
        </is>
      </c>
      <c r="B231" t="inlineStr">
        <is>
          <t>어린이집</t>
        </is>
      </c>
      <c r="C231" t="inlineStr">
        <is>
          <t>민간</t>
        </is>
      </c>
      <c r="D231" t="inlineStr">
        <is>
          <t>기장군</t>
        </is>
      </c>
      <c r="E231" t="inlineStr">
        <is>
          <t>부산광역시 기장군 차성로 461 복리동 1층(이진캐스빌블루 1차아파트)</t>
        </is>
      </c>
      <c r="F231" t="inlineStr"/>
      <c r="G231" t="inlineStr">
        <is>
          <t>051-723-6654</t>
        </is>
      </c>
      <c r="H231" s="15" t="n">
        <v>30</v>
      </c>
      <c r="I231" s="15" t="n">
        <v>8</v>
      </c>
      <c r="J231" s="15" t="n">
        <v>8</v>
      </c>
      <c r="K231" s="15" t="n">
        <v>7</v>
      </c>
      <c r="L231" s="15" t="n">
        <v>0</v>
      </c>
      <c r="M231" s="15" t="n">
        <v>0</v>
      </c>
      <c r="N231" s="15" t="n">
        <v>0</v>
      </c>
      <c r="O231" s="15" t="n">
        <v>0</v>
      </c>
      <c r="P231" s="15" t="n">
        <v>0</v>
      </c>
      <c r="Q231" s="15" t="n">
        <v>0</v>
      </c>
      <c r="R231" s="15" t="n">
        <v>0</v>
      </c>
      <c r="S231" s="15" t="n">
        <v>5</v>
      </c>
      <c r="T231" s="14">
        <f>IF(COUNT(I231:S231)=0,"",SUM(I231:S231))</f>
        <v/>
      </c>
      <c r="U231" t="inlineStr"/>
    </row>
    <row r="232">
      <c r="A232" t="inlineStr">
        <is>
          <t>우신예원아이어린이집</t>
        </is>
      </c>
      <c r="B232" t="inlineStr">
        <is>
          <t>어린이집</t>
        </is>
      </c>
      <c r="C232" t="inlineStr">
        <is>
          <t>가정</t>
        </is>
      </c>
      <c r="D232" t="inlineStr">
        <is>
          <t>기장군</t>
        </is>
      </c>
      <c r="E232" t="inlineStr">
        <is>
          <t>부산광역시 기장군 기장읍 청강로 76 보육시설동</t>
        </is>
      </c>
      <c r="F232" t="inlineStr"/>
      <c r="G232" t="inlineStr">
        <is>
          <t>051-724-3538</t>
        </is>
      </c>
      <c r="H232" s="15" t="n">
        <v>20</v>
      </c>
      <c r="I232" s="15" t="n">
        <v>0</v>
      </c>
      <c r="J232" s="15" t="n">
        <v>2</v>
      </c>
      <c r="K232" s="15" t="n">
        <v>0</v>
      </c>
      <c r="L232" s="15" t="n">
        <v>0</v>
      </c>
      <c r="M232" s="15" t="n">
        <v>0</v>
      </c>
      <c r="N232" s="15" t="n">
        <v>0</v>
      </c>
      <c r="O232" s="15" t="n">
        <v>5</v>
      </c>
      <c r="P232" s="15" t="n">
        <v>0</v>
      </c>
      <c r="Q232" s="15" t="n">
        <v>0</v>
      </c>
      <c r="R232" s="15" t="n">
        <v>0</v>
      </c>
      <c r="S232" s="15" t="n">
        <v>1</v>
      </c>
      <c r="T232" s="14">
        <f>IF(COUNT(I232:S232)=0,"",SUM(I232:S232))</f>
        <v/>
      </c>
      <c r="U232" t="inlineStr"/>
    </row>
    <row r="233">
      <c r="A233" t="inlineStr">
        <is>
          <t>이지5차어린이집</t>
        </is>
      </c>
      <c r="B233" t="inlineStr">
        <is>
          <t>어린이집</t>
        </is>
      </c>
      <c r="C233" t="inlineStr">
        <is>
          <t>가정</t>
        </is>
      </c>
      <c r="D233" t="inlineStr">
        <is>
          <t>기장군</t>
        </is>
      </c>
      <c r="E233" t="inlineStr">
        <is>
          <t>부산광역시 기장군 정관읍 방곡로 29 502동 104호(이지더원5차)</t>
        </is>
      </c>
      <c r="F233" t="inlineStr"/>
      <c r="G233" t="inlineStr">
        <is>
          <t>051-727-5566</t>
        </is>
      </c>
      <c r="H233" s="15" t="n">
        <v>19</v>
      </c>
      <c r="I233" s="15" t="n">
        <v>3</v>
      </c>
      <c r="J233" s="15" t="n">
        <v>2</v>
      </c>
      <c r="K233" s="15" t="n">
        <v>0</v>
      </c>
      <c r="L233" s="15" t="n">
        <v>0</v>
      </c>
      <c r="M233" s="15" t="n">
        <v>0</v>
      </c>
      <c r="N233" s="15" t="n">
        <v>0</v>
      </c>
      <c r="O233" s="15" t="n">
        <v>0</v>
      </c>
      <c r="P233" s="15" t="n">
        <v>0</v>
      </c>
      <c r="Q233" s="15" t="n">
        <v>0</v>
      </c>
      <c r="R233" s="15" t="n">
        <v>0</v>
      </c>
      <c r="S233" s="15" t="n">
        <v>2</v>
      </c>
      <c r="T233" s="14">
        <f>IF(COUNT(I233:S233)=0,"",SUM(I233:S233))</f>
        <v/>
      </c>
      <c r="U233" t="inlineStr"/>
    </row>
    <row r="234">
      <c r="A234" t="inlineStr">
        <is>
          <t>이지누리어린이집</t>
        </is>
      </c>
      <c r="B234" t="inlineStr">
        <is>
          <t>어린이집</t>
        </is>
      </c>
      <c r="C234" t="inlineStr">
        <is>
          <t>민간</t>
        </is>
      </c>
      <c r="D234" t="inlineStr">
        <is>
          <t>기장군</t>
        </is>
      </c>
      <c r="E234" t="inlineStr">
        <is>
          <t>부산광역시 기장군 정관읍 정관2로 9 정관이지더원2차  관리동</t>
        </is>
      </c>
      <c r="F234" t="inlineStr"/>
      <c r="G234" t="inlineStr">
        <is>
          <t>051-727-4821</t>
        </is>
      </c>
      <c r="H234" s="15" t="n">
        <v>39</v>
      </c>
      <c r="I234" s="15" t="n">
        <v>4</v>
      </c>
      <c r="J234" s="15" t="n">
        <v>4</v>
      </c>
      <c r="K234" s="15" t="n">
        <v>6</v>
      </c>
      <c r="L234" s="15" t="n">
        <v>0</v>
      </c>
      <c r="M234" s="15" t="n">
        <v>0</v>
      </c>
      <c r="N234" s="15" t="n">
        <v>0</v>
      </c>
      <c r="O234" s="15" t="n">
        <v>0</v>
      </c>
      <c r="P234" s="15" t="n">
        <v>0</v>
      </c>
      <c r="Q234" s="15" t="n">
        <v>0</v>
      </c>
      <c r="R234" s="15" t="n">
        <v>0</v>
      </c>
      <c r="S234" s="15" t="n">
        <v>5</v>
      </c>
      <c r="T234" s="14">
        <f>IF(COUNT(I234:S234)=0,"",SUM(I234:S234))</f>
        <v/>
      </c>
      <c r="U234" t="inlineStr"/>
    </row>
    <row r="235">
      <c r="A235" t="inlineStr">
        <is>
          <t>이케아 다기스(동부산)어린이집</t>
        </is>
      </c>
      <c r="B235" t="inlineStr">
        <is>
          <t>어린이집</t>
        </is>
      </c>
      <c r="C235" t="inlineStr">
        <is>
          <t>직장</t>
        </is>
      </c>
      <c r="D235" t="inlineStr">
        <is>
          <t>기장군</t>
        </is>
      </c>
      <c r="E235" t="inlineStr">
        <is>
          <t>부산광역시 기장군 기장읍 동부산관광3로 17</t>
        </is>
      </c>
      <c r="F235" t="inlineStr"/>
      <c r="G235" t="inlineStr">
        <is>
          <t>051-723-3371</t>
        </is>
      </c>
      <c r="H235" s="15" t="n">
        <v>75</v>
      </c>
      <c r="I235" s="15" t="n">
        <v>2</v>
      </c>
      <c r="J235" s="15" t="n">
        <v>2</v>
      </c>
      <c r="K235" s="15" t="n">
        <v>8</v>
      </c>
      <c r="L235" s="15" t="n">
        <v>0</v>
      </c>
      <c r="M235" s="15" t="n">
        <v>0</v>
      </c>
      <c r="N235" s="15" t="n">
        <v>0</v>
      </c>
      <c r="O235" s="15" t="n">
        <v>0</v>
      </c>
      <c r="P235" s="15" t="n">
        <v>6</v>
      </c>
      <c r="Q235" s="15" t="n">
        <v>0</v>
      </c>
      <c r="R235" s="15" t="n">
        <v>0</v>
      </c>
      <c r="S235" s="15" t="n">
        <v>17</v>
      </c>
      <c r="T235" s="14">
        <f>IF(COUNT(I235:S235)=0,"",SUM(I235:S235))</f>
        <v/>
      </c>
      <c r="U235" t="inlineStr"/>
    </row>
    <row r="236">
      <c r="A236" t="inlineStr">
        <is>
          <t>일광e편한세상어린이집</t>
        </is>
      </c>
      <c r="B236" t="inlineStr">
        <is>
          <t>어린이집</t>
        </is>
      </c>
      <c r="C236" t="inlineStr">
        <is>
          <t>국공립</t>
        </is>
      </c>
      <c r="D236" t="inlineStr">
        <is>
          <t>기장군</t>
        </is>
      </c>
      <c r="E236" t="inlineStr">
        <is>
          <t>부산광역시 기장군 해빛2로 21 관리동 어린이집</t>
        </is>
      </c>
      <c r="F236" s="11" t="inlineStr">
        <is>
          <t>https://www.instagram.com/p/Cb7EgpqLeG8/?igsh=MTRqbTdqZWFydXk3MQ==</t>
        </is>
      </c>
      <c r="G236" t="inlineStr">
        <is>
          <t>051-724-2021</t>
        </is>
      </c>
      <c r="H236" s="15" t="n">
        <v>60</v>
      </c>
      <c r="I236" s="15" t="n">
        <v>0</v>
      </c>
      <c r="J236" s="15" t="n">
        <v>15</v>
      </c>
      <c r="K236" s="15" t="n">
        <v>17</v>
      </c>
      <c r="L236" s="15" t="n">
        <v>13</v>
      </c>
      <c r="M236" s="15" t="n">
        <v>0</v>
      </c>
      <c r="N236" s="15" t="n">
        <v>0</v>
      </c>
      <c r="O236" s="15" t="n">
        <v>0</v>
      </c>
      <c r="P236" s="15" t="n">
        <v>9</v>
      </c>
      <c r="Q236" s="15" t="n">
        <v>0</v>
      </c>
      <c r="R236" s="15" t="n">
        <v>3</v>
      </c>
      <c r="S236" s="15" t="n">
        <v>23</v>
      </c>
      <c r="T236" s="14">
        <f>IF(COUNT(I236:S236)=0,"",SUM(I236:S236))</f>
        <v/>
      </c>
      <c r="U236" t="inlineStr"/>
    </row>
    <row r="237">
      <c r="A237" t="inlineStr">
        <is>
          <t>일광금호센트럴베이행복어린이집</t>
        </is>
      </c>
      <c r="B237" t="inlineStr">
        <is>
          <t>어린이집</t>
        </is>
      </c>
      <c r="C237" t="inlineStr">
        <is>
          <t>국공립</t>
        </is>
      </c>
      <c r="D237" t="inlineStr">
        <is>
          <t>기장군</t>
        </is>
      </c>
      <c r="E237" t="inlineStr">
        <is>
          <t>부산광역시 기장군 일광읍 해빛1로 61 704동 1층</t>
        </is>
      </c>
      <c r="F237" t="inlineStr"/>
      <c r="G237" t="inlineStr">
        <is>
          <t>051-710-1757</t>
        </is>
      </c>
      <c r="H237" s="15" t="n">
        <v>79</v>
      </c>
      <c r="I237" s="15" t="n">
        <v>0</v>
      </c>
      <c r="J237" s="15" t="n">
        <v>5</v>
      </c>
      <c r="K237" s="15" t="n">
        <v>18</v>
      </c>
      <c r="L237" s="15" t="n">
        <v>0</v>
      </c>
      <c r="M237" s="15" t="n">
        <v>0</v>
      </c>
      <c r="N237" s="15" t="n">
        <v>0</v>
      </c>
      <c r="O237" s="15" t="n">
        <v>21</v>
      </c>
      <c r="P237" s="15" t="n">
        <v>0</v>
      </c>
      <c r="Q237" s="15" t="n">
        <v>0</v>
      </c>
      <c r="R237" s="15" t="n">
        <v>0</v>
      </c>
      <c r="S237" s="15" t="n">
        <v>7</v>
      </c>
      <c r="T237" s="14">
        <f>IF(COUNT(I237:S237)=0,"",SUM(I237:S237))</f>
        <v/>
      </c>
      <c r="U237" t="inlineStr"/>
    </row>
    <row r="238">
      <c r="A238" t="inlineStr">
        <is>
          <t>일광대성베르힐어린이집</t>
        </is>
      </c>
      <c r="B238" t="inlineStr">
        <is>
          <t>어린이집</t>
        </is>
      </c>
      <c r="C238" t="inlineStr">
        <is>
          <t>국공립</t>
        </is>
      </c>
      <c r="D238" t="inlineStr">
        <is>
          <t>기장군</t>
        </is>
      </c>
      <c r="E238" t="inlineStr">
        <is>
          <t>부산광역시 기장군 해빛5로 14 일광대성베르힐 관리동</t>
        </is>
      </c>
      <c r="F238" t="inlineStr"/>
      <c r="G238" t="inlineStr">
        <is>
          <t>051-722-5572</t>
        </is>
      </c>
      <c r="H238" s="15" t="n">
        <v>54</v>
      </c>
      <c r="I238" s="15" t="n">
        <v>5</v>
      </c>
      <c r="J238" s="15" t="n">
        <v>10</v>
      </c>
      <c r="K238" s="15" t="n">
        <v>12</v>
      </c>
      <c r="L238" s="15" t="n">
        <v>9</v>
      </c>
      <c r="M238" s="15" t="n">
        <v>0</v>
      </c>
      <c r="N238" s="15" t="n">
        <v>0</v>
      </c>
      <c r="O238" s="15" t="n">
        <v>0</v>
      </c>
      <c r="P238" s="15" t="n">
        <v>18</v>
      </c>
      <c r="Q238" s="15" t="n">
        <v>0</v>
      </c>
      <c r="R238" s="15" t="n">
        <v>0</v>
      </c>
      <c r="S238" s="15" t="n">
        <v>32</v>
      </c>
      <c r="T238" s="14">
        <f>IF(COUNT(I238:S238)=0,"",SUM(I238:S238))</f>
        <v/>
      </c>
      <c r="U238" t="inlineStr"/>
    </row>
    <row r="239">
      <c r="A239" t="inlineStr">
        <is>
          <t>일광동원로얄듀크어린이집</t>
        </is>
      </c>
      <c r="B239" t="inlineStr">
        <is>
          <t>어린이집</t>
        </is>
      </c>
      <c r="C239" t="inlineStr">
        <is>
          <t>국공립</t>
        </is>
      </c>
      <c r="D239" t="inlineStr">
        <is>
          <t>기장군</t>
        </is>
      </c>
      <c r="E239" t="inlineStr">
        <is>
          <t>부산광역시 기장군 일광읍 해빛4로 20 일광동원로얄듀크 관리동</t>
        </is>
      </c>
      <c r="F239" t="inlineStr"/>
      <c r="G239" t="inlineStr">
        <is>
          <t>051-723-0191</t>
        </is>
      </c>
      <c r="H239" s="15" t="n">
        <v>56</v>
      </c>
      <c r="I239" s="15" t="n">
        <v>18</v>
      </c>
      <c r="J239" s="15" t="n">
        <v>15</v>
      </c>
      <c r="K239" s="15" t="n">
        <v>5</v>
      </c>
      <c r="L239" s="15" t="n">
        <v>0</v>
      </c>
      <c r="M239" s="15" t="n">
        <v>0</v>
      </c>
      <c r="N239" s="15" t="n">
        <v>0</v>
      </c>
      <c r="O239" s="15" t="n">
        <v>0</v>
      </c>
      <c r="P239" s="15" t="n">
        <v>0</v>
      </c>
      <c r="Q239" s="15" t="n">
        <v>0</v>
      </c>
      <c r="R239" s="15" t="n">
        <v>0</v>
      </c>
      <c r="S239" s="15" t="n">
        <v>11</v>
      </c>
      <c r="T239" s="14">
        <f>IF(COUNT(I239:S239)=0,"",SUM(I239:S239))</f>
        <v/>
      </c>
      <c r="U239" t="inlineStr"/>
    </row>
    <row r="240">
      <c r="A240" t="inlineStr">
        <is>
          <t>일광비스타동원1차어린이집</t>
        </is>
      </c>
      <c r="B240" t="inlineStr">
        <is>
          <t>어린이집</t>
        </is>
      </c>
      <c r="C240" t="inlineStr">
        <is>
          <t>국공립</t>
        </is>
      </c>
      <c r="D240" t="inlineStr">
        <is>
          <t>기장군</t>
        </is>
      </c>
      <c r="E240" t="inlineStr">
        <is>
          <t>부산광역시 기장군 해빛2로 24 관리동 어린이집</t>
        </is>
      </c>
      <c r="F240" t="inlineStr"/>
      <c r="G240" t="inlineStr">
        <is>
          <t>051-723-0556</t>
        </is>
      </c>
      <c r="H240" s="15" t="n">
        <v>49</v>
      </c>
      <c r="I240" s="15" t="n">
        <v>6</v>
      </c>
      <c r="J240" s="15" t="n">
        <v>20</v>
      </c>
      <c r="K240" s="15" t="n">
        <v>20</v>
      </c>
      <c r="L240" s="15" t="n">
        <v>0</v>
      </c>
      <c r="M240" s="15" t="n">
        <v>0</v>
      </c>
      <c r="N240" s="15" t="n">
        <v>0</v>
      </c>
      <c r="O240" s="15" t="n">
        <v>0</v>
      </c>
      <c r="P240" s="15" t="n">
        <v>0</v>
      </c>
      <c r="Q240" s="15" t="n">
        <v>0</v>
      </c>
      <c r="R240" s="15" t="n">
        <v>0</v>
      </c>
      <c r="S240" s="15" t="n">
        <v>13</v>
      </c>
      <c r="T240" s="14">
        <f>IF(COUNT(I240:S240)=0,"",SUM(I240:S240))</f>
        <v/>
      </c>
      <c r="U240" t="inlineStr"/>
    </row>
    <row r="241">
      <c r="A241" t="inlineStr">
        <is>
          <t>일광비스타동원2차어린이집</t>
        </is>
      </c>
      <c r="B241" t="inlineStr">
        <is>
          <t>어린이집</t>
        </is>
      </c>
      <c r="C241" t="inlineStr">
        <is>
          <t>국공립</t>
        </is>
      </c>
      <c r="D241" t="inlineStr">
        <is>
          <t>기장군</t>
        </is>
      </c>
      <c r="E241" t="inlineStr">
        <is>
          <t>부산광역시 기장군 해송1로 33 관리동 어린이집</t>
        </is>
      </c>
      <c r="F241" t="inlineStr"/>
      <c r="G241" t="inlineStr">
        <is>
          <t>051-724-4678</t>
        </is>
      </c>
      <c r="H241" s="15" t="n">
        <v>68</v>
      </c>
      <c r="I241" s="15" t="n">
        <v>10</v>
      </c>
      <c r="J241" s="15" t="n">
        <v>10</v>
      </c>
      <c r="K241" s="15" t="n">
        <v>13</v>
      </c>
      <c r="L241" s="15" t="n">
        <v>8</v>
      </c>
      <c r="M241" s="15" t="n">
        <v>0</v>
      </c>
      <c r="N241" s="15" t="n">
        <v>0</v>
      </c>
      <c r="O241" s="15" t="n">
        <v>0</v>
      </c>
      <c r="P241" s="15" t="n">
        <v>14</v>
      </c>
      <c r="Q241" s="15" t="n">
        <v>0</v>
      </c>
      <c r="R241" s="15" t="n">
        <v>0</v>
      </c>
      <c r="S241" s="15" t="n">
        <v>26</v>
      </c>
      <c r="T241" s="14">
        <f>IF(COUNT(I241:S241)=0,"",SUM(I241:S241))</f>
        <v/>
      </c>
      <c r="U241" t="inlineStr"/>
    </row>
    <row r="242">
      <c r="A242" t="inlineStr">
        <is>
          <t>일광어린이집</t>
        </is>
      </c>
      <c r="B242" t="inlineStr">
        <is>
          <t>어린이집</t>
        </is>
      </c>
      <c r="C242" t="inlineStr">
        <is>
          <t>국공립</t>
        </is>
      </c>
      <c r="D242" t="inlineStr">
        <is>
          <t>기장군</t>
        </is>
      </c>
      <c r="E242" t="inlineStr">
        <is>
          <t>부산광역시 기장군 일광면 이천길 31-12</t>
        </is>
      </c>
      <c r="F242" t="inlineStr"/>
      <c r="G242" t="inlineStr">
        <is>
          <t>051-722-4747</t>
        </is>
      </c>
      <c r="H242" s="15" t="n">
        <v>49</v>
      </c>
      <c r="I242" s="15" t="n">
        <v>0</v>
      </c>
      <c r="J242" s="15" t="n">
        <v>14</v>
      </c>
      <c r="K242" s="15" t="n">
        <v>11</v>
      </c>
      <c r="L242" s="15" t="n">
        <v>0</v>
      </c>
      <c r="M242" s="15" t="n">
        <v>0</v>
      </c>
      <c r="N242" s="15" t="n">
        <v>0</v>
      </c>
      <c r="O242" s="15" t="n">
        <v>0</v>
      </c>
      <c r="P242" s="15" t="n">
        <v>18</v>
      </c>
      <c r="Q242" s="15" t="n">
        <v>0</v>
      </c>
      <c r="R242" s="15" t="n">
        <v>3</v>
      </c>
      <c r="S242" s="15" t="n">
        <v>18</v>
      </c>
      <c r="T242" s="14">
        <f>IF(COUNT(I242:S242)=0,"",SUM(I242:S242))</f>
        <v/>
      </c>
      <c r="U242" t="inlineStr"/>
    </row>
    <row r="243">
      <c r="A243" t="inlineStr">
        <is>
          <t>일광이지더원1차오션포레어린이집</t>
        </is>
      </c>
      <c r="B243" t="inlineStr">
        <is>
          <t>어린이집</t>
        </is>
      </c>
      <c r="C243" t="inlineStr">
        <is>
          <t>국공립</t>
        </is>
      </c>
      <c r="D243" t="inlineStr">
        <is>
          <t>기장군</t>
        </is>
      </c>
      <c r="E243" t="inlineStr">
        <is>
          <t>부산광역시 기장군 해빛4로 1 관리동 어린이집</t>
        </is>
      </c>
      <c r="F243" t="inlineStr"/>
      <c r="G243" t="inlineStr">
        <is>
          <t>051-721-8300</t>
        </is>
      </c>
      <c r="H243" s="15" t="n">
        <v>54</v>
      </c>
      <c r="I243" s="15" t="n">
        <v>8</v>
      </c>
      <c r="J243" s="15" t="n">
        <v>15</v>
      </c>
      <c r="K243" s="15" t="n">
        <v>14</v>
      </c>
      <c r="L243" s="15" t="n">
        <v>0</v>
      </c>
      <c r="M243" s="15" t="n">
        <v>0</v>
      </c>
      <c r="N243" s="15" t="n">
        <v>0</v>
      </c>
      <c r="O243" s="15" t="n">
        <v>5</v>
      </c>
      <c r="P243" s="15" t="n">
        <v>0</v>
      </c>
      <c r="Q243" s="15" t="n">
        <v>0</v>
      </c>
      <c r="R243" s="15" t="n">
        <v>0</v>
      </c>
      <c r="S243" s="15" t="n">
        <v>22</v>
      </c>
      <c r="T243" s="14">
        <f>IF(COUNT(I243:S243)=0,"",SUM(I243:S243))</f>
        <v/>
      </c>
      <c r="U243" t="inlineStr"/>
    </row>
    <row r="244">
      <c r="A244" t="inlineStr">
        <is>
          <t>일광이지더원2차포레온어린이집</t>
        </is>
      </c>
      <c r="B244" t="inlineStr">
        <is>
          <t>어린이집</t>
        </is>
      </c>
      <c r="C244" t="inlineStr">
        <is>
          <t>국공립</t>
        </is>
      </c>
      <c r="D244" t="inlineStr">
        <is>
          <t>기장군</t>
        </is>
      </c>
      <c r="E244" t="inlineStr">
        <is>
          <t>부산광역시 기장군 일광읍 해빛5로 26 관리동</t>
        </is>
      </c>
      <c r="F244" s="11" t="inlineStr">
        <is>
          <t>https://www.instagram.com/ilgwang_eg2_foreon?igsh=MWJ2YWN2NmYxZXlpNQ==</t>
        </is>
      </c>
      <c r="G244" t="inlineStr">
        <is>
          <t>051-723-5003</t>
        </is>
      </c>
      <c r="H244" s="15" t="n">
        <v>49</v>
      </c>
      <c r="I244" s="15" t="n">
        <v>9</v>
      </c>
      <c r="J244" s="15" t="n">
        <v>20</v>
      </c>
      <c r="K244" s="15" t="n">
        <v>14</v>
      </c>
      <c r="L244" s="15" t="n">
        <v>0</v>
      </c>
      <c r="M244" s="15" t="n">
        <v>0</v>
      </c>
      <c r="N244" s="15" t="n">
        <v>0</v>
      </c>
      <c r="O244" s="15" t="n">
        <v>0</v>
      </c>
      <c r="P244" s="15" t="n">
        <v>0</v>
      </c>
      <c r="Q244" s="15" t="n">
        <v>0</v>
      </c>
      <c r="R244" s="15" t="n">
        <v>0</v>
      </c>
      <c r="S244" s="15" t="n">
        <v>5</v>
      </c>
      <c r="T244" s="14">
        <f>IF(COUNT(I244:S244)=0,"",SUM(I244:S244))</f>
        <v/>
      </c>
      <c r="U244" t="inlineStr"/>
    </row>
    <row r="245">
      <c r="A245" t="inlineStr">
        <is>
          <t>일광이지더원3차메르센포레어린이집</t>
        </is>
      </c>
      <c r="B245" t="inlineStr">
        <is>
          <t>어린이집</t>
        </is>
      </c>
      <c r="C245" t="inlineStr">
        <is>
          <t>국공립</t>
        </is>
      </c>
      <c r="D245" t="inlineStr">
        <is>
          <t>기장군</t>
        </is>
      </c>
      <c r="E245" t="inlineStr">
        <is>
          <t>부산광역시 기장군 일광읍 해빛3로 43 관리동</t>
        </is>
      </c>
      <c r="F245" t="inlineStr"/>
      <c r="G245" t="inlineStr">
        <is>
          <t>051-723-8780</t>
        </is>
      </c>
      <c r="H245" s="15" t="n">
        <v>37</v>
      </c>
      <c r="I245" s="15" t="n">
        <v>7</v>
      </c>
      <c r="J245" s="15" t="n">
        <v>14</v>
      </c>
      <c r="K245" s="15" t="n">
        <v>14</v>
      </c>
      <c r="L245" s="15" t="n">
        <v>0</v>
      </c>
      <c r="M245" s="15" t="n">
        <v>0</v>
      </c>
      <c r="N245" s="15" t="n">
        <v>0</v>
      </c>
      <c r="O245" s="15" t="n">
        <v>0</v>
      </c>
      <c r="P245" s="15" t="n">
        <v>0</v>
      </c>
      <c r="Q245" s="15" t="n">
        <v>0</v>
      </c>
      <c r="R245" s="15" t="n">
        <v>0</v>
      </c>
      <c r="S245" s="15" t="n">
        <v>26</v>
      </c>
      <c r="T245" s="14">
        <f>IF(COUNT(I245:S245)=0,"",SUM(I245:S245))</f>
        <v/>
      </c>
      <c r="U245" t="inlineStr"/>
    </row>
    <row r="246">
      <c r="A246" t="inlineStr">
        <is>
          <t>일광자이푸르지오1어린이집</t>
        </is>
      </c>
      <c r="B246" t="inlineStr">
        <is>
          <t>어린이집</t>
        </is>
      </c>
      <c r="C246" t="inlineStr">
        <is>
          <t>국공립</t>
        </is>
      </c>
      <c r="D246" t="inlineStr">
        <is>
          <t>기장군</t>
        </is>
      </c>
      <c r="E246" t="inlineStr">
        <is>
          <t>부산광역시 기장군 해빛로 39-15 관리동 어린이집</t>
        </is>
      </c>
      <c r="F246" t="inlineStr"/>
      <c r="G246" t="inlineStr">
        <is>
          <t>051-995-3004</t>
        </is>
      </c>
      <c r="H246" s="15" t="n">
        <v>40</v>
      </c>
      <c r="I246" s="15" t="n">
        <v>6</v>
      </c>
      <c r="J246" s="15" t="n">
        <v>12</v>
      </c>
      <c r="K246" s="15" t="n">
        <v>14</v>
      </c>
      <c r="L246" s="15" t="n">
        <v>8</v>
      </c>
      <c r="M246" s="15" t="n">
        <v>0</v>
      </c>
      <c r="N246" s="15" t="n">
        <v>0</v>
      </c>
      <c r="O246" s="15" t="n">
        <v>0</v>
      </c>
      <c r="P246" s="15" t="n">
        <v>0</v>
      </c>
      <c r="Q246" s="15" t="n">
        <v>0</v>
      </c>
      <c r="R246" s="15" t="n">
        <v>0</v>
      </c>
      <c r="S246" s="15" t="n">
        <v>20</v>
      </c>
      <c r="T246" s="14">
        <f>IF(COUNT(I246:S246)=0,"",SUM(I246:S246))</f>
        <v/>
      </c>
      <c r="U246" t="inlineStr"/>
    </row>
    <row r="247">
      <c r="A247" t="inlineStr">
        <is>
          <t>일광자이푸르지오2어린이집</t>
        </is>
      </c>
      <c r="B247" t="inlineStr">
        <is>
          <t>어린이집</t>
        </is>
      </c>
      <c r="C247" t="inlineStr">
        <is>
          <t>국공립</t>
        </is>
      </c>
      <c r="D247" t="inlineStr">
        <is>
          <t>기장군</t>
        </is>
      </c>
      <c r="E247" t="inlineStr">
        <is>
          <t>부산광역시 기장군 해빛로 29 관리동 어린이집</t>
        </is>
      </c>
      <c r="F247" t="inlineStr"/>
      <c r="G247" t="inlineStr">
        <is>
          <t>051-710-9876</t>
        </is>
      </c>
      <c r="H247" s="15" t="n">
        <v>70</v>
      </c>
      <c r="I247" s="15" t="n">
        <v>0</v>
      </c>
      <c r="J247" s="15" t="n">
        <v>10</v>
      </c>
      <c r="K247" s="15" t="n">
        <v>14</v>
      </c>
      <c r="L247" s="15" t="n">
        <v>12</v>
      </c>
      <c r="M247" s="15" t="n">
        <v>14</v>
      </c>
      <c r="N247" s="15" t="n">
        <v>13</v>
      </c>
      <c r="O247" s="15" t="n">
        <v>0</v>
      </c>
      <c r="P247" s="15" t="n">
        <v>0</v>
      </c>
      <c r="Q247" s="15" t="n">
        <v>0</v>
      </c>
      <c r="R247" s="15" t="n">
        <v>4</v>
      </c>
      <c r="S247" s="15" t="n">
        <v>29</v>
      </c>
      <c r="T247" s="14">
        <f>IF(COUNT(I247:S247)=0,"",SUM(I247:S247))</f>
        <v/>
      </c>
      <c r="U247" t="inlineStr"/>
    </row>
    <row r="248">
      <c r="A248" t="inlineStr">
        <is>
          <t>일광한신더휴센트럴포레1어린이집</t>
        </is>
      </c>
      <c r="B248" t="inlineStr">
        <is>
          <t>어린이집</t>
        </is>
      </c>
      <c r="C248" t="inlineStr">
        <is>
          <t>국공립</t>
        </is>
      </c>
      <c r="D248" t="inlineStr">
        <is>
          <t>기장군</t>
        </is>
      </c>
      <c r="E248" t="inlineStr">
        <is>
          <t>부산광역시 기장군 해빛1로 62</t>
        </is>
      </c>
      <c r="F248" t="inlineStr"/>
      <c r="G248" t="inlineStr">
        <is>
          <t>051-723-1252</t>
        </is>
      </c>
      <c r="H248" s="15" t="n">
        <v>46</v>
      </c>
      <c r="I248" s="15" t="n">
        <v>6</v>
      </c>
      <c r="J248" s="15" t="n">
        <v>15</v>
      </c>
      <c r="K248" s="15" t="n">
        <v>13</v>
      </c>
      <c r="L248" s="15" t="n">
        <v>3</v>
      </c>
      <c r="M248" s="15" t="n">
        <v>0</v>
      </c>
      <c r="N248" s="15" t="n">
        <v>0</v>
      </c>
      <c r="O248" s="15" t="n">
        <v>0</v>
      </c>
      <c r="P248" s="15" t="n">
        <v>0</v>
      </c>
      <c r="Q248" s="15" t="n">
        <v>0</v>
      </c>
      <c r="R248" s="15" t="n">
        <v>0</v>
      </c>
      <c r="S248" s="15" t="n">
        <v>16</v>
      </c>
      <c r="T248" s="14">
        <f>IF(COUNT(I248:S248)=0,"",SUM(I248:S248))</f>
        <v/>
      </c>
      <c r="U248" t="inlineStr"/>
    </row>
    <row r="249">
      <c r="A249" t="inlineStr">
        <is>
          <t>일광한신더휴센트럴포레2어린이집</t>
        </is>
      </c>
      <c r="B249" t="inlineStr">
        <is>
          <t>어린이집</t>
        </is>
      </c>
      <c r="C249" t="inlineStr">
        <is>
          <t>국공립</t>
        </is>
      </c>
      <c r="D249" t="inlineStr">
        <is>
          <t>기장군</t>
        </is>
      </c>
      <c r="E249" t="inlineStr">
        <is>
          <t>부산광역시 기장군 해빛3로 62</t>
        </is>
      </c>
      <c r="F249" t="inlineStr"/>
      <c r="G249" t="inlineStr">
        <is>
          <t>051-723-6242</t>
        </is>
      </c>
      <c r="H249" s="15" t="n">
        <v>62</v>
      </c>
      <c r="I249" s="15" t="n">
        <v>13</v>
      </c>
      <c r="J249" s="15" t="n">
        <v>15</v>
      </c>
      <c r="K249" s="15" t="n">
        <v>12</v>
      </c>
      <c r="L249" s="15" t="n">
        <v>0</v>
      </c>
      <c r="M249" s="15" t="n">
        <v>0</v>
      </c>
      <c r="N249" s="15" t="n">
        <v>0</v>
      </c>
      <c r="O249" s="15" t="n">
        <v>10</v>
      </c>
      <c r="P249" s="15" t="n">
        <v>6</v>
      </c>
      <c r="Q249" s="15" t="n">
        <v>0</v>
      </c>
      <c r="R249" s="15" t="n">
        <v>0</v>
      </c>
      <c r="S249" s="15" t="n">
        <v>18</v>
      </c>
      <c r="T249" s="14">
        <f>IF(COUNT(I249:S249)=0,"",SUM(I249:S249))</f>
        <v/>
      </c>
      <c r="U249" t="inlineStr"/>
    </row>
    <row r="250">
      <c r="A250" t="inlineStr">
        <is>
          <t>자연어린이집</t>
        </is>
      </c>
      <c r="B250" t="inlineStr">
        <is>
          <t>어린이집</t>
        </is>
      </c>
      <c r="C250" t="inlineStr">
        <is>
          <t>국공립</t>
        </is>
      </c>
      <c r="D250" t="inlineStr">
        <is>
          <t>기장군</t>
        </is>
      </c>
      <c r="E250" t="inlineStr">
        <is>
          <t>부산광역시 기장군 정관읍 정관1로 18 101동 102호(이지더원아파트)</t>
        </is>
      </c>
      <c r="F250" t="inlineStr"/>
      <c r="G250" t="inlineStr">
        <is>
          <t>051-728-4289</t>
        </is>
      </c>
      <c r="H250" s="15" t="n">
        <v>20</v>
      </c>
      <c r="I250" s="15" t="n">
        <v>2</v>
      </c>
      <c r="J250" s="15" t="n">
        <v>0</v>
      </c>
      <c r="K250" s="15" t="n">
        <v>6</v>
      </c>
      <c r="L250" s="15" t="n">
        <v>0</v>
      </c>
      <c r="M250" s="15" t="n">
        <v>0</v>
      </c>
      <c r="N250" s="15" t="n">
        <v>0</v>
      </c>
      <c r="O250" s="15" t="n">
        <v>8</v>
      </c>
      <c r="P250" s="15" t="n">
        <v>0</v>
      </c>
      <c r="Q250" s="15" t="n">
        <v>0</v>
      </c>
      <c r="R250" s="15" t="n">
        <v>0</v>
      </c>
      <c r="S250" s="15" t="n">
        <v>10</v>
      </c>
      <c r="T250" s="14">
        <f>IF(COUNT(I250:S250)=0,"",SUM(I250:S250))</f>
        <v/>
      </c>
      <c r="U250" t="inlineStr"/>
    </row>
    <row r="251">
      <c r="A251" t="inlineStr">
        <is>
          <t>장안어린이집</t>
        </is>
      </c>
      <c r="B251" t="inlineStr">
        <is>
          <t>어린이집</t>
        </is>
      </c>
      <c r="C251" t="inlineStr">
        <is>
          <t>사회복지법인</t>
        </is>
      </c>
      <c r="D251" t="inlineStr">
        <is>
          <t>기장군</t>
        </is>
      </c>
      <c r="E251" t="inlineStr">
        <is>
          <t>부산광역시 기장군 장안읍 해맞이로 167</t>
        </is>
      </c>
      <c r="F251" s="11" t="inlineStr">
        <is>
          <t>http://jang-an@hanmail.net</t>
        </is>
      </c>
      <c r="G251" t="inlineStr">
        <is>
          <t>051-727-5852</t>
        </is>
      </c>
      <c r="H251" s="15" t="n">
        <v>144</v>
      </c>
      <c r="I251" s="15" t="n">
        <v>3</v>
      </c>
      <c r="J251" s="15" t="n">
        <v>4</v>
      </c>
      <c r="K251" s="15" t="n">
        <v>0</v>
      </c>
      <c r="L251" s="15" t="n">
        <v>0</v>
      </c>
      <c r="M251" s="15" t="n">
        <v>0</v>
      </c>
      <c r="N251" s="15" t="n">
        <v>0</v>
      </c>
      <c r="O251" s="15" t="n">
        <v>6</v>
      </c>
      <c r="P251" s="15" t="n">
        <v>23</v>
      </c>
      <c r="Q251" s="15" t="n">
        <v>0</v>
      </c>
      <c r="R251" s="15" t="n">
        <v>0</v>
      </c>
      <c r="S251" s="15" t="n">
        <v>0</v>
      </c>
      <c r="T251" s="14">
        <f>IF(COUNT(I251:S251)=0,"",SUM(I251:S251))</f>
        <v/>
      </c>
      <c r="U251" t="inlineStr"/>
    </row>
    <row r="252">
      <c r="A252" t="inlineStr">
        <is>
          <t>전원어린이집</t>
        </is>
      </c>
      <c r="B252" t="inlineStr">
        <is>
          <t>어린이집</t>
        </is>
      </c>
      <c r="C252" t="inlineStr">
        <is>
          <t>사회복지법인</t>
        </is>
      </c>
      <c r="D252" t="inlineStr">
        <is>
          <t>기장군</t>
        </is>
      </c>
      <c r="E252" t="inlineStr">
        <is>
          <t>부산광역시 기장군 기장읍 차성로365번길 75</t>
        </is>
      </c>
      <c r="F252" t="inlineStr"/>
      <c r="G252" t="inlineStr">
        <is>
          <t>051-721-1775</t>
        </is>
      </c>
      <c r="H252" s="15" t="n">
        <v>130</v>
      </c>
      <c r="I252" s="15" t="n">
        <v>0</v>
      </c>
      <c r="J252" s="15" t="n">
        <v>0</v>
      </c>
      <c r="K252" s="15" t="n">
        <v>4</v>
      </c>
      <c r="L252" s="15" t="n">
        <v>0</v>
      </c>
      <c r="M252" s="15" t="n">
        <v>0</v>
      </c>
      <c r="N252" s="15" t="n">
        <v>0</v>
      </c>
      <c r="O252" s="15" t="n">
        <v>5</v>
      </c>
      <c r="P252" s="15" t="n">
        <v>13</v>
      </c>
      <c r="Q252" s="15" t="n">
        <v>0</v>
      </c>
      <c r="R252" s="15" t="n">
        <v>0</v>
      </c>
      <c r="S252" s="15" t="n">
        <v>0</v>
      </c>
      <c r="T252" s="14">
        <f>IF(COUNT(I252:S252)=0,"",SUM(I252:S252))</f>
        <v/>
      </c>
      <c r="U252" t="inlineStr"/>
    </row>
    <row r="253">
      <c r="A253" t="inlineStr">
        <is>
          <t>정관2어린이집</t>
        </is>
      </c>
      <c r="B253" t="inlineStr">
        <is>
          <t>어린이집</t>
        </is>
      </c>
      <c r="C253" t="inlineStr">
        <is>
          <t>국공립</t>
        </is>
      </c>
      <c r="D253" t="inlineStr">
        <is>
          <t>기장군</t>
        </is>
      </c>
      <c r="E253" t="inlineStr">
        <is>
          <t>부산광역시 기장군 정관읍 정관2로 24</t>
        </is>
      </c>
      <c r="F253" t="inlineStr"/>
      <c r="G253" t="inlineStr">
        <is>
          <t>051-727-6656</t>
        </is>
      </c>
      <c r="H253" s="15" t="n">
        <v>78</v>
      </c>
      <c r="I253" s="15" t="n">
        <v>6</v>
      </c>
      <c r="J253" s="15" t="n">
        <v>13</v>
      </c>
      <c r="K253" s="15" t="n">
        <v>9</v>
      </c>
      <c r="L253" s="15" t="n">
        <v>6</v>
      </c>
      <c r="M253" s="15" t="n">
        <v>0</v>
      </c>
      <c r="N253" s="15" t="n">
        <v>7</v>
      </c>
      <c r="O253" s="15" t="n">
        <v>0</v>
      </c>
      <c r="P253" s="15" t="n">
        <v>0</v>
      </c>
      <c r="Q253" s="15" t="n">
        <v>0</v>
      </c>
      <c r="R253" s="15" t="n">
        <v>0</v>
      </c>
      <c r="S253" s="15" t="n">
        <v>24</v>
      </c>
      <c r="T253" s="14">
        <f>IF(COUNT(I253:S253)=0,"",SUM(I253:S253))</f>
        <v/>
      </c>
      <c r="U253" t="inlineStr"/>
    </row>
    <row r="254">
      <c r="A254" t="inlineStr">
        <is>
          <t>정관3어린이집</t>
        </is>
      </c>
      <c r="B254" t="inlineStr">
        <is>
          <t>어린이집</t>
        </is>
      </c>
      <c r="C254" t="inlineStr">
        <is>
          <t>국공립</t>
        </is>
      </c>
      <c r="D254" t="inlineStr">
        <is>
          <t>기장군</t>
        </is>
      </c>
      <c r="E254" t="inlineStr">
        <is>
          <t>부산광역시 기장군 정관읍 산단4로 160</t>
        </is>
      </c>
      <c r="F254" t="inlineStr"/>
      <c r="G254" t="inlineStr">
        <is>
          <t>051-911-0551</t>
        </is>
      </c>
      <c r="H254" s="15" t="n">
        <v>53</v>
      </c>
      <c r="I254" s="15" t="n">
        <v>4</v>
      </c>
      <c r="J254" s="15" t="n">
        <v>4</v>
      </c>
      <c r="K254" s="15" t="n">
        <v>13</v>
      </c>
      <c r="L254" s="15" t="n">
        <v>0</v>
      </c>
      <c r="M254" s="15" t="n">
        <v>0</v>
      </c>
      <c r="N254" s="15" t="n">
        <v>0</v>
      </c>
      <c r="O254" s="15" t="n">
        <v>4</v>
      </c>
      <c r="P254" s="15" t="n">
        <v>6</v>
      </c>
      <c r="Q254" s="15" t="n">
        <v>0</v>
      </c>
      <c r="R254" s="15" t="n">
        <v>0</v>
      </c>
      <c r="S254" s="15" t="n">
        <v>14</v>
      </c>
      <c r="T254" s="14">
        <f>IF(COUNT(I254:S254)=0,"",SUM(I254:S254))</f>
        <v/>
      </c>
      <c r="U254" t="inlineStr"/>
    </row>
    <row r="255">
      <c r="A255" t="inlineStr">
        <is>
          <t>정관4어린이집</t>
        </is>
      </c>
      <c r="B255" t="inlineStr">
        <is>
          <t>어린이집</t>
        </is>
      </c>
      <c r="C255" t="inlineStr">
        <is>
          <t>국공립</t>
        </is>
      </c>
      <c r="D255" t="inlineStr">
        <is>
          <t>기장군</t>
        </is>
      </c>
      <c r="E255" t="inlineStr">
        <is>
          <t>부산광역시 기장군 정관읍 산단2로 60 휴먼시아5단지</t>
        </is>
      </c>
      <c r="F255" t="inlineStr"/>
      <c r="G255" t="inlineStr">
        <is>
          <t>051-728-6078</t>
        </is>
      </c>
      <c r="H255" s="15" t="n">
        <v>47</v>
      </c>
      <c r="I255" s="15" t="n">
        <v>0</v>
      </c>
      <c r="J255" s="15" t="n">
        <v>5</v>
      </c>
      <c r="K255" s="15" t="n">
        <v>5</v>
      </c>
      <c r="L255" s="15" t="n">
        <v>0</v>
      </c>
      <c r="M255" s="15" t="n">
        <v>0</v>
      </c>
      <c r="N255" s="15" t="n">
        <v>0</v>
      </c>
      <c r="O255" s="15" t="n">
        <v>2</v>
      </c>
      <c r="P255" s="15" t="n">
        <v>11</v>
      </c>
      <c r="Q255" s="15" t="n">
        <v>0</v>
      </c>
      <c r="R255" s="15" t="n">
        <v>9</v>
      </c>
      <c r="S255" s="15" t="n">
        <v>12</v>
      </c>
      <c r="T255" s="14">
        <f>IF(COUNT(I255:S255)=0,"",SUM(I255:S255))</f>
        <v/>
      </c>
      <c r="U255" t="inlineStr"/>
    </row>
    <row r="256">
      <c r="A256" t="inlineStr">
        <is>
          <t>정관5어린이집</t>
        </is>
      </c>
      <c r="B256" t="inlineStr">
        <is>
          <t>어린이집</t>
        </is>
      </c>
      <c r="C256" t="inlineStr">
        <is>
          <t>국공립</t>
        </is>
      </c>
      <c r="D256" t="inlineStr">
        <is>
          <t>기장군</t>
        </is>
      </c>
      <c r="E256" t="inlineStr">
        <is>
          <t>부산광역시 기장군 정관읍 정관중앙로 110</t>
        </is>
      </c>
      <c r="F256" t="inlineStr"/>
      <c r="G256" t="inlineStr">
        <is>
          <t>051-937-2200</t>
        </is>
      </c>
      <c r="H256" s="15" t="n">
        <v>76</v>
      </c>
      <c r="I256" s="15" t="n">
        <v>9</v>
      </c>
      <c r="J256" s="15" t="n">
        <v>10</v>
      </c>
      <c r="K256" s="15" t="n">
        <v>24</v>
      </c>
      <c r="L256" s="15" t="n">
        <v>9</v>
      </c>
      <c r="M256" s="15" t="n">
        <v>0</v>
      </c>
      <c r="N256" s="15" t="n">
        <v>0</v>
      </c>
      <c r="O256" s="15" t="n">
        <v>0</v>
      </c>
      <c r="P256" s="15" t="n">
        <v>0</v>
      </c>
      <c r="Q256" s="15" t="n">
        <v>0</v>
      </c>
      <c r="R256" s="15" t="n">
        <v>0</v>
      </c>
      <c r="S256" s="15" t="n">
        <v>7</v>
      </c>
      <c r="T256" s="14">
        <f>IF(COUNT(I256:S256)=0,"",SUM(I256:S256))</f>
        <v/>
      </c>
      <c r="U256" t="inlineStr"/>
    </row>
    <row r="257">
      <c r="A257" t="inlineStr">
        <is>
          <t>정관6어린이집</t>
        </is>
      </c>
      <c r="B257" t="inlineStr">
        <is>
          <t>어린이집</t>
        </is>
      </c>
      <c r="C257" t="inlineStr">
        <is>
          <t>국공립</t>
        </is>
      </c>
      <c r="D257" t="inlineStr">
        <is>
          <t>기장군</t>
        </is>
      </c>
      <c r="E257" t="inlineStr">
        <is>
          <t>부산광역시 기장군 정관읍 모전로 41</t>
        </is>
      </c>
      <c r="F257" t="inlineStr"/>
      <c r="G257" t="inlineStr">
        <is>
          <t>051-727-2772</t>
        </is>
      </c>
      <c r="H257" s="15" t="n">
        <v>62</v>
      </c>
      <c r="I257" s="15" t="n">
        <v>7</v>
      </c>
      <c r="J257" s="15" t="n">
        <v>15</v>
      </c>
      <c r="K257" s="15" t="n">
        <v>13</v>
      </c>
      <c r="L257" s="15" t="n">
        <v>0</v>
      </c>
      <c r="M257" s="15" t="n">
        <v>0</v>
      </c>
      <c r="N257" s="15" t="n">
        <v>0</v>
      </c>
      <c r="O257" s="15" t="n">
        <v>0</v>
      </c>
      <c r="P257" s="15" t="n">
        <v>12</v>
      </c>
      <c r="Q257" s="15" t="n">
        <v>0</v>
      </c>
      <c r="R257" s="15" t="n">
        <v>3</v>
      </c>
      <c r="S257" s="15" t="n">
        <v>24</v>
      </c>
      <c r="T257" s="14">
        <f>IF(COUNT(I257:S257)=0,"",SUM(I257:S257))</f>
        <v/>
      </c>
      <c r="U257" t="inlineStr"/>
    </row>
    <row r="258">
      <c r="A258" t="inlineStr">
        <is>
          <t>정관7어린이집</t>
        </is>
      </c>
      <c r="B258" t="inlineStr">
        <is>
          <t>어린이집</t>
        </is>
      </c>
      <c r="C258" t="inlineStr">
        <is>
          <t>국공립</t>
        </is>
      </c>
      <c r="D258" t="inlineStr">
        <is>
          <t>기장군</t>
        </is>
      </c>
      <c r="E258" t="inlineStr">
        <is>
          <t>부산광역시 기장군 정관읍 정관1로 51</t>
        </is>
      </c>
      <c r="F258" s="11" t="inlineStr">
        <is>
          <t>https://www.instagram.com/jeong_gwan_7?igsh=MWVuYTJlbzR1aWdxaQ%3D%3D&amp;utm_source=qr</t>
        </is>
      </c>
      <c r="G258" t="inlineStr">
        <is>
          <t>051-727-8081</t>
        </is>
      </c>
      <c r="H258" s="15" t="n">
        <v>62</v>
      </c>
      <c r="I258" s="15" t="n">
        <v>0</v>
      </c>
      <c r="J258" s="15" t="n">
        <v>5</v>
      </c>
      <c r="K258" s="15" t="n">
        <v>0</v>
      </c>
      <c r="L258" s="15" t="n">
        <v>7</v>
      </c>
      <c r="M258" s="15" t="n">
        <v>0</v>
      </c>
      <c r="N258" s="15" t="n">
        <v>0</v>
      </c>
      <c r="O258" s="15" t="n">
        <v>7</v>
      </c>
      <c r="P258" s="15" t="n">
        <v>8</v>
      </c>
      <c r="Q258" s="15" t="n">
        <v>0</v>
      </c>
      <c r="R258" s="15" t="n">
        <v>4</v>
      </c>
      <c r="S258" s="15" t="n">
        <v>6</v>
      </c>
      <c r="T258" s="14">
        <f>IF(COUNT(I258:S258)=0,"",SUM(I258:S258))</f>
        <v/>
      </c>
      <c r="U258" t="inlineStr"/>
    </row>
    <row r="259">
      <c r="A259" t="inlineStr">
        <is>
          <t>정관8어린이집</t>
        </is>
      </c>
      <c r="B259" t="inlineStr">
        <is>
          <t>어린이집</t>
        </is>
      </c>
      <c r="C259" t="inlineStr">
        <is>
          <t>국공립</t>
        </is>
      </c>
      <c r="D259" t="inlineStr">
        <is>
          <t>기장군</t>
        </is>
      </c>
      <c r="E259" t="inlineStr">
        <is>
          <t>부산광역시 기장군 정관읍 곰내길 654-152</t>
        </is>
      </c>
      <c r="F259" t="inlineStr"/>
      <c r="G259" t="inlineStr">
        <is>
          <t>051-728-7547</t>
        </is>
      </c>
      <c r="H259" s="15" t="n">
        <v>55</v>
      </c>
      <c r="I259" s="15" t="n">
        <v>0</v>
      </c>
      <c r="J259" s="15" t="n">
        <v>0</v>
      </c>
      <c r="K259" s="15" t="n">
        <v>0</v>
      </c>
      <c r="L259" s="15" t="n">
        <v>0</v>
      </c>
      <c r="M259" s="15" t="n">
        <v>0</v>
      </c>
      <c r="N259" s="15" t="n">
        <v>0</v>
      </c>
      <c r="O259" s="15" t="n">
        <v>3</v>
      </c>
      <c r="P259" s="15" t="n">
        <v>0</v>
      </c>
      <c r="Q259" s="15" t="n">
        <v>0</v>
      </c>
      <c r="R259" s="15" t="n">
        <v>13</v>
      </c>
      <c r="S259" s="15" t="n">
        <v>9</v>
      </c>
      <c r="T259" s="14">
        <f>IF(COUNT(I259:S259)=0,"",SUM(I259:S259))</f>
        <v/>
      </c>
      <c r="U259" t="inlineStr"/>
    </row>
    <row r="260">
      <c r="A260" t="inlineStr">
        <is>
          <t>정관어린이집</t>
        </is>
      </c>
      <c r="B260" t="inlineStr">
        <is>
          <t>어린이집</t>
        </is>
      </c>
      <c r="C260" t="inlineStr">
        <is>
          <t>국공립</t>
        </is>
      </c>
      <c r="D260" t="inlineStr">
        <is>
          <t>기장군</t>
        </is>
      </c>
      <c r="E260" t="inlineStr">
        <is>
          <t>부산광역시 기장군 정관읍 정관4로 23 휴먼시아1단지</t>
        </is>
      </c>
      <c r="F260" t="inlineStr"/>
      <c r="G260" t="inlineStr">
        <is>
          <t>051-727-1139</t>
        </is>
      </c>
      <c r="H260" s="15" t="n">
        <v>47</v>
      </c>
      <c r="I260" s="15" t="n">
        <v>2</v>
      </c>
      <c r="J260" s="15" t="n">
        <v>7</v>
      </c>
      <c r="K260" s="15" t="n">
        <v>11</v>
      </c>
      <c r="L260" s="15" t="n">
        <v>0</v>
      </c>
      <c r="M260" s="15" t="n">
        <v>0</v>
      </c>
      <c r="N260" s="15" t="n">
        <v>0</v>
      </c>
      <c r="O260" s="15" t="n">
        <v>0</v>
      </c>
      <c r="P260" s="15" t="n">
        <v>9</v>
      </c>
      <c r="Q260" s="15" t="n">
        <v>0</v>
      </c>
      <c r="R260" s="15" t="n">
        <v>0</v>
      </c>
      <c r="S260" s="15" t="n">
        <v>18</v>
      </c>
      <c r="T260" s="14">
        <f>IF(COUNT(I260:S260)=0,"",SUM(I260:S260))</f>
        <v/>
      </c>
      <c r="U260" t="inlineStr"/>
    </row>
    <row r="261">
      <c r="A261" t="inlineStr">
        <is>
          <t>정관옥스퍼드어린이집</t>
        </is>
      </c>
      <c r="B261" t="inlineStr">
        <is>
          <t>어린이집</t>
        </is>
      </c>
      <c r="C261" t="inlineStr">
        <is>
          <t>민간</t>
        </is>
      </c>
      <c r="D261" t="inlineStr">
        <is>
          <t>기장군</t>
        </is>
      </c>
      <c r="E261" t="inlineStr">
        <is>
          <t>부산광역시 기장군 정관읍 가동옛길 15</t>
        </is>
      </c>
      <c r="F261" t="inlineStr"/>
      <c r="G261" t="inlineStr">
        <is>
          <t>051-727-8181</t>
        </is>
      </c>
      <c r="H261" s="15" t="n">
        <v>115</v>
      </c>
      <c r="I261" s="15" t="n">
        <v>7</v>
      </c>
      <c r="J261" s="15" t="n">
        <v>16</v>
      </c>
      <c r="K261" s="15" t="n">
        <v>18</v>
      </c>
      <c r="L261" s="15" t="n">
        <v>13</v>
      </c>
      <c r="M261" s="15" t="n">
        <v>14</v>
      </c>
      <c r="N261" s="15" t="n">
        <v>0</v>
      </c>
      <c r="O261" s="15" t="n">
        <v>5</v>
      </c>
      <c r="P261" s="15" t="n">
        <v>10</v>
      </c>
      <c r="Q261" s="15" t="n">
        <v>0</v>
      </c>
      <c r="R261" s="15" t="n">
        <v>0</v>
      </c>
      <c r="S261" s="15" t="n">
        <v>25</v>
      </c>
      <c r="T261" s="14">
        <f>IF(COUNT(I261:S261)=0,"",SUM(I261:S261))</f>
        <v/>
      </c>
      <c r="U261" t="inlineStr"/>
    </row>
    <row r="262">
      <c r="A262" t="inlineStr">
        <is>
          <t>제일사랑어린이집</t>
        </is>
      </c>
      <c r="B262" t="inlineStr">
        <is>
          <t>어린이집</t>
        </is>
      </c>
      <c r="C262" t="inlineStr">
        <is>
          <t>민간</t>
        </is>
      </c>
      <c r="D262" t="inlineStr">
        <is>
          <t>기장군</t>
        </is>
      </c>
      <c r="E262" t="inlineStr">
        <is>
          <t>부산광역시 기장군 정관읍 정관1로 18 EG the 1 1차아파트 관리동</t>
        </is>
      </c>
      <c r="F262" s="11" t="inlineStr">
        <is>
          <t>http://http//good-mom.co.kr/1love</t>
        </is>
      </c>
      <c r="G262" t="inlineStr">
        <is>
          <t>051-728-9111</t>
        </is>
      </c>
      <c r="H262" s="15" t="n">
        <v>39</v>
      </c>
      <c r="I262" s="15" t="n">
        <v>4</v>
      </c>
      <c r="J262" s="15" t="n">
        <v>4</v>
      </c>
      <c r="K262" s="15" t="n">
        <v>11</v>
      </c>
      <c r="L262" s="15" t="n">
        <v>0</v>
      </c>
      <c r="M262" s="15" t="n">
        <v>0</v>
      </c>
      <c r="N262" s="15" t="n">
        <v>0</v>
      </c>
      <c r="O262" s="15" t="n">
        <v>2</v>
      </c>
      <c r="P262" s="15" t="n">
        <v>6</v>
      </c>
      <c r="Q262" s="15" t="n">
        <v>0</v>
      </c>
      <c r="R262" s="15" t="n">
        <v>0</v>
      </c>
      <c r="S262" s="15" t="n">
        <v>22</v>
      </c>
      <c r="T262" s="14">
        <f>IF(COUNT(I262:S262)=0,"",SUM(I262:S262))</f>
        <v/>
      </c>
      <c r="U262" t="inlineStr"/>
    </row>
    <row r="263">
      <c r="A263" t="inlineStr">
        <is>
          <t>짱짱어린이집</t>
        </is>
      </c>
      <c r="B263" t="inlineStr">
        <is>
          <t>어린이집</t>
        </is>
      </c>
      <c r="C263" t="inlineStr">
        <is>
          <t>협동</t>
        </is>
      </c>
      <c r="D263" t="inlineStr">
        <is>
          <t>기장군</t>
        </is>
      </c>
      <c r="E263" t="inlineStr">
        <is>
          <t>부산광역시 기장군 정관읍 용수1길 16-26</t>
        </is>
      </c>
      <c r="F263" s="11" t="inlineStr">
        <is>
          <t>http://cafe.naver.com/orangeb9b01</t>
        </is>
      </c>
      <c r="G263" t="inlineStr">
        <is>
          <t>051-728-4786</t>
        </is>
      </c>
      <c r="H263" s="15" t="n">
        <v>33</v>
      </c>
      <c r="I263" s="15" t="n">
        <v>0</v>
      </c>
      <c r="J263" s="15" t="n">
        <v>0</v>
      </c>
      <c r="K263" s="15" t="n">
        <v>0</v>
      </c>
      <c r="L263" s="15" t="n">
        <v>0</v>
      </c>
      <c r="M263" s="15" t="n">
        <v>0</v>
      </c>
      <c r="N263" s="15" t="n">
        <v>0</v>
      </c>
      <c r="O263" s="15" t="n">
        <v>2</v>
      </c>
      <c r="P263" s="15" t="n">
        <v>5</v>
      </c>
      <c r="Q263" s="15" t="n">
        <v>0</v>
      </c>
      <c r="R263" s="15" t="n">
        <v>0</v>
      </c>
      <c r="S263" s="15" t="n">
        <v>7</v>
      </c>
      <c r="T263" s="14">
        <f>IF(COUNT(I263:S263)=0,"",SUM(I263:S263))</f>
        <v/>
      </c>
      <c r="U263" t="inlineStr"/>
    </row>
    <row r="264">
      <c r="A264" t="inlineStr">
        <is>
          <t>참조은어린이집</t>
        </is>
      </c>
      <c r="B264" t="inlineStr">
        <is>
          <t>어린이집</t>
        </is>
      </c>
      <c r="C264" t="inlineStr">
        <is>
          <t>민간</t>
        </is>
      </c>
      <c r="D264" t="inlineStr">
        <is>
          <t>기장군</t>
        </is>
      </c>
      <c r="E264" t="inlineStr">
        <is>
          <t>부산광역시 기장군 기장읍 차성로404번길 52</t>
        </is>
      </c>
      <c r="F264" t="inlineStr"/>
      <c r="G264" t="inlineStr">
        <is>
          <t>051-722-5008</t>
        </is>
      </c>
      <c r="H264" s="15" t="n">
        <v>99</v>
      </c>
      <c r="I264" s="15" t="n">
        <v>0</v>
      </c>
      <c r="J264" s="15" t="n">
        <v>8</v>
      </c>
      <c r="K264" s="15" t="n">
        <v>12</v>
      </c>
      <c r="L264" s="15" t="n">
        <v>8</v>
      </c>
      <c r="M264" s="15" t="n">
        <v>14</v>
      </c>
      <c r="N264" s="15" t="n">
        <v>17</v>
      </c>
      <c r="O264" s="15" t="n">
        <v>4</v>
      </c>
      <c r="P264" s="15" t="n">
        <v>0</v>
      </c>
      <c r="Q264" s="15" t="n">
        <v>0</v>
      </c>
      <c r="R264" s="15" t="n">
        <v>0</v>
      </c>
      <c r="S264" s="15" t="n">
        <v>33</v>
      </c>
      <c r="T264" s="14">
        <f>IF(COUNT(I264:S264)=0,"",SUM(I264:S264))</f>
        <v/>
      </c>
      <c r="U264" t="inlineStr"/>
    </row>
    <row r="265">
      <c r="A265" t="inlineStr">
        <is>
          <t>철마어린이집</t>
        </is>
      </c>
      <c r="B265" t="inlineStr">
        <is>
          <t>어린이집</t>
        </is>
      </c>
      <c r="C265" t="inlineStr">
        <is>
          <t>국공립</t>
        </is>
      </c>
      <c r="D265" t="inlineStr">
        <is>
          <t>기장군</t>
        </is>
      </c>
      <c r="E265" t="inlineStr">
        <is>
          <t>부산광역시 기장군 철마면 곰내길 13</t>
        </is>
      </c>
      <c r="F265" s="11" t="inlineStr">
        <is>
          <t>https://www.instagram.com/chulma_serassam/</t>
        </is>
      </c>
      <c r="G265" t="inlineStr">
        <is>
          <t>051-721-5804</t>
        </is>
      </c>
      <c r="H265" s="15" t="n">
        <v>49</v>
      </c>
      <c r="I265" s="15" t="n">
        <v>0</v>
      </c>
      <c r="J265" s="15" t="n">
        <v>8</v>
      </c>
      <c r="K265" s="15" t="n">
        <v>0</v>
      </c>
      <c r="L265" s="15" t="n">
        <v>0</v>
      </c>
      <c r="M265" s="15" t="n">
        <v>0</v>
      </c>
      <c r="N265" s="15" t="n">
        <v>0</v>
      </c>
      <c r="O265" s="15" t="n">
        <v>3</v>
      </c>
      <c r="P265" s="15" t="n">
        <v>7</v>
      </c>
      <c r="Q265" s="15" t="n">
        <v>0</v>
      </c>
      <c r="R265" s="15" t="n">
        <v>0</v>
      </c>
      <c r="S265" s="15" t="n">
        <v>3</v>
      </c>
      <c r="T265" s="14">
        <f>IF(COUNT(I265:S265)=0,"",SUM(I265:S265))</f>
        <v/>
      </c>
      <c r="U265" t="inlineStr"/>
    </row>
    <row r="266">
      <c r="A266" t="inlineStr">
        <is>
          <t>청담자연어린이집</t>
        </is>
      </c>
      <c r="B266" t="inlineStr">
        <is>
          <t>어린이집</t>
        </is>
      </c>
      <c r="C266" t="inlineStr">
        <is>
          <t>민간</t>
        </is>
      </c>
      <c r="D266" t="inlineStr">
        <is>
          <t>기장군</t>
        </is>
      </c>
      <c r="E266" t="inlineStr">
        <is>
          <t>부산광역시 기장군 정관읍 산막길 46-23</t>
        </is>
      </c>
      <c r="F266" t="inlineStr"/>
      <c r="G266" t="inlineStr">
        <is>
          <t>051-728-7767</t>
        </is>
      </c>
      <c r="H266" s="15" t="n">
        <v>112</v>
      </c>
      <c r="I266" s="15" t="n">
        <v>0</v>
      </c>
      <c r="J266" s="15" t="n">
        <v>0</v>
      </c>
      <c r="K266" s="15" t="n">
        <v>0</v>
      </c>
      <c r="L266" s="15" t="n">
        <v>0</v>
      </c>
      <c r="M266" s="15" t="n">
        <v>0</v>
      </c>
      <c r="N266" s="15" t="n">
        <v>0</v>
      </c>
      <c r="O266" s="15" t="n">
        <v>0</v>
      </c>
      <c r="P266" s="15" t="n">
        <v>0</v>
      </c>
      <c r="Q266" s="15" t="n">
        <v>0</v>
      </c>
      <c r="R266" s="15" t="n">
        <v>0</v>
      </c>
      <c r="S266" s="15" t="n">
        <v>0</v>
      </c>
      <c r="T266" s="14">
        <f>IF(COUNT(I266:S266)=0,"",SUM(I266:S266))</f>
        <v/>
      </c>
      <c r="U266" t="inlineStr"/>
    </row>
    <row r="267">
      <c r="A267" t="inlineStr">
        <is>
          <t>초록어린이집</t>
        </is>
      </c>
      <c r="B267" t="inlineStr">
        <is>
          <t>어린이집</t>
        </is>
      </c>
      <c r="C267" t="inlineStr">
        <is>
          <t>민간</t>
        </is>
      </c>
      <c r="D267" t="inlineStr">
        <is>
          <t>기장군</t>
        </is>
      </c>
      <c r="E267" t="inlineStr">
        <is>
          <t>부산광역시 기장군 기장읍 차성로404번길 33</t>
        </is>
      </c>
      <c r="F267" s="11" t="inlineStr">
        <is>
          <t>http://chfhr.happyihome.com</t>
        </is>
      </c>
      <c r="G267" t="inlineStr">
        <is>
          <t>051-721-0324</t>
        </is>
      </c>
      <c r="H267" s="15" t="n">
        <v>120</v>
      </c>
      <c r="I267" s="15" t="n">
        <v>4</v>
      </c>
      <c r="J267" s="15" t="n">
        <v>0</v>
      </c>
      <c r="K267" s="15" t="n">
        <v>0</v>
      </c>
      <c r="L267" s="15" t="n">
        <v>0</v>
      </c>
      <c r="M267" s="15" t="n">
        <v>0</v>
      </c>
      <c r="N267" s="15" t="n">
        <v>0</v>
      </c>
      <c r="O267" s="15" t="n">
        <v>6</v>
      </c>
      <c r="P267" s="15" t="n">
        <v>17</v>
      </c>
      <c r="Q267" s="15" t="n">
        <v>0</v>
      </c>
      <c r="R267" s="15" t="n">
        <v>0</v>
      </c>
      <c r="S267" s="15" t="n">
        <v>12</v>
      </c>
      <c r="T267" s="14">
        <f>IF(COUNT(I267:S267)=0,"",SUM(I267:S267))</f>
        <v/>
      </c>
      <c r="U267" t="inlineStr"/>
    </row>
    <row r="268">
      <c r="A268" t="inlineStr">
        <is>
          <t>칠암어린이집</t>
        </is>
      </c>
      <c r="B268" t="inlineStr">
        <is>
          <t>어린이집</t>
        </is>
      </c>
      <c r="C268" t="inlineStr">
        <is>
          <t>사회복지법인</t>
        </is>
      </c>
      <c r="D268" t="inlineStr">
        <is>
          <t>기장군</t>
        </is>
      </c>
      <c r="E268" t="inlineStr">
        <is>
          <t>부산광역시 기장군 일광면 박영준길 18</t>
        </is>
      </c>
      <c r="F268" t="inlineStr"/>
      <c r="G268" t="inlineStr">
        <is>
          <t>051-727-5777</t>
        </is>
      </c>
      <c r="H268" s="15" t="n">
        <v>140</v>
      </c>
      <c r="I268" s="15" t="n">
        <v>0</v>
      </c>
      <c r="J268" s="15" t="n">
        <v>0</v>
      </c>
      <c r="K268" s="15" t="n">
        <v>6</v>
      </c>
      <c r="L268" s="15" t="n">
        <v>0</v>
      </c>
      <c r="M268" s="15" t="n">
        <v>0</v>
      </c>
      <c r="N268" s="15" t="n">
        <v>0</v>
      </c>
      <c r="O268" s="15" t="n">
        <v>7</v>
      </c>
      <c r="P268" s="15" t="n">
        <v>29</v>
      </c>
      <c r="Q268" s="15" t="n">
        <v>0</v>
      </c>
      <c r="R268" s="15" t="n">
        <v>0</v>
      </c>
      <c r="S268" s="15" t="n">
        <v>30</v>
      </c>
      <c r="T268" s="14">
        <f>IF(COUNT(I268:S268)=0,"",SUM(I268:S268))</f>
        <v/>
      </c>
      <c r="U268" t="inlineStr"/>
    </row>
    <row r="269">
      <c r="A269" t="inlineStr">
        <is>
          <t>키즈클럽어린이집</t>
        </is>
      </c>
      <c r="B269" t="inlineStr">
        <is>
          <t>어린이집</t>
        </is>
      </c>
      <c r="C269" t="inlineStr">
        <is>
          <t>민간</t>
        </is>
      </c>
      <c r="D269" t="inlineStr">
        <is>
          <t>기장군</t>
        </is>
      </c>
      <c r="E269" t="inlineStr">
        <is>
          <t>부산광역시 기장군 정관읍 정관3로 51 롯데캐슬2차 관리동</t>
        </is>
      </c>
      <c r="F269" t="inlineStr"/>
      <c r="G269" t="inlineStr">
        <is>
          <t>051-727-6728</t>
        </is>
      </c>
      <c r="H269" s="15" t="n">
        <v>30</v>
      </c>
      <c r="I269" s="15" t="n">
        <v>8</v>
      </c>
      <c r="J269" s="15" t="n">
        <v>8</v>
      </c>
      <c r="K269" s="15" t="n">
        <v>4</v>
      </c>
      <c r="L269" s="15" t="n">
        <v>0</v>
      </c>
      <c r="M269" s="15" t="n">
        <v>0</v>
      </c>
      <c r="N269" s="15" t="n">
        <v>0</v>
      </c>
      <c r="O269" s="15" t="n">
        <v>0</v>
      </c>
      <c r="P269" s="15" t="n">
        <v>0</v>
      </c>
      <c r="Q269" s="15" t="n">
        <v>0</v>
      </c>
      <c r="R269" s="15" t="n">
        <v>0</v>
      </c>
      <c r="S269" s="15" t="n">
        <v>7</v>
      </c>
      <c r="T269" s="14">
        <f>IF(COUNT(I269:S269)=0,"",SUM(I269:S269))</f>
        <v/>
      </c>
      <c r="U269" t="inlineStr"/>
    </row>
    <row r="270">
      <c r="A270" t="inlineStr">
        <is>
          <t>키즈클럽해맑은어린이집</t>
        </is>
      </c>
      <c r="B270" t="inlineStr">
        <is>
          <t>어린이집</t>
        </is>
      </c>
      <c r="C270" t="inlineStr">
        <is>
          <t>민간</t>
        </is>
      </c>
      <c r="D270" t="inlineStr">
        <is>
          <t>기장군</t>
        </is>
      </c>
      <c r="E270" t="inlineStr">
        <is>
          <t>부산광역시 기장군 기장읍 청강로73번길 7</t>
        </is>
      </c>
      <c r="F270" t="inlineStr"/>
      <c r="G270" t="inlineStr">
        <is>
          <t>051-724-8006</t>
        </is>
      </c>
      <c r="H270" s="15" t="n">
        <v>153</v>
      </c>
      <c r="I270" s="15" t="n">
        <v>0</v>
      </c>
      <c r="J270" s="15" t="n">
        <v>0</v>
      </c>
      <c r="K270" s="15" t="n">
        <v>0</v>
      </c>
      <c r="L270" s="15" t="n">
        <v>0</v>
      </c>
      <c r="M270" s="15" t="n">
        <v>0</v>
      </c>
      <c r="N270" s="15" t="n">
        <v>0</v>
      </c>
      <c r="O270" s="15" t="n">
        <v>0</v>
      </c>
      <c r="P270" s="15" t="n">
        <v>0</v>
      </c>
      <c r="Q270" s="15" t="n">
        <v>0</v>
      </c>
      <c r="R270" s="15" t="n">
        <v>0</v>
      </c>
      <c r="S270" s="15" t="n">
        <v>0</v>
      </c>
      <c r="T270" s="14">
        <f>IF(COUNT(I270:S270)=0,"",SUM(I270:S270))</f>
        <v/>
      </c>
      <c r="U270" t="inlineStr"/>
    </row>
    <row r="271">
      <c r="A271" t="inlineStr">
        <is>
          <t>퍼니존어린이집</t>
        </is>
      </c>
      <c r="B271" t="inlineStr">
        <is>
          <t>어린이집</t>
        </is>
      </c>
      <c r="C271" t="inlineStr">
        <is>
          <t>가정</t>
        </is>
      </c>
      <c r="D271" t="inlineStr">
        <is>
          <t>기장군</t>
        </is>
      </c>
      <c r="E271" t="inlineStr">
        <is>
          <t>부산광역시 기장군 정관읍 정관5로 12 동원로얄듀크2차 202-101</t>
        </is>
      </c>
      <c r="F271" t="inlineStr"/>
      <c r="G271" t="inlineStr">
        <is>
          <t>051-937-1010</t>
        </is>
      </c>
      <c r="H271" s="15" t="n">
        <v>20</v>
      </c>
      <c r="I271" s="15" t="n">
        <v>3</v>
      </c>
      <c r="J271" s="15" t="n">
        <v>8</v>
      </c>
      <c r="K271" s="15" t="n">
        <v>6</v>
      </c>
      <c r="L271" s="15" t="n">
        <v>0</v>
      </c>
      <c r="M271" s="15" t="n">
        <v>0</v>
      </c>
      <c r="N271" s="15" t="n">
        <v>0</v>
      </c>
      <c r="O271" s="15" t="n">
        <v>0</v>
      </c>
      <c r="P271" s="15" t="n">
        <v>0</v>
      </c>
      <c r="Q271" s="15" t="n">
        <v>0</v>
      </c>
      <c r="R271" s="15" t="n">
        <v>0</v>
      </c>
      <c r="S271" s="15" t="n">
        <v>6</v>
      </c>
      <c r="T271" s="14">
        <f>IF(COUNT(I271:S271)=0,"",SUM(I271:S271))</f>
        <v/>
      </c>
      <c r="U271" t="inlineStr"/>
    </row>
    <row r="272">
      <c r="A272" t="inlineStr">
        <is>
          <t>풀꽃어린이집</t>
        </is>
      </c>
      <c r="B272" t="inlineStr">
        <is>
          <t>어린이집</t>
        </is>
      </c>
      <c r="C272" t="inlineStr">
        <is>
          <t>가정</t>
        </is>
      </c>
      <c r="D272" t="inlineStr">
        <is>
          <t>기장군</t>
        </is>
      </c>
      <c r="E272" t="inlineStr">
        <is>
          <t>부산광역시 기장군 정관읍 정관4로 24 동일스위트1차 119동 104호</t>
        </is>
      </c>
      <c r="F272" t="inlineStr"/>
      <c r="G272" t="inlineStr">
        <is>
          <t>051-727-0129</t>
        </is>
      </c>
      <c r="H272" s="15" t="n">
        <v>20</v>
      </c>
      <c r="I272" s="15" t="n">
        <v>2</v>
      </c>
      <c r="J272" s="15" t="n">
        <v>0</v>
      </c>
      <c r="K272" s="15" t="n">
        <v>0</v>
      </c>
      <c r="L272" s="15" t="n">
        <v>0</v>
      </c>
      <c r="M272" s="15" t="n">
        <v>0</v>
      </c>
      <c r="N272" s="15" t="n">
        <v>0</v>
      </c>
      <c r="O272" s="15" t="n">
        <v>8</v>
      </c>
      <c r="P272" s="15" t="n">
        <v>0</v>
      </c>
      <c r="Q272" s="15" t="n">
        <v>0</v>
      </c>
      <c r="R272" s="15" t="n">
        <v>0</v>
      </c>
      <c r="S272" s="15" t="n">
        <v>9</v>
      </c>
      <c r="T272" s="14">
        <f>IF(COUNT(I272:S272)=0,"",SUM(I272:S272))</f>
        <v/>
      </c>
      <c r="U272" t="inlineStr"/>
    </row>
    <row r="273">
      <c r="A273" t="inlineStr">
        <is>
          <t>한성어린이집</t>
        </is>
      </c>
      <c r="B273" t="inlineStr">
        <is>
          <t>어린이집</t>
        </is>
      </c>
      <c r="C273" t="inlineStr">
        <is>
          <t>사회복지법인</t>
        </is>
      </c>
      <c r="D273" t="inlineStr">
        <is>
          <t>기장군</t>
        </is>
      </c>
      <c r="E273" t="inlineStr">
        <is>
          <t>부산광역시 기장군 정관읍 정관덕산1길 20</t>
        </is>
      </c>
      <c r="F273" t="inlineStr"/>
      <c r="G273" t="inlineStr">
        <is>
          <t>051-728-7111</t>
        </is>
      </c>
      <c r="H273" s="15" t="n">
        <v>78</v>
      </c>
      <c r="I273" s="15" t="n">
        <v>0</v>
      </c>
      <c r="J273" s="15" t="n">
        <v>0</v>
      </c>
      <c r="K273" s="15" t="n">
        <v>0</v>
      </c>
      <c r="L273" s="15" t="n">
        <v>0</v>
      </c>
      <c r="M273" s="15" t="n">
        <v>0</v>
      </c>
      <c r="N273" s="15" t="n">
        <v>0</v>
      </c>
      <c r="O273" s="15" t="n">
        <v>8</v>
      </c>
      <c r="P273" s="15" t="n">
        <v>10</v>
      </c>
      <c r="Q273" s="15" t="n">
        <v>0</v>
      </c>
      <c r="R273" s="15" t="n">
        <v>0</v>
      </c>
      <c r="S273" s="15" t="n">
        <v>14</v>
      </c>
      <c r="T273" s="14">
        <f>IF(COUNT(I273:S273)=0,"",SUM(I273:S273))</f>
        <v/>
      </c>
      <c r="U273" t="inlineStr"/>
    </row>
    <row r="274">
      <c r="A274" t="inlineStr">
        <is>
          <t>한솔어린이집</t>
        </is>
      </c>
      <c r="B274" t="inlineStr">
        <is>
          <t>어린이집</t>
        </is>
      </c>
      <c r="C274" t="inlineStr">
        <is>
          <t>사회복지법인</t>
        </is>
      </c>
      <c r="D274" t="inlineStr">
        <is>
          <t>기장군</t>
        </is>
      </c>
      <c r="E274" t="inlineStr">
        <is>
          <t>부산광역시 기장군 기장읍 대청로45번길 6</t>
        </is>
      </c>
      <c r="F274" t="inlineStr"/>
      <c r="G274" t="inlineStr">
        <is>
          <t>051-722-7488</t>
        </is>
      </c>
      <c r="H274" s="15" t="n">
        <v>103</v>
      </c>
      <c r="I274" s="15" t="n">
        <v>5</v>
      </c>
      <c r="J274" s="15" t="n">
        <v>23</v>
      </c>
      <c r="K274" s="15" t="n">
        <v>28</v>
      </c>
      <c r="L274" s="15" t="n">
        <v>32</v>
      </c>
      <c r="M274" s="15" t="n">
        <v>0</v>
      </c>
      <c r="N274" s="15" t="n">
        <v>0</v>
      </c>
      <c r="O274" s="15" t="n">
        <v>0</v>
      </c>
      <c r="P274" s="15" t="n">
        <v>0</v>
      </c>
      <c r="Q274" s="15" t="n">
        <v>0</v>
      </c>
      <c r="R274" s="15" t="n">
        <v>0</v>
      </c>
      <c r="S274" s="15" t="n">
        <v>5</v>
      </c>
      <c r="T274" s="14">
        <f>IF(COUNT(I274:S274)=0,"",SUM(I274:S274))</f>
        <v/>
      </c>
      <c r="U274" t="inlineStr"/>
    </row>
    <row r="275">
      <c r="A275" t="inlineStr">
        <is>
          <t>한수원 고원어린이집</t>
        </is>
      </c>
      <c r="B275" t="inlineStr">
        <is>
          <t>어린이집</t>
        </is>
      </c>
      <c r="C275" t="inlineStr">
        <is>
          <t>직장</t>
        </is>
      </c>
      <c r="D275" t="inlineStr">
        <is>
          <t>기장군</t>
        </is>
      </c>
      <c r="E275" t="inlineStr">
        <is>
          <t>부산광역시 기장군 장안읍 천산로 28 한빛아파트 2단지내</t>
        </is>
      </c>
      <c r="F275" s="11" t="inlineStr">
        <is>
          <t>http://khnpchild.co.kr</t>
        </is>
      </c>
      <c r="G275" t="inlineStr">
        <is>
          <t>051-727-3994</t>
        </is>
      </c>
      <c r="H275" s="15" t="n">
        <v>210</v>
      </c>
      <c r="I275" s="15" t="n">
        <v>18</v>
      </c>
      <c r="J275" s="15" t="n">
        <v>29</v>
      </c>
      <c r="K275" s="15" t="n">
        <v>34</v>
      </c>
      <c r="L275" s="15" t="n">
        <v>33</v>
      </c>
      <c r="M275" s="15" t="n">
        <v>31</v>
      </c>
      <c r="N275" s="15" t="n">
        <v>26</v>
      </c>
      <c r="O275" s="15" t="n">
        <v>0</v>
      </c>
      <c r="P275" s="15" t="n">
        <v>0</v>
      </c>
      <c r="Q275" s="15" t="n">
        <v>0</v>
      </c>
      <c r="R275" s="15" t="n">
        <v>0</v>
      </c>
      <c r="S275" s="15" t="n">
        <v>19</v>
      </c>
      <c r="T275" s="14">
        <f>IF(COUNT(I275:S275)=0,"",SUM(I275:S275))</f>
        <v/>
      </c>
      <c r="U275" t="inlineStr"/>
    </row>
    <row r="276">
      <c r="A276" t="inlineStr">
        <is>
          <t>한신어린이집</t>
        </is>
      </c>
      <c r="B276" t="inlineStr">
        <is>
          <t>어린이집</t>
        </is>
      </c>
      <c r="C276" t="inlineStr">
        <is>
          <t>가정</t>
        </is>
      </c>
      <c r="D276" t="inlineStr">
        <is>
          <t>기장군</t>
        </is>
      </c>
      <c r="E276" t="inlineStr">
        <is>
          <t>부산광역시 기장군 기장읍 차성로344번길 13 한신아파트 106동 104호</t>
        </is>
      </c>
      <c r="F276" t="inlineStr"/>
      <c r="G276" t="inlineStr">
        <is>
          <t>051-723-0828</t>
        </is>
      </c>
      <c r="H276" s="15" t="n">
        <v>19</v>
      </c>
      <c r="I276" s="15" t="n">
        <v>0</v>
      </c>
      <c r="J276" s="15" t="n">
        <v>0</v>
      </c>
      <c r="K276" s="15" t="n">
        <v>5</v>
      </c>
      <c r="L276" s="15" t="n">
        <v>0</v>
      </c>
      <c r="M276" s="15" t="n">
        <v>0</v>
      </c>
      <c r="N276" s="15" t="n">
        <v>0</v>
      </c>
      <c r="O276" s="15" t="n">
        <v>5</v>
      </c>
      <c r="P276" s="15" t="n">
        <v>0</v>
      </c>
      <c r="Q276" s="15" t="n">
        <v>0</v>
      </c>
      <c r="R276" s="15" t="n">
        <v>0</v>
      </c>
      <c r="S276" s="15" t="n">
        <v>4</v>
      </c>
      <c r="T276" s="14">
        <f>IF(COUNT(I276:S276)=0,"",SUM(I276:S276))</f>
        <v/>
      </c>
      <c r="U276" t="inlineStr"/>
    </row>
    <row r="277">
      <c r="A277" t="inlineStr">
        <is>
          <t>해모로어린이집</t>
        </is>
      </c>
      <c r="B277" t="inlineStr">
        <is>
          <t>어린이집</t>
        </is>
      </c>
      <c r="C277" t="inlineStr">
        <is>
          <t>민간</t>
        </is>
      </c>
      <c r="D277" t="inlineStr">
        <is>
          <t>기장군</t>
        </is>
      </c>
      <c r="E277" t="inlineStr">
        <is>
          <t>부산광역시 기장군 정관읍 정관로 548 정관신도시한진해모로 관리동(정관면)</t>
        </is>
      </c>
      <c r="F277" t="inlineStr"/>
      <c r="G277" t="inlineStr">
        <is>
          <t>051-727-7267</t>
        </is>
      </c>
      <c r="H277" s="15" t="n">
        <v>21</v>
      </c>
      <c r="I277" s="15" t="n">
        <v>3</v>
      </c>
      <c r="J277" s="15" t="n">
        <v>1</v>
      </c>
      <c r="K277" s="15" t="n">
        <v>0</v>
      </c>
      <c r="L277" s="15" t="n">
        <v>0</v>
      </c>
      <c r="M277" s="15" t="n">
        <v>0</v>
      </c>
      <c r="N277" s="15" t="n">
        <v>0</v>
      </c>
      <c r="O277" s="15" t="n">
        <v>0</v>
      </c>
      <c r="P277" s="15" t="n">
        <v>0</v>
      </c>
      <c r="Q277" s="15" t="n">
        <v>0</v>
      </c>
      <c r="R277" s="15" t="n">
        <v>0</v>
      </c>
      <c r="S277" s="15" t="n">
        <v>0</v>
      </c>
      <c r="T277" s="14">
        <f>IF(COUNT(I277:S277)=0,"",SUM(I277:S277))</f>
        <v/>
      </c>
      <c r="U277" t="inlineStr"/>
    </row>
    <row r="278">
      <c r="A278" t="inlineStr">
        <is>
          <t>햇님어린이집</t>
        </is>
      </c>
      <c r="B278" t="inlineStr">
        <is>
          <t>어린이집</t>
        </is>
      </c>
      <c r="C278" t="inlineStr">
        <is>
          <t>가정</t>
        </is>
      </c>
      <c r="D278" t="inlineStr">
        <is>
          <t>기장군</t>
        </is>
      </c>
      <c r="E278" t="inlineStr">
        <is>
          <t>부산광역시 기장군 기장읍 차성동로172번길 15 103-105 (부전타워)</t>
        </is>
      </c>
      <c r="F278" t="inlineStr"/>
      <c r="G278" t="inlineStr">
        <is>
          <t>051-722-9969</t>
        </is>
      </c>
      <c r="H278" s="15" t="n">
        <v>19</v>
      </c>
      <c r="I278" s="15" t="n">
        <v>2</v>
      </c>
      <c r="J278" s="15" t="n">
        <v>4</v>
      </c>
      <c r="K278" s="15" t="n">
        <v>7</v>
      </c>
      <c r="L278" s="15" t="n">
        <v>0</v>
      </c>
      <c r="M278" s="15" t="n">
        <v>0</v>
      </c>
      <c r="N278" s="15" t="n">
        <v>0</v>
      </c>
      <c r="O278" s="15" t="n">
        <v>0</v>
      </c>
      <c r="P278" s="15" t="n">
        <v>0</v>
      </c>
      <c r="Q278" s="15" t="n">
        <v>0</v>
      </c>
      <c r="R278" s="15" t="n">
        <v>0</v>
      </c>
      <c r="S278" s="15" t="n">
        <v>6</v>
      </c>
      <c r="T278" s="14">
        <f>IF(COUNT(I278:S278)=0,"",SUM(I278:S278))</f>
        <v/>
      </c>
      <c r="U278" t="inlineStr"/>
    </row>
    <row r="279">
      <c r="A279" t="inlineStr">
        <is>
          <t>현대어린이집</t>
        </is>
      </c>
      <c r="B279" t="inlineStr">
        <is>
          <t>어린이집</t>
        </is>
      </c>
      <c r="C279" t="inlineStr">
        <is>
          <t>가정</t>
        </is>
      </c>
      <c r="D279" t="inlineStr">
        <is>
          <t>기장군</t>
        </is>
      </c>
      <c r="E279" t="inlineStr">
        <is>
          <t>부산광역시 기장군 기장읍 기장대로 563 106-107</t>
        </is>
      </c>
      <c r="F279" s="11" t="inlineStr">
        <is>
          <t>http://cafe.daum.net//hyundae5659</t>
        </is>
      </c>
      <c r="G279" t="inlineStr">
        <is>
          <t>051-724-5659</t>
        </is>
      </c>
      <c r="H279" s="15" t="n">
        <v>19</v>
      </c>
      <c r="I279" s="15" t="n">
        <v>4</v>
      </c>
      <c r="J279" s="15" t="n">
        <v>7</v>
      </c>
      <c r="K279" s="15" t="n">
        <v>8</v>
      </c>
      <c r="L279" s="15" t="n">
        <v>0</v>
      </c>
      <c r="M279" s="15" t="n">
        <v>0</v>
      </c>
      <c r="N279" s="15" t="n">
        <v>0</v>
      </c>
      <c r="O279" s="15" t="n">
        <v>0</v>
      </c>
      <c r="P279" s="15" t="n">
        <v>0</v>
      </c>
      <c r="Q279" s="15" t="n">
        <v>0</v>
      </c>
      <c r="R279" s="15" t="n">
        <v>0</v>
      </c>
      <c r="S279" s="15" t="n">
        <v>10</v>
      </c>
      <c r="T279" s="14">
        <f>IF(COUNT(I279:S279)=0,"",SUM(I279:S279))</f>
        <v/>
      </c>
      <c r="U279" t="inlineStr"/>
    </row>
    <row r="280">
      <c r="A280" t="inlineStr">
        <is>
          <t>휴먼시아어린이집</t>
        </is>
      </c>
      <c r="B280" t="inlineStr">
        <is>
          <t>어린이집</t>
        </is>
      </c>
      <c r="C280" t="inlineStr">
        <is>
          <t>가정</t>
        </is>
      </c>
      <c r="D280" t="inlineStr">
        <is>
          <t>기장군</t>
        </is>
      </c>
      <c r="E280" t="inlineStr">
        <is>
          <t>부산광역시 기장군 정관읍 구연방곡로 10 센트럴파크 107-104</t>
        </is>
      </c>
      <c r="F280" s="11" t="inlineStr">
        <is>
          <t>http://cafe.daum.net/guyeonchildren?</t>
        </is>
      </c>
      <c r="G280" t="inlineStr">
        <is>
          <t>051-728-2002</t>
        </is>
      </c>
      <c r="H280" s="15" t="n">
        <v>20</v>
      </c>
      <c r="I280" s="15" t="n">
        <v>3</v>
      </c>
      <c r="J280" s="15" t="n">
        <v>5</v>
      </c>
      <c r="K280" s="15" t="n">
        <v>0</v>
      </c>
      <c r="L280" s="15" t="n">
        <v>0</v>
      </c>
      <c r="M280" s="15" t="n">
        <v>0</v>
      </c>
      <c r="N280" s="15" t="n">
        <v>0</v>
      </c>
      <c r="O280" s="15" t="n">
        <v>8</v>
      </c>
      <c r="P280" s="15" t="n">
        <v>0</v>
      </c>
      <c r="Q280" s="15" t="n">
        <v>0</v>
      </c>
      <c r="R280" s="15" t="n">
        <v>0</v>
      </c>
      <c r="S280" s="15" t="n">
        <v>8</v>
      </c>
      <c r="T280" s="14">
        <f>IF(COUNT(I280:S280)=0,"",SUM(I280:S280))</f>
        <v/>
      </c>
      <c r="U280" t="inlineStr"/>
    </row>
    <row r="281">
      <c r="A281" t="inlineStr">
        <is>
          <t>(공립)꿈나무하나어린이집</t>
        </is>
      </c>
      <c r="B281" t="inlineStr">
        <is>
          <t>어린이집</t>
        </is>
      </c>
      <c r="C281" t="inlineStr">
        <is>
          <t>국공립</t>
        </is>
      </c>
      <c r="D281" t="inlineStr">
        <is>
          <t>남구</t>
        </is>
      </c>
      <c r="E281" t="inlineStr">
        <is>
          <t>부산광역시 남구 수영로267번길 35 꿈나무지원복합센터 1층</t>
        </is>
      </c>
      <c r="F281" t="inlineStr"/>
      <c r="G281" t="inlineStr">
        <is>
          <t>010-8313-2400</t>
        </is>
      </c>
      <c r="T281" s="14">
        <f>IF(COUNT(I281:S281)=0,"",SUM(I281:S281))</f>
        <v/>
      </c>
      <c r="U281" t="inlineStr">
        <is>
          <t>연령별 현원 미공시</t>
        </is>
      </c>
    </row>
    <row r="282">
      <c r="A282" t="inlineStr">
        <is>
          <t>(공립)대연자이어린이집</t>
        </is>
      </c>
      <c r="B282" t="inlineStr">
        <is>
          <t>어린이집</t>
        </is>
      </c>
      <c r="C282" t="inlineStr">
        <is>
          <t>국공립</t>
        </is>
      </c>
      <c r="D282" t="inlineStr">
        <is>
          <t>남구</t>
        </is>
      </c>
      <c r="E282" t="inlineStr">
        <is>
          <t>부산광역시 남구 유엔로 246 대연자이아파트 108동 1층</t>
        </is>
      </c>
      <c r="F282" t="inlineStr"/>
      <c r="G282" t="inlineStr">
        <is>
          <t>051-626-2050</t>
        </is>
      </c>
      <c r="H282" s="15" t="n">
        <v>28</v>
      </c>
      <c r="I282" s="15" t="n">
        <v>6</v>
      </c>
      <c r="J282" s="15" t="n">
        <v>10</v>
      </c>
      <c r="K282" s="15" t="n">
        <v>12</v>
      </c>
      <c r="L282" s="15" t="n">
        <v>0</v>
      </c>
      <c r="M282" s="15" t="n">
        <v>0</v>
      </c>
      <c r="N282" s="15" t="n">
        <v>0</v>
      </c>
      <c r="O282" s="15" t="n">
        <v>0</v>
      </c>
      <c r="P282" s="15" t="n">
        <v>0</v>
      </c>
      <c r="Q282" s="15" t="n">
        <v>0</v>
      </c>
      <c r="R282" s="15" t="n">
        <v>0</v>
      </c>
      <c r="S282" s="15" t="n">
        <v>12</v>
      </c>
      <c r="T282" s="14">
        <f>IF(COUNT(I282:S282)=0,"",SUM(I282:S282))</f>
        <v/>
      </c>
      <c r="U282" t="inlineStr"/>
    </row>
    <row r="283">
      <c r="A283" t="inlineStr">
        <is>
          <t>(공립)대연푸르지오클라센트어린이집</t>
        </is>
      </c>
      <c r="B283" t="inlineStr">
        <is>
          <t>어린이집</t>
        </is>
      </c>
      <c r="C283" t="inlineStr">
        <is>
          <t>국공립</t>
        </is>
      </c>
      <c r="D283" t="inlineStr">
        <is>
          <t>남구</t>
        </is>
      </c>
      <c r="E283" t="inlineStr">
        <is>
          <t>부산광역시 남구 유엔로 81 (공립)대연푸르지오클라센트어린이집</t>
        </is>
      </c>
      <c r="F283" t="inlineStr"/>
      <c r="G283" t="inlineStr">
        <is>
          <t>051-628-0628</t>
        </is>
      </c>
      <c r="H283" s="15" t="n">
        <v>42</v>
      </c>
      <c r="I283" s="15" t="n">
        <v>9</v>
      </c>
      <c r="J283" s="15" t="n">
        <v>19</v>
      </c>
      <c r="K283" s="15" t="n">
        <v>14</v>
      </c>
      <c r="L283" s="15" t="n">
        <v>0</v>
      </c>
      <c r="M283" s="15" t="n">
        <v>0</v>
      </c>
      <c r="N283" s="15" t="n">
        <v>0</v>
      </c>
      <c r="O283" s="15" t="n">
        <v>0</v>
      </c>
      <c r="P283" s="15" t="n">
        <v>0</v>
      </c>
      <c r="Q283" s="15" t="n">
        <v>0</v>
      </c>
      <c r="R283" s="15" t="n">
        <v>0</v>
      </c>
      <c r="S283" s="15" t="n">
        <v>5</v>
      </c>
      <c r="T283" s="14">
        <f>IF(COUNT(I283:S283)=0,"",SUM(I283:S283))</f>
        <v/>
      </c>
      <c r="U283" t="inlineStr"/>
    </row>
    <row r="284">
      <c r="A284" t="inlineStr">
        <is>
          <t>(공립)더비치푸르지오써밋어린이집</t>
        </is>
      </c>
      <c r="B284" t="inlineStr">
        <is>
          <t>어린이집</t>
        </is>
      </c>
      <c r="C284" t="inlineStr">
        <is>
          <t>국공립</t>
        </is>
      </c>
      <c r="D284" t="inlineStr">
        <is>
          <t>남구</t>
        </is>
      </c>
      <c r="E284" t="inlineStr">
        <is>
          <t>부산광역시 남구 황령대로 504 (공립)더비치푸르지오써밋어린이집</t>
        </is>
      </c>
      <c r="F284" t="inlineStr"/>
      <c r="G284" t="inlineStr">
        <is>
          <t>051-624-5400</t>
        </is>
      </c>
      <c r="H284" s="15" t="n">
        <v>55</v>
      </c>
      <c r="I284" s="15" t="n">
        <v>5</v>
      </c>
      <c r="J284" s="15" t="n">
        <v>25</v>
      </c>
      <c r="K284" s="15" t="n">
        <v>25</v>
      </c>
      <c r="L284" s="15" t="n">
        <v>0</v>
      </c>
      <c r="M284" s="15" t="n">
        <v>0</v>
      </c>
      <c r="N284" s="15" t="n">
        <v>0</v>
      </c>
      <c r="O284" s="15" t="n">
        <v>0</v>
      </c>
      <c r="P284" s="15" t="n">
        <v>0</v>
      </c>
      <c r="Q284" s="15" t="n">
        <v>0</v>
      </c>
      <c r="R284" s="15" t="n">
        <v>0</v>
      </c>
      <c r="S284" s="15" t="n">
        <v>10</v>
      </c>
      <c r="T284" s="14">
        <f>IF(COUNT(I284:S284)=0,"",SUM(I284:S284))</f>
        <v/>
      </c>
      <c r="U284" t="inlineStr"/>
    </row>
    <row r="285">
      <c r="A285" t="inlineStr">
        <is>
          <t>(공립)데시앙해링턴어린이집</t>
        </is>
      </c>
      <c r="B285" t="inlineStr">
        <is>
          <t>어린이집</t>
        </is>
      </c>
      <c r="C285" t="inlineStr">
        <is>
          <t>국공립</t>
        </is>
      </c>
      <c r="D285" t="inlineStr">
        <is>
          <t>남구</t>
        </is>
      </c>
      <c r="E285" t="inlineStr">
        <is>
          <t>부산광역시 남구 용주로 36</t>
        </is>
      </c>
      <c r="F285" t="inlineStr"/>
      <c r="G285" t="inlineStr">
        <is>
          <t>051-622-4123</t>
        </is>
      </c>
      <c r="H285" s="15" t="n">
        <v>62</v>
      </c>
      <c r="I285" s="15" t="n">
        <v>8</v>
      </c>
      <c r="J285" s="15" t="n">
        <v>20</v>
      </c>
      <c r="K285" s="15" t="n">
        <v>28</v>
      </c>
      <c r="L285" s="15" t="n">
        <v>0</v>
      </c>
      <c r="M285" s="15" t="n">
        <v>0</v>
      </c>
      <c r="N285" s="15" t="n">
        <v>0</v>
      </c>
      <c r="O285" s="15" t="n">
        <v>0</v>
      </c>
      <c r="P285" s="15" t="n">
        <v>0</v>
      </c>
      <c r="Q285" s="15" t="n">
        <v>0</v>
      </c>
      <c r="R285" s="15" t="n">
        <v>0</v>
      </c>
      <c r="S285" s="15" t="n">
        <v>5</v>
      </c>
      <c r="T285" s="14">
        <f>IF(COUNT(I285:S285)=0,"",SUM(I285:S285))</f>
        <v/>
      </c>
      <c r="U285" t="inlineStr"/>
    </row>
    <row r="286">
      <c r="A286" t="inlineStr">
        <is>
          <t>(공립)롯데캐슬인피니엘어린이집</t>
        </is>
      </c>
      <c r="B286" t="inlineStr">
        <is>
          <t>어린이집</t>
        </is>
      </c>
      <c r="C286" t="inlineStr">
        <is>
          <t>국공립</t>
        </is>
      </c>
      <c r="D286" t="inlineStr">
        <is>
          <t>남구</t>
        </is>
      </c>
      <c r="E286" t="inlineStr">
        <is>
          <t>부산광역시 남구 지게골로 102</t>
        </is>
      </c>
      <c r="F286" t="inlineStr"/>
      <c r="G286" t="inlineStr">
        <is>
          <t>010-7755-0692</t>
        </is>
      </c>
      <c r="T286" s="14">
        <f>IF(COUNT(I286:S286)=0,"",SUM(I286:S286))</f>
        <v/>
      </c>
      <c r="U286" t="inlineStr">
        <is>
          <t>연령별 현원 미공시</t>
        </is>
      </c>
    </row>
    <row r="287">
      <c r="A287" t="inlineStr">
        <is>
          <t>(공립)오션파라곤어린이집</t>
        </is>
      </c>
      <c r="B287" t="inlineStr">
        <is>
          <t>어린이집</t>
        </is>
      </c>
      <c r="C287" t="inlineStr">
        <is>
          <t>국공립</t>
        </is>
      </c>
      <c r="D287" t="inlineStr">
        <is>
          <t>남구</t>
        </is>
      </c>
      <c r="E287" t="inlineStr">
        <is>
          <t>부산광역시 남구 우암로 300 (공립)오션파라곤어린이집</t>
        </is>
      </c>
      <c r="F287" t="inlineStr"/>
      <c r="G287" t="inlineStr">
        <is>
          <t>051-639-8381</t>
        </is>
      </c>
      <c r="H287" s="15" t="n">
        <v>24</v>
      </c>
      <c r="I287" s="15" t="n">
        <v>4</v>
      </c>
      <c r="J287" s="15" t="n">
        <v>10</v>
      </c>
      <c r="K287" s="15" t="n">
        <v>10</v>
      </c>
      <c r="L287" s="15" t="n">
        <v>0</v>
      </c>
      <c r="M287" s="15" t="n">
        <v>0</v>
      </c>
      <c r="N287" s="15" t="n">
        <v>0</v>
      </c>
      <c r="O287" s="15" t="n">
        <v>0</v>
      </c>
      <c r="P287" s="15" t="n">
        <v>0</v>
      </c>
      <c r="Q287" s="15" t="n">
        <v>0</v>
      </c>
      <c r="R287" s="15" t="n">
        <v>0</v>
      </c>
      <c r="S287" s="15" t="n">
        <v>4</v>
      </c>
      <c r="T287" s="14">
        <f>IF(COUNT(I287:S287)=0,"",SUM(I287:S287))</f>
        <v/>
      </c>
      <c r="U287" t="inlineStr"/>
    </row>
    <row r="288">
      <c r="A288" t="inlineStr">
        <is>
          <t>(공립)천사어린이집</t>
        </is>
      </c>
      <c r="B288" t="inlineStr">
        <is>
          <t>어린이집</t>
        </is>
      </c>
      <c r="C288" t="inlineStr">
        <is>
          <t>국공립</t>
        </is>
      </c>
      <c r="D288" t="inlineStr">
        <is>
          <t>남구</t>
        </is>
      </c>
      <c r="E288" t="inlineStr">
        <is>
          <t>부산광역시 남구 황령대로319번가길 190-6 대우그린1차아파트 입구</t>
        </is>
      </c>
      <c r="F288" t="inlineStr"/>
      <c r="G288" t="inlineStr">
        <is>
          <t>051-628-1004</t>
        </is>
      </c>
      <c r="H288" s="15" t="n">
        <v>62</v>
      </c>
      <c r="I288" s="15" t="n">
        <v>3</v>
      </c>
      <c r="J288" s="15" t="n">
        <v>25</v>
      </c>
      <c r="K288" s="15" t="n">
        <v>14</v>
      </c>
      <c r="L288" s="15" t="n">
        <v>0</v>
      </c>
      <c r="M288" s="15" t="n">
        <v>0</v>
      </c>
      <c r="N288" s="15" t="n">
        <v>0</v>
      </c>
      <c r="O288" s="15" t="n">
        <v>0</v>
      </c>
      <c r="P288" s="15" t="n">
        <v>0</v>
      </c>
      <c r="Q288" s="15" t="n">
        <v>0</v>
      </c>
      <c r="R288" s="15" t="n">
        <v>0</v>
      </c>
      <c r="S288" s="15" t="n">
        <v>5</v>
      </c>
      <c r="T288" s="14">
        <f>IF(COUNT(I288:S288)=0,"",SUM(I288:S288))</f>
        <v/>
      </c>
      <c r="U288" t="inlineStr"/>
    </row>
    <row r="289">
      <c r="A289" t="inlineStr">
        <is>
          <t>(국공립)두산위브더제니스 어린이집</t>
        </is>
      </c>
      <c r="B289" t="inlineStr">
        <is>
          <t>어린이집</t>
        </is>
      </c>
      <c r="C289" t="inlineStr">
        <is>
          <t>국공립</t>
        </is>
      </c>
      <c r="D289" t="inlineStr">
        <is>
          <t>남구</t>
        </is>
      </c>
      <c r="E289" t="inlineStr">
        <is>
          <t>부산광역시 남구 유엔로 35 (국공립)두산위브더제니스 어린이집</t>
        </is>
      </c>
      <c r="F289" t="inlineStr"/>
      <c r="G289" t="inlineStr">
        <is>
          <t>051-918-0035</t>
        </is>
      </c>
      <c r="H289" s="15" t="n">
        <v>100</v>
      </c>
      <c r="I289" s="15" t="n">
        <v>15</v>
      </c>
      <c r="J289" s="15" t="n">
        <v>24</v>
      </c>
      <c r="K289" s="15" t="n">
        <v>33</v>
      </c>
      <c r="L289" s="15" t="n">
        <v>0</v>
      </c>
      <c r="M289" s="15" t="n">
        <v>0</v>
      </c>
      <c r="N289" s="15" t="n">
        <v>0</v>
      </c>
      <c r="O289" s="15" t="n">
        <v>6</v>
      </c>
      <c r="P289" s="15" t="n">
        <v>0</v>
      </c>
      <c r="Q289" s="15" t="n">
        <v>0</v>
      </c>
      <c r="R289" s="15" t="n">
        <v>0</v>
      </c>
      <c r="S289" s="15" t="n">
        <v>10</v>
      </c>
      <c r="T289" s="14">
        <f>IF(COUNT(I289:S289)=0,"",SUM(I289:S289))</f>
        <v/>
      </c>
      <c r="U289" t="inlineStr"/>
    </row>
    <row r="290">
      <c r="A290" t="inlineStr">
        <is>
          <t>21세기영아전담어린이집</t>
        </is>
      </c>
      <c r="B290" t="inlineStr">
        <is>
          <t>어린이집</t>
        </is>
      </c>
      <c r="C290" t="inlineStr">
        <is>
          <t>민간</t>
        </is>
      </c>
      <c r="D290" t="inlineStr">
        <is>
          <t>남구</t>
        </is>
      </c>
      <c r="E290" t="inlineStr">
        <is>
          <t>부산광역시 남구 석포로 7 자유4차아파트 단지내 (감만동)</t>
        </is>
      </c>
      <c r="F290" t="inlineStr"/>
      <c r="G290" t="inlineStr">
        <is>
          <t>051-636-3242</t>
        </is>
      </c>
      <c r="H290" s="15" t="n">
        <v>40</v>
      </c>
      <c r="I290" s="15" t="n">
        <v>3</v>
      </c>
      <c r="J290" s="15" t="n">
        <v>5</v>
      </c>
      <c r="K290" s="15" t="n">
        <v>4</v>
      </c>
      <c r="L290" s="15" t="n">
        <v>0</v>
      </c>
      <c r="M290" s="15" t="n">
        <v>0</v>
      </c>
      <c r="N290" s="15" t="n">
        <v>0</v>
      </c>
      <c r="O290" s="15" t="n">
        <v>0</v>
      </c>
      <c r="P290" s="15" t="n">
        <v>0</v>
      </c>
      <c r="Q290" s="15" t="n">
        <v>0</v>
      </c>
      <c r="R290" s="15" t="n">
        <v>0</v>
      </c>
      <c r="S290" s="15" t="n">
        <v>5</v>
      </c>
      <c r="T290" s="14">
        <f>IF(COUNT(I290:S290)=0,"",SUM(I290:S290))</f>
        <v/>
      </c>
      <c r="U290" t="inlineStr"/>
    </row>
    <row r="291">
      <c r="A291" t="inlineStr">
        <is>
          <t>BIFC-2나무어린이집</t>
        </is>
      </c>
      <c r="B291" t="inlineStr">
        <is>
          <t>어린이집</t>
        </is>
      </c>
      <c r="C291" t="inlineStr">
        <is>
          <t>직장</t>
        </is>
      </c>
      <c r="D291" t="inlineStr">
        <is>
          <t>남구</t>
        </is>
      </c>
      <c r="E291" t="inlineStr">
        <is>
          <t>부산광역시 남구 남동천로 128</t>
        </is>
      </c>
      <c r="F291" s="11" t="inlineStr">
        <is>
          <t>https://www.puruni.com/bifc2</t>
        </is>
      </c>
      <c r="G291" t="inlineStr">
        <is>
          <t>051-632-6998</t>
        </is>
      </c>
      <c r="H291" s="15" t="n">
        <v>84</v>
      </c>
      <c r="I291" s="15" t="n">
        <v>10</v>
      </c>
      <c r="J291" s="15" t="n">
        <v>11</v>
      </c>
      <c r="K291" s="15" t="n">
        <v>4</v>
      </c>
      <c r="L291" s="15" t="n">
        <v>2</v>
      </c>
      <c r="M291" s="15" t="n">
        <v>0</v>
      </c>
      <c r="N291" s="15" t="n">
        <v>0</v>
      </c>
      <c r="O291" s="15" t="n">
        <v>0</v>
      </c>
      <c r="P291" s="15" t="n">
        <v>3</v>
      </c>
      <c r="Q291" s="15" t="n">
        <v>0</v>
      </c>
      <c r="R291" s="15" t="n">
        <v>0</v>
      </c>
      <c r="S291" s="15" t="n">
        <v>0</v>
      </c>
      <c r="T291" s="14">
        <f>IF(COUNT(I291:S291)=0,"",SUM(I291:S291))</f>
        <v/>
      </c>
      <c r="U291" t="inlineStr"/>
    </row>
    <row r="292">
      <c r="A292" t="inlineStr">
        <is>
          <t>BIFC어린이집</t>
        </is>
      </c>
      <c r="B292" t="inlineStr">
        <is>
          <t>어린이집</t>
        </is>
      </c>
      <c r="C292" t="inlineStr">
        <is>
          <t>직장</t>
        </is>
      </c>
      <c r="D292" t="inlineStr">
        <is>
          <t>남구</t>
        </is>
      </c>
      <c r="E292" t="inlineStr">
        <is>
          <t>부산광역시 남구 문현금융로 40 문현국제금융센터, 101호(문현동)</t>
        </is>
      </c>
      <c r="F292" t="inlineStr"/>
      <c r="G292" t="inlineStr">
        <is>
          <t>051-647-9031</t>
        </is>
      </c>
      <c r="H292" s="15" t="n">
        <v>120</v>
      </c>
      <c r="I292" s="15" t="n">
        <v>0</v>
      </c>
      <c r="J292" s="15" t="n">
        <v>18</v>
      </c>
      <c r="K292" s="15" t="n">
        <v>20</v>
      </c>
      <c r="L292" s="15" t="n">
        <v>15</v>
      </c>
      <c r="M292" s="15" t="n">
        <v>17</v>
      </c>
      <c r="N292" s="15" t="n">
        <v>15</v>
      </c>
      <c r="O292" s="15" t="n">
        <v>0</v>
      </c>
      <c r="P292" s="15" t="n">
        <v>0</v>
      </c>
      <c r="Q292" s="15" t="n">
        <v>0</v>
      </c>
      <c r="R292" s="15" t="n">
        <v>0</v>
      </c>
      <c r="S292" s="15" t="n">
        <v>20</v>
      </c>
      <c r="T292" s="14">
        <f>IF(COUNT(I292:S292)=0,"",SUM(I292:S292))</f>
        <v/>
      </c>
      <c r="U292" t="inlineStr"/>
    </row>
    <row r="293">
      <c r="A293" t="inlineStr">
        <is>
          <t>BIFC푸른바다어린이집</t>
        </is>
      </c>
      <c r="B293" t="inlineStr">
        <is>
          <t>어린이집</t>
        </is>
      </c>
      <c r="C293" t="inlineStr">
        <is>
          <t>직장</t>
        </is>
      </c>
      <c r="D293" t="inlineStr">
        <is>
          <t>남구</t>
        </is>
      </c>
      <c r="E293" t="inlineStr">
        <is>
          <t>부산광역시 남구 문현금융로 40 부산국제금융센터 203호 (문현동)</t>
        </is>
      </c>
      <c r="F293" t="inlineStr"/>
      <c r="G293" t="inlineStr">
        <is>
          <t>051-647-9041</t>
        </is>
      </c>
      <c r="H293" s="15" t="n">
        <v>45</v>
      </c>
      <c r="I293" s="15" t="n">
        <v>0</v>
      </c>
      <c r="J293" s="15" t="n">
        <v>9</v>
      </c>
      <c r="K293" s="15" t="n">
        <v>9</v>
      </c>
      <c r="L293" s="15" t="n">
        <v>9</v>
      </c>
      <c r="M293" s="15" t="n">
        <v>0</v>
      </c>
      <c r="N293" s="15" t="n">
        <v>0</v>
      </c>
      <c r="O293" s="15" t="n">
        <v>0</v>
      </c>
      <c r="P293" s="15" t="n">
        <v>10</v>
      </c>
      <c r="Q293" s="15" t="n">
        <v>0</v>
      </c>
      <c r="R293" s="15" t="n">
        <v>0</v>
      </c>
      <c r="S293" s="15" t="n">
        <v>33</v>
      </c>
      <c r="T293" s="14">
        <f>IF(COUNT(I293:S293)=0,"",SUM(I293:S293))</f>
        <v/>
      </c>
      <c r="U293" t="inlineStr"/>
    </row>
    <row r="294">
      <c r="A294" t="inlineStr">
        <is>
          <t>GS하이츠자이어린이집</t>
        </is>
      </c>
      <c r="B294" t="inlineStr">
        <is>
          <t>어린이집</t>
        </is>
      </c>
      <c r="C294" t="inlineStr">
        <is>
          <t>민간</t>
        </is>
      </c>
      <c r="D294" t="inlineStr">
        <is>
          <t>남구</t>
        </is>
      </c>
      <c r="E294" t="inlineStr">
        <is>
          <t>부산광역시 남구 신선로 566 GS하이츠자이 관리동 401동 (용호동)</t>
        </is>
      </c>
      <c r="F294" t="inlineStr"/>
      <c r="G294" t="inlineStr">
        <is>
          <t>051-628-0017</t>
        </is>
      </c>
      <c r="H294" s="15" t="n">
        <v>32</v>
      </c>
      <c r="I294" s="15" t="n">
        <v>2</v>
      </c>
      <c r="J294" s="15" t="n">
        <v>5</v>
      </c>
      <c r="K294" s="15" t="n">
        <v>9</v>
      </c>
      <c r="L294" s="15" t="n">
        <v>0</v>
      </c>
      <c r="M294" s="15" t="n">
        <v>0</v>
      </c>
      <c r="N294" s="15" t="n">
        <v>0</v>
      </c>
      <c r="O294" s="15" t="n">
        <v>5</v>
      </c>
      <c r="P294" s="15" t="n">
        <v>0</v>
      </c>
      <c r="Q294" s="15" t="n">
        <v>0</v>
      </c>
      <c r="R294" s="15" t="n">
        <v>0</v>
      </c>
      <c r="S294" s="15" t="n">
        <v>0</v>
      </c>
      <c r="T294" s="14">
        <f>IF(COUNT(I294:S294)=0,"",SUM(I294:S294))</f>
        <v/>
      </c>
      <c r="U294" t="inlineStr"/>
    </row>
    <row r="295">
      <c r="A295" t="inlineStr">
        <is>
          <t>HF보금자리어린이집</t>
        </is>
      </c>
      <c r="B295" t="inlineStr">
        <is>
          <t>어린이집</t>
        </is>
      </c>
      <c r="C295" t="inlineStr">
        <is>
          <t>직장</t>
        </is>
      </c>
      <c r="D295" t="inlineStr">
        <is>
          <t>남구</t>
        </is>
      </c>
      <c r="E295" t="inlineStr">
        <is>
          <t>부산광역시 남구 문현금융로 40 문현국제금융센터, 201호(문현동)</t>
        </is>
      </c>
      <c r="F295" s="11" t="inlineStr">
        <is>
          <t>http://www.puruni.com/hf</t>
        </is>
      </c>
      <c r="G295" t="inlineStr">
        <is>
          <t>051-637-0408</t>
        </is>
      </c>
      <c r="H295" s="15" t="n">
        <v>76</v>
      </c>
      <c r="I295" s="15" t="n">
        <v>8</v>
      </c>
      <c r="J295" s="15" t="n">
        <v>14</v>
      </c>
      <c r="K295" s="15" t="n">
        <v>14</v>
      </c>
      <c r="L295" s="15" t="n">
        <v>11</v>
      </c>
      <c r="M295" s="15" t="n">
        <v>0</v>
      </c>
      <c r="N295" s="15" t="n">
        <v>0</v>
      </c>
      <c r="O295" s="15" t="n">
        <v>0</v>
      </c>
      <c r="P295" s="15" t="n">
        <v>22</v>
      </c>
      <c r="Q295" s="15" t="n">
        <v>0</v>
      </c>
      <c r="R295" s="15" t="n">
        <v>0</v>
      </c>
      <c r="S295" s="15" t="n">
        <v>48</v>
      </c>
      <c r="T295" s="14">
        <f>IF(COUNT(I295:S295)=0,"",SUM(I295:S295))</f>
        <v/>
      </c>
      <c r="U295" t="inlineStr"/>
    </row>
    <row r="296">
      <c r="A296" t="inlineStr">
        <is>
          <t>LG메트로시티어린이집</t>
        </is>
      </c>
      <c r="B296" t="inlineStr">
        <is>
          <t>어린이집</t>
        </is>
      </c>
      <c r="C296" t="inlineStr">
        <is>
          <t>민간</t>
        </is>
      </c>
      <c r="D296" t="inlineStr">
        <is>
          <t>남구</t>
        </is>
      </c>
      <c r="E296" t="inlineStr">
        <is>
          <t>부산광역시 남구 분포로 111 (용호동, 엘지메트로시티아파트)</t>
        </is>
      </c>
      <c r="F296" t="inlineStr"/>
      <c r="G296" t="inlineStr">
        <is>
          <t>051-612-4577</t>
        </is>
      </c>
      <c r="H296" s="15" t="n">
        <v>68</v>
      </c>
      <c r="I296" s="15" t="n">
        <v>9</v>
      </c>
      <c r="J296" s="15" t="n">
        <v>30</v>
      </c>
      <c r="K296" s="15" t="n">
        <v>23</v>
      </c>
      <c r="L296" s="15" t="n">
        <v>0</v>
      </c>
      <c r="M296" s="15" t="n">
        <v>0</v>
      </c>
      <c r="N296" s="15" t="n">
        <v>0</v>
      </c>
      <c r="O296" s="15" t="n">
        <v>0</v>
      </c>
      <c r="P296" s="15" t="n">
        <v>0</v>
      </c>
      <c r="Q296" s="15" t="n">
        <v>0</v>
      </c>
      <c r="R296" s="15" t="n">
        <v>0</v>
      </c>
      <c r="S296" s="15" t="n">
        <v>5</v>
      </c>
      <c r="T296" s="14">
        <f>IF(COUNT(I296:S296)=0,"",SUM(I296:S296))</f>
        <v/>
      </c>
      <c r="U296" t="inlineStr"/>
    </row>
    <row r="297">
      <c r="A297" t="inlineStr">
        <is>
          <t>LG한누리어린이집</t>
        </is>
      </c>
      <c r="B297" t="inlineStr">
        <is>
          <t>어린이집</t>
        </is>
      </c>
      <c r="C297" t="inlineStr">
        <is>
          <t>가정</t>
        </is>
      </c>
      <c r="D297" t="inlineStr">
        <is>
          <t>남구</t>
        </is>
      </c>
      <c r="E297" t="inlineStr">
        <is>
          <t>부산광역시 남구 분포로 111 225동 104호(용호동, 엘지메트로시티아파트)</t>
        </is>
      </c>
      <c r="F297" t="inlineStr"/>
      <c r="G297" t="inlineStr">
        <is>
          <t>070-7717-4545</t>
        </is>
      </c>
      <c r="H297" s="15" t="n">
        <v>17</v>
      </c>
      <c r="I297" s="15" t="n">
        <v>3</v>
      </c>
      <c r="J297" s="15" t="n">
        <v>5</v>
      </c>
      <c r="K297" s="15" t="n">
        <v>7</v>
      </c>
      <c r="L297" s="15" t="n">
        <v>0</v>
      </c>
      <c r="M297" s="15" t="n">
        <v>0</v>
      </c>
      <c r="N297" s="15" t="n">
        <v>0</v>
      </c>
      <c r="O297" s="15" t="n">
        <v>2</v>
      </c>
      <c r="P297" s="15" t="n">
        <v>0</v>
      </c>
      <c r="Q297" s="15" t="n">
        <v>0</v>
      </c>
      <c r="R297" s="15" t="n">
        <v>0</v>
      </c>
      <c r="S297" s="15" t="n">
        <v>0</v>
      </c>
      <c r="T297" s="14">
        <f>IF(COUNT(I297:S297)=0,"",SUM(I297:S297))</f>
        <v/>
      </c>
      <c r="U297" t="inlineStr"/>
    </row>
    <row r="298">
      <c r="A298" t="inlineStr">
        <is>
          <t>PARK푸르지오어린이집</t>
        </is>
      </c>
      <c r="B298" t="inlineStr">
        <is>
          <t>어린이집</t>
        </is>
      </c>
      <c r="C298" t="inlineStr">
        <is>
          <t>가정</t>
        </is>
      </c>
      <c r="D298" t="inlineStr">
        <is>
          <t>남구</t>
        </is>
      </c>
      <c r="E298" t="inlineStr">
        <is>
          <t>부산광역시 남구 홍곡로 360 101동 103호(대연동, 대연파크푸르지오)</t>
        </is>
      </c>
      <c r="F298" t="inlineStr"/>
      <c r="G298" t="inlineStr">
        <is>
          <t>051-988-0972</t>
        </is>
      </c>
      <c r="H298" s="15" t="n">
        <v>20</v>
      </c>
      <c r="I298" s="15" t="n">
        <v>3</v>
      </c>
      <c r="J298" s="15" t="n">
        <v>0</v>
      </c>
      <c r="K298" s="15" t="n">
        <v>5</v>
      </c>
      <c r="L298" s="15" t="n">
        <v>0</v>
      </c>
      <c r="M298" s="15" t="n">
        <v>0</v>
      </c>
      <c r="N298" s="15" t="n">
        <v>0</v>
      </c>
      <c r="O298" s="15" t="n">
        <v>5</v>
      </c>
      <c r="P298" s="15" t="n">
        <v>0</v>
      </c>
      <c r="Q298" s="15" t="n">
        <v>0</v>
      </c>
      <c r="R298" s="15" t="n">
        <v>0</v>
      </c>
      <c r="S298" s="15" t="n">
        <v>3</v>
      </c>
      <c r="T298" s="14">
        <f>IF(COUNT(I298:S298)=0,"",SUM(I298:S298))</f>
        <v/>
      </c>
      <c r="U298" t="inlineStr"/>
    </row>
    <row r="299">
      <c r="A299" t="inlineStr">
        <is>
          <t>W아이어린이집</t>
        </is>
      </c>
      <c r="B299" t="inlineStr">
        <is>
          <t>어린이집</t>
        </is>
      </c>
      <c r="C299" t="inlineStr">
        <is>
          <t>민간</t>
        </is>
      </c>
      <c r="D299" t="inlineStr">
        <is>
          <t>남구</t>
        </is>
      </c>
      <c r="E299" t="inlineStr">
        <is>
          <t>부산광역시 남구 분포로 145 A동 1층</t>
        </is>
      </c>
      <c r="F299" t="inlineStr"/>
      <c r="G299" t="inlineStr">
        <is>
          <t>051-623-8006</t>
        </is>
      </c>
      <c r="H299" s="15" t="n">
        <v>57</v>
      </c>
      <c r="I299" s="15" t="n">
        <v>10</v>
      </c>
      <c r="J299" s="15" t="n">
        <v>25</v>
      </c>
      <c r="K299" s="15" t="n">
        <v>22</v>
      </c>
      <c r="L299" s="15" t="n">
        <v>0</v>
      </c>
      <c r="M299" s="15" t="n">
        <v>0</v>
      </c>
      <c r="N299" s="15" t="n">
        <v>0</v>
      </c>
      <c r="O299" s="15" t="n">
        <v>0</v>
      </c>
      <c r="P299" s="15" t="n">
        <v>0</v>
      </c>
      <c r="Q299" s="15" t="n">
        <v>0</v>
      </c>
      <c r="R299" s="15" t="n">
        <v>0</v>
      </c>
      <c r="S299" s="15" t="n">
        <v>9</v>
      </c>
      <c r="T299" s="14">
        <f>IF(COUNT(I299:S299)=0,"",SUM(I299:S299))</f>
        <v/>
      </c>
      <c r="U299" t="inlineStr"/>
    </row>
    <row r="300">
      <c r="A300" t="inlineStr">
        <is>
          <t>가교영재어린이집</t>
        </is>
      </c>
      <c r="B300" t="inlineStr">
        <is>
          <t>어린이집</t>
        </is>
      </c>
      <c r="C300" t="inlineStr">
        <is>
          <t>민간</t>
        </is>
      </c>
      <c r="D300" t="inlineStr">
        <is>
          <t>남구</t>
        </is>
      </c>
      <c r="E300" t="inlineStr">
        <is>
          <t>부산광역시 남구 수영로 261 SK뷰힐스관리동</t>
        </is>
      </c>
      <c r="F300" t="inlineStr"/>
      <c r="G300" t="inlineStr">
        <is>
          <t>070-4090-1106</t>
        </is>
      </c>
      <c r="H300" s="15" t="n">
        <v>70</v>
      </c>
      <c r="I300" s="15" t="n">
        <v>18</v>
      </c>
      <c r="J300" s="15" t="n">
        <v>10</v>
      </c>
      <c r="K300" s="15" t="n">
        <v>19</v>
      </c>
      <c r="L300" s="15" t="n">
        <v>0</v>
      </c>
      <c r="M300" s="15" t="n">
        <v>0</v>
      </c>
      <c r="N300" s="15" t="n">
        <v>0</v>
      </c>
      <c r="O300" s="15" t="n">
        <v>0</v>
      </c>
      <c r="P300" s="15" t="n">
        <v>0</v>
      </c>
      <c r="Q300" s="15" t="n">
        <v>0</v>
      </c>
      <c r="R300" s="15" t="n">
        <v>0</v>
      </c>
      <c r="S300" s="15" t="n">
        <v>0</v>
      </c>
      <c r="T300" s="14">
        <f>IF(COUNT(I300:S300)=0,"",SUM(I300:S300))</f>
        <v/>
      </c>
      <c r="U300" t="inlineStr"/>
    </row>
    <row r="301">
      <c r="A301" t="inlineStr">
        <is>
          <t>감만어린이집</t>
        </is>
      </c>
      <c r="B301" t="inlineStr">
        <is>
          <t>어린이집</t>
        </is>
      </c>
      <c r="C301" t="inlineStr">
        <is>
          <t>국공립</t>
        </is>
      </c>
      <c r="D301" t="inlineStr">
        <is>
          <t>남구</t>
        </is>
      </c>
      <c r="E301" t="inlineStr">
        <is>
          <t>부산광역시 남구 양지골로 181</t>
        </is>
      </c>
      <c r="F301" s="11" t="inlineStr">
        <is>
          <t>http://cafe.naver.com/gammankid</t>
        </is>
      </c>
      <c r="G301" t="inlineStr">
        <is>
          <t>051-632-4219</t>
        </is>
      </c>
      <c r="H301" s="15" t="n">
        <v>70</v>
      </c>
      <c r="I301" s="15" t="n">
        <v>2</v>
      </c>
      <c r="J301" s="15" t="n">
        <v>7</v>
      </c>
      <c r="K301" s="15" t="n">
        <v>7</v>
      </c>
      <c r="L301" s="15" t="n">
        <v>6</v>
      </c>
      <c r="M301" s="15" t="n">
        <v>0</v>
      </c>
      <c r="N301" s="15" t="n">
        <v>0</v>
      </c>
      <c r="O301" s="15" t="n">
        <v>0</v>
      </c>
      <c r="P301" s="15" t="n">
        <v>13</v>
      </c>
      <c r="Q301" s="15" t="n">
        <v>0</v>
      </c>
      <c r="R301" s="15" t="n">
        <v>3</v>
      </c>
      <c r="S301" s="15" t="n">
        <v>3</v>
      </c>
      <c r="T301" s="14">
        <f>IF(COUNT(I301:S301)=0,"",SUM(I301:S301))</f>
        <v/>
      </c>
      <c r="U301" t="inlineStr"/>
    </row>
    <row r="302">
      <c r="A302" t="inlineStr">
        <is>
          <t>경동리인어린이집</t>
        </is>
      </c>
      <c r="B302" t="inlineStr">
        <is>
          <t>어린이집</t>
        </is>
      </c>
      <c r="C302" t="inlineStr">
        <is>
          <t>국공립</t>
        </is>
      </c>
      <c r="D302" t="inlineStr">
        <is>
          <t>남구</t>
        </is>
      </c>
      <c r="E302" t="inlineStr">
        <is>
          <t>부산광역시 남구 문현로 36-1 (문현동, 문현경동리인아파트)</t>
        </is>
      </c>
      <c r="F302" t="inlineStr"/>
      <c r="G302" t="inlineStr">
        <is>
          <t>051-635-1020</t>
        </is>
      </c>
      <c r="H302" s="15" t="n">
        <v>24</v>
      </c>
      <c r="I302" s="15" t="n">
        <v>9</v>
      </c>
      <c r="J302" s="15" t="n">
        <v>5</v>
      </c>
      <c r="K302" s="15" t="n">
        <v>6</v>
      </c>
      <c r="L302" s="15" t="n">
        <v>0</v>
      </c>
      <c r="M302" s="15" t="n">
        <v>0</v>
      </c>
      <c r="N302" s="15" t="n">
        <v>0</v>
      </c>
      <c r="O302" s="15" t="n">
        <v>4</v>
      </c>
      <c r="P302" s="15" t="n">
        <v>0</v>
      </c>
      <c r="Q302" s="15" t="n">
        <v>0</v>
      </c>
      <c r="R302" s="15" t="n">
        <v>0</v>
      </c>
      <c r="S302" s="15" t="n">
        <v>3</v>
      </c>
      <c r="T302" s="14">
        <f>IF(COUNT(I302:S302)=0,"",SUM(I302:S302))</f>
        <v/>
      </c>
      <c r="U302" t="inlineStr"/>
    </row>
    <row r="303">
      <c r="A303" t="inlineStr">
        <is>
          <t>경성어린이집</t>
        </is>
      </c>
      <c r="B303" t="inlineStr">
        <is>
          <t>어린이집</t>
        </is>
      </c>
      <c r="C303" t="inlineStr">
        <is>
          <t>국공립</t>
        </is>
      </c>
      <c r="D303" t="inlineStr">
        <is>
          <t>남구</t>
        </is>
      </c>
      <c r="E303" t="inlineStr">
        <is>
          <t>부산광역시 남구 동제당로 258 남구복지관</t>
        </is>
      </c>
      <c r="F303" s="11" t="inlineStr">
        <is>
          <t>http://kskids@naver.com</t>
        </is>
      </c>
      <c r="G303" t="inlineStr">
        <is>
          <t>051-647-3654</t>
        </is>
      </c>
      <c r="H303" s="15" t="n">
        <v>65</v>
      </c>
      <c r="I303" s="15" t="n">
        <v>2</v>
      </c>
      <c r="J303" s="15" t="n">
        <v>20</v>
      </c>
      <c r="K303" s="15" t="n">
        <v>18</v>
      </c>
      <c r="L303" s="15" t="n">
        <v>0</v>
      </c>
      <c r="M303" s="15" t="n">
        <v>0</v>
      </c>
      <c r="N303" s="15" t="n">
        <v>0</v>
      </c>
      <c r="O303" s="15" t="n">
        <v>4</v>
      </c>
      <c r="P303" s="15" t="n">
        <v>15</v>
      </c>
      <c r="Q303" s="15" t="n">
        <v>0</v>
      </c>
      <c r="R303" s="15" t="n">
        <v>0</v>
      </c>
      <c r="S303" s="15" t="n">
        <v>15</v>
      </c>
      <c r="T303" s="14">
        <f>IF(COUNT(I303:S303)=0,"",SUM(I303:S303))</f>
        <v/>
      </c>
      <c r="U303" t="inlineStr"/>
    </row>
    <row r="304">
      <c r="A304" t="inlineStr">
        <is>
          <t>계명어린이집</t>
        </is>
      </c>
      <c r="B304" t="inlineStr">
        <is>
          <t>어린이집</t>
        </is>
      </c>
      <c r="C304" t="inlineStr">
        <is>
          <t>사회복지법인</t>
        </is>
      </c>
      <c r="D304" t="inlineStr">
        <is>
          <t>남구</t>
        </is>
      </c>
      <c r="E304" t="inlineStr">
        <is>
          <t>부산광역시 남구 동명로145번나길 19 (용호동)</t>
        </is>
      </c>
      <c r="F304" t="inlineStr"/>
      <c r="G304" t="inlineStr">
        <is>
          <t>051-626-6437</t>
        </is>
      </c>
      <c r="H304" s="15" t="n">
        <v>90</v>
      </c>
      <c r="I304" s="15" t="n">
        <v>0</v>
      </c>
      <c r="J304" s="15" t="n">
        <v>0</v>
      </c>
      <c r="K304" s="15" t="n">
        <v>0</v>
      </c>
      <c r="L304" s="15" t="n">
        <v>0</v>
      </c>
      <c r="M304" s="15" t="n">
        <v>0</v>
      </c>
      <c r="N304" s="15" t="n">
        <v>0</v>
      </c>
      <c r="O304" s="15" t="n">
        <v>1</v>
      </c>
      <c r="P304" s="15" t="n">
        <v>0</v>
      </c>
      <c r="Q304" s="15" t="n">
        <v>0</v>
      </c>
      <c r="R304" s="15" t="n">
        <v>0</v>
      </c>
      <c r="S304" s="15" t="n">
        <v>0</v>
      </c>
      <c r="T304" s="14">
        <f>IF(COUNT(I304:S304)=0,"",SUM(I304:S304))</f>
        <v/>
      </c>
      <c r="U304" t="inlineStr"/>
    </row>
    <row r="305">
      <c r="A305" t="inlineStr">
        <is>
          <t>국립부경대학교어린이집</t>
        </is>
      </c>
      <c r="B305" t="inlineStr">
        <is>
          <t>어린이집</t>
        </is>
      </c>
      <c r="C305" t="inlineStr">
        <is>
          <t>직장</t>
        </is>
      </c>
      <c r="D305" t="inlineStr">
        <is>
          <t>남구</t>
        </is>
      </c>
      <c r="E305" t="inlineStr">
        <is>
          <t>부산광역시 남구 용소로 45 C14 부경대학교어린이집(대연동, 부경대학교)</t>
        </is>
      </c>
      <c r="F305" t="inlineStr"/>
      <c r="G305" t="inlineStr">
        <is>
          <t>051-629-7493</t>
        </is>
      </c>
      <c r="H305" s="15" t="n">
        <v>99</v>
      </c>
      <c r="I305" s="15" t="n">
        <v>0</v>
      </c>
      <c r="J305" s="15" t="n">
        <v>10</v>
      </c>
      <c r="K305" s="15" t="n">
        <v>12</v>
      </c>
      <c r="L305" s="15" t="n">
        <v>14</v>
      </c>
      <c r="M305" s="15" t="n">
        <v>17</v>
      </c>
      <c r="N305" s="15" t="n">
        <v>15</v>
      </c>
      <c r="O305" s="15" t="n">
        <v>10</v>
      </c>
      <c r="P305" s="15" t="n">
        <v>0</v>
      </c>
      <c r="Q305" s="15" t="n">
        <v>0</v>
      </c>
      <c r="R305" s="15" t="n">
        <v>0</v>
      </c>
      <c r="S305" s="15" t="n">
        <v>62</v>
      </c>
      <c r="T305" s="14">
        <f>IF(COUNT(I305:S305)=0,"",SUM(I305:S305))</f>
        <v/>
      </c>
      <c r="U305" t="inlineStr"/>
    </row>
    <row r="306">
      <c r="A306" t="inlineStr">
        <is>
          <t>글로벌어린이집</t>
        </is>
      </c>
      <c r="B306" t="inlineStr">
        <is>
          <t>어린이집</t>
        </is>
      </c>
      <c r="C306" t="inlineStr">
        <is>
          <t>민간</t>
        </is>
      </c>
      <c r="D306" t="inlineStr">
        <is>
          <t>남구</t>
        </is>
      </c>
      <c r="E306" t="inlineStr">
        <is>
          <t>부산광역시 남구 용호로 34 글로벌어린이집 (용호동)</t>
        </is>
      </c>
      <c r="F306" t="inlineStr"/>
      <c r="G306" t="inlineStr">
        <is>
          <t>051-628-3900</t>
        </is>
      </c>
      <c r="H306" s="15" t="n">
        <v>49</v>
      </c>
      <c r="I306" s="15" t="n">
        <v>5</v>
      </c>
      <c r="J306" s="15" t="n">
        <v>15</v>
      </c>
      <c r="K306" s="15" t="n">
        <v>5</v>
      </c>
      <c r="L306" s="15" t="n">
        <v>0</v>
      </c>
      <c r="M306" s="15" t="n">
        <v>0</v>
      </c>
      <c r="N306" s="15" t="n">
        <v>0</v>
      </c>
      <c r="O306" s="15" t="n">
        <v>2</v>
      </c>
      <c r="P306" s="15" t="n">
        <v>12</v>
      </c>
      <c r="Q306" s="15" t="n">
        <v>0</v>
      </c>
      <c r="R306" s="15" t="n">
        <v>6</v>
      </c>
      <c r="S306" s="15" t="n">
        <v>5</v>
      </c>
      <c r="T306" s="14">
        <f>IF(COUNT(I306:S306)=0,"",SUM(I306:S306))</f>
        <v/>
      </c>
      <c r="U306" t="inlineStr"/>
    </row>
    <row r="307">
      <c r="A307" t="inlineStr">
        <is>
          <t>글로벌창의어린이집</t>
        </is>
      </c>
      <c r="B307" t="inlineStr">
        <is>
          <t>어린이집</t>
        </is>
      </c>
      <c r="C307" t="inlineStr">
        <is>
          <t>민간</t>
        </is>
      </c>
      <c r="D307" t="inlineStr">
        <is>
          <t>남구</t>
        </is>
      </c>
      <c r="E307" t="inlineStr">
        <is>
          <t>부산광역시 남구 오륙도로 85 관리동 내</t>
        </is>
      </c>
      <c r="F307" t="inlineStr"/>
      <c r="G307" t="inlineStr">
        <is>
          <t>051-611-7560</t>
        </is>
      </c>
      <c r="H307" s="15" t="n">
        <v>45</v>
      </c>
      <c r="I307" s="15" t="n">
        <v>0</v>
      </c>
      <c r="J307" s="15" t="n">
        <v>10</v>
      </c>
      <c r="K307" s="15" t="n">
        <v>7</v>
      </c>
      <c r="L307" s="15" t="n">
        <v>0</v>
      </c>
      <c r="M307" s="15" t="n">
        <v>0</v>
      </c>
      <c r="N307" s="15" t="n">
        <v>0</v>
      </c>
      <c r="O307" s="15" t="n">
        <v>0</v>
      </c>
      <c r="P307" s="15" t="n">
        <v>0</v>
      </c>
      <c r="Q307" s="15" t="n">
        <v>0</v>
      </c>
      <c r="R307" s="15" t="n">
        <v>0</v>
      </c>
      <c r="S307" s="15" t="n">
        <v>5</v>
      </c>
      <c r="T307" s="14">
        <f>IF(COUNT(I307:S307)=0,"",SUM(I307:S307))</f>
        <v/>
      </c>
      <c r="U307" t="inlineStr"/>
    </row>
    <row r="308">
      <c r="A308" t="inlineStr">
        <is>
          <t>꼬모어린이집</t>
        </is>
      </c>
      <c r="B308" t="inlineStr">
        <is>
          <t>어린이집</t>
        </is>
      </c>
      <c r="C308" t="inlineStr">
        <is>
          <t>가정</t>
        </is>
      </c>
      <c r="D308" t="inlineStr">
        <is>
          <t>남구</t>
        </is>
      </c>
      <c r="E308" t="inlineStr">
        <is>
          <t>부산광역시 남구 수영로196번길 45-1</t>
        </is>
      </c>
      <c r="F308" t="inlineStr"/>
      <c r="G308" t="inlineStr">
        <is>
          <t>051-643-8036</t>
        </is>
      </c>
      <c r="H308" s="15" t="n">
        <v>19</v>
      </c>
      <c r="I308" s="15" t="n">
        <v>0</v>
      </c>
      <c r="J308" s="15" t="n">
        <v>0</v>
      </c>
      <c r="K308" s="15" t="n">
        <v>0</v>
      </c>
      <c r="L308" s="15" t="n">
        <v>0</v>
      </c>
      <c r="M308" s="15" t="n">
        <v>0</v>
      </c>
      <c r="N308" s="15" t="n">
        <v>0</v>
      </c>
      <c r="O308" s="15" t="n">
        <v>0</v>
      </c>
      <c r="P308" s="15" t="n">
        <v>0</v>
      </c>
      <c r="Q308" s="15" t="n">
        <v>0</v>
      </c>
      <c r="R308" s="15" t="n">
        <v>0</v>
      </c>
      <c r="S308" s="15" t="n">
        <v>0</v>
      </c>
      <c r="T308" s="14">
        <f>IF(COUNT(I308:S308)=0,"",SUM(I308:S308))</f>
        <v/>
      </c>
      <c r="U308" t="inlineStr"/>
    </row>
    <row r="309">
      <c r="A309" t="inlineStr">
        <is>
          <t>꿈샘어린이집</t>
        </is>
      </c>
      <c r="B309" t="inlineStr">
        <is>
          <t>어린이집</t>
        </is>
      </c>
      <c r="C309" t="inlineStr">
        <is>
          <t>협동</t>
        </is>
      </c>
      <c r="D309" t="inlineStr">
        <is>
          <t>남구</t>
        </is>
      </c>
      <c r="E309" t="inlineStr">
        <is>
          <t>부산광역시 남구 동명로163번길 33 (용호동)</t>
        </is>
      </c>
      <c r="F309" s="11" t="inlineStr">
        <is>
          <t>http://cafe.naver.com/dreamspring2014</t>
        </is>
      </c>
      <c r="G309" t="inlineStr">
        <is>
          <t>070-4257-1402</t>
        </is>
      </c>
      <c r="H309" s="15" t="n">
        <v>20</v>
      </c>
      <c r="I309" s="15" t="n">
        <v>0</v>
      </c>
      <c r="J309" s="15" t="n">
        <v>0</v>
      </c>
      <c r="K309" s="15" t="n">
        <v>4</v>
      </c>
      <c r="L309" s="15" t="n">
        <v>0</v>
      </c>
      <c r="M309" s="15" t="n">
        <v>0</v>
      </c>
      <c r="N309" s="15" t="n">
        <v>0</v>
      </c>
      <c r="O309" s="15" t="n">
        <v>3</v>
      </c>
      <c r="P309" s="15" t="n">
        <v>8</v>
      </c>
      <c r="Q309" s="15" t="n">
        <v>0</v>
      </c>
      <c r="R309" s="15" t="n">
        <v>0</v>
      </c>
      <c r="S309" s="15" t="n">
        <v>4</v>
      </c>
      <c r="T309" s="14">
        <f>IF(COUNT(I309:S309)=0,"",SUM(I309:S309))</f>
        <v/>
      </c>
      <c r="U309" t="inlineStr"/>
    </row>
    <row r="310">
      <c r="A310" t="inlineStr">
        <is>
          <t>늘 푸른어린이집</t>
        </is>
      </c>
      <c r="B310" t="inlineStr">
        <is>
          <t>어린이집</t>
        </is>
      </c>
      <c r="C310" t="inlineStr">
        <is>
          <t>가정</t>
        </is>
      </c>
      <c r="D310" t="inlineStr">
        <is>
          <t>남구</t>
        </is>
      </c>
      <c r="E310" t="inlineStr">
        <is>
          <t>부산광역시 남구 분포로 111 101동 103호(용호동, 엘지메트로시티)</t>
        </is>
      </c>
      <c r="F310" t="inlineStr"/>
      <c r="G310" t="inlineStr">
        <is>
          <t>051-627-2230</t>
        </is>
      </c>
      <c r="H310" s="15" t="n">
        <v>19</v>
      </c>
      <c r="I310" s="15" t="n">
        <v>4</v>
      </c>
      <c r="J310" s="15" t="n">
        <v>7</v>
      </c>
      <c r="K310" s="15" t="n">
        <v>7</v>
      </c>
      <c r="L310" s="15" t="n">
        <v>0</v>
      </c>
      <c r="M310" s="15" t="n">
        <v>0</v>
      </c>
      <c r="N310" s="15" t="n">
        <v>0</v>
      </c>
      <c r="O310" s="15" t="n">
        <v>0</v>
      </c>
      <c r="P310" s="15" t="n">
        <v>0</v>
      </c>
      <c r="Q310" s="15" t="n">
        <v>0</v>
      </c>
      <c r="R310" s="15" t="n">
        <v>0</v>
      </c>
      <c r="S310" s="15" t="n">
        <v>6</v>
      </c>
      <c r="T310" s="14">
        <f>IF(COUNT(I310:S310)=0,"",SUM(I310:S310))</f>
        <v/>
      </c>
      <c r="U310" t="inlineStr"/>
    </row>
    <row r="311">
      <c r="A311" t="inlineStr">
        <is>
          <t>다온어린이집</t>
        </is>
      </c>
      <c r="B311" t="inlineStr">
        <is>
          <t>어린이집</t>
        </is>
      </c>
      <c r="C311" t="inlineStr">
        <is>
          <t>가정</t>
        </is>
      </c>
      <c r="D311" t="inlineStr">
        <is>
          <t>남구</t>
        </is>
      </c>
      <c r="E311" t="inlineStr">
        <is>
          <t>부산광역시 남구 석포로127번길 1-5</t>
        </is>
      </c>
      <c r="F311" t="inlineStr"/>
      <c r="G311" t="inlineStr">
        <is>
          <t>051-627-2004</t>
        </is>
      </c>
      <c r="H311" s="15" t="n">
        <v>16</v>
      </c>
      <c r="I311" s="15" t="n">
        <v>0</v>
      </c>
      <c r="J311" s="15" t="n">
        <v>0</v>
      </c>
      <c r="K311" s="15" t="n">
        <v>0</v>
      </c>
      <c r="L311" s="15" t="n">
        <v>0</v>
      </c>
      <c r="M311" s="15" t="n">
        <v>0</v>
      </c>
      <c r="N311" s="15" t="n">
        <v>0</v>
      </c>
      <c r="O311" s="15" t="n">
        <v>2</v>
      </c>
      <c r="P311" s="15" t="n">
        <v>0</v>
      </c>
      <c r="Q311" s="15" t="n">
        <v>0</v>
      </c>
      <c r="R311" s="15" t="n">
        <v>0</v>
      </c>
      <c r="S311" s="15" t="n">
        <v>2</v>
      </c>
      <c r="T311" s="14">
        <f>IF(COUNT(I311:S311)=0,"",SUM(I311:S311))</f>
        <v/>
      </c>
      <c r="U311" t="inlineStr"/>
    </row>
    <row r="312">
      <c r="A312" t="inlineStr">
        <is>
          <t>다원어린이집</t>
        </is>
      </c>
      <c r="B312" t="inlineStr">
        <is>
          <t>어린이집</t>
        </is>
      </c>
      <c r="C312" t="inlineStr">
        <is>
          <t>가정</t>
        </is>
      </c>
      <c r="D312" t="inlineStr">
        <is>
          <t>남구</t>
        </is>
      </c>
      <c r="E312" t="inlineStr">
        <is>
          <t>부산광역시 남구 황령대로319번가길 142 104동 102호(대연동,삼익그린타운)</t>
        </is>
      </c>
      <c r="F312" t="inlineStr"/>
      <c r="G312" t="inlineStr">
        <is>
          <t>051-635-4101</t>
        </is>
      </c>
      <c r="H312" s="15" t="n">
        <v>13</v>
      </c>
      <c r="I312" s="15" t="n">
        <v>2</v>
      </c>
      <c r="J312" s="15" t="n">
        <v>3</v>
      </c>
      <c r="K312" s="15" t="n">
        <v>0</v>
      </c>
      <c r="L312" s="15" t="n">
        <v>0</v>
      </c>
      <c r="M312" s="15" t="n">
        <v>0</v>
      </c>
      <c r="N312" s="15" t="n">
        <v>0</v>
      </c>
      <c r="O312" s="15" t="n">
        <v>2</v>
      </c>
      <c r="P312" s="15" t="n">
        <v>0</v>
      </c>
      <c r="Q312" s="15" t="n">
        <v>0</v>
      </c>
      <c r="R312" s="15" t="n">
        <v>0</v>
      </c>
      <c r="S312" s="15" t="n">
        <v>3</v>
      </c>
      <c r="T312" s="14">
        <f>IF(COUNT(I312:S312)=0,"",SUM(I312:S312))</f>
        <v/>
      </c>
      <c r="U312" t="inlineStr"/>
    </row>
    <row r="313">
      <c r="A313" t="inlineStr">
        <is>
          <t>대남어린이집</t>
        </is>
      </c>
      <c r="B313" t="inlineStr">
        <is>
          <t>어린이집</t>
        </is>
      </c>
      <c r="C313" t="inlineStr">
        <is>
          <t>민간</t>
        </is>
      </c>
      <c r="D313" t="inlineStr">
        <is>
          <t>남구</t>
        </is>
      </c>
      <c r="E313" t="inlineStr">
        <is>
          <t>부산광역시 남구 유엔로183번길 30</t>
        </is>
      </c>
      <c r="F313" t="inlineStr"/>
      <c r="G313" t="inlineStr">
        <is>
          <t>051-628-1123</t>
        </is>
      </c>
      <c r="H313" s="15" t="n">
        <v>49</v>
      </c>
      <c r="I313" s="15" t="n">
        <v>8</v>
      </c>
      <c r="J313" s="15" t="n">
        <v>20</v>
      </c>
      <c r="K313" s="15" t="n">
        <v>21</v>
      </c>
      <c r="L313" s="15" t="n">
        <v>0</v>
      </c>
      <c r="M313" s="15" t="n">
        <v>0</v>
      </c>
      <c r="N313" s="15" t="n">
        <v>0</v>
      </c>
      <c r="O313" s="15" t="n">
        <v>0</v>
      </c>
      <c r="P313" s="15" t="n">
        <v>0</v>
      </c>
      <c r="Q313" s="15" t="n">
        <v>0</v>
      </c>
      <c r="R313" s="15" t="n">
        <v>0</v>
      </c>
      <c r="S313" s="15" t="n">
        <v>10</v>
      </c>
      <c r="T313" s="14">
        <f>IF(COUNT(I313:S313)=0,"",SUM(I313:S313))</f>
        <v/>
      </c>
      <c r="U313" t="inlineStr"/>
    </row>
    <row r="314">
      <c r="A314" t="inlineStr">
        <is>
          <t>대연양우내안애어린이집</t>
        </is>
      </c>
      <c r="B314" t="inlineStr">
        <is>
          <t>어린이집</t>
        </is>
      </c>
      <c r="C314" t="inlineStr">
        <is>
          <t>국공립</t>
        </is>
      </c>
      <c r="D314" t="inlineStr">
        <is>
          <t>남구</t>
        </is>
      </c>
      <c r="E314" t="inlineStr">
        <is>
          <t>부산광역시 남구 수영로 117 대연양우내안애퍼스트</t>
        </is>
      </c>
      <c r="F314" t="inlineStr"/>
      <c r="G314" t="inlineStr">
        <is>
          <t>051-646-7979</t>
        </is>
      </c>
      <c r="H314" s="15" t="n">
        <v>24</v>
      </c>
      <c r="I314" s="15" t="n">
        <v>5</v>
      </c>
      <c r="J314" s="15" t="n">
        <v>8</v>
      </c>
      <c r="K314" s="15" t="n">
        <v>11</v>
      </c>
      <c r="L314" s="15" t="n">
        <v>0</v>
      </c>
      <c r="M314" s="15" t="n">
        <v>0</v>
      </c>
      <c r="N314" s="15" t="n">
        <v>0</v>
      </c>
      <c r="O314" s="15" t="n">
        <v>0</v>
      </c>
      <c r="P314" s="15" t="n">
        <v>0</v>
      </c>
      <c r="Q314" s="15" t="n">
        <v>0</v>
      </c>
      <c r="R314" s="15" t="n">
        <v>0</v>
      </c>
      <c r="S314" s="15" t="n">
        <v>5</v>
      </c>
      <c r="T314" s="14">
        <f>IF(COUNT(I314:S314)=0,"",SUM(I314:S314))</f>
        <v/>
      </c>
      <c r="U314" t="inlineStr"/>
    </row>
    <row r="315">
      <c r="A315" t="inlineStr">
        <is>
          <t>대연어린이집</t>
        </is>
      </c>
      <c r="B315" t="inlineStr">
        <is>
          <t>어린이집</t>
        </is>
      </c>
      <c r="C315" t="inlineStr">
        <is>
          <t>국공립</t>
        </is>
      </c>
      <c r="D315" t="inlineStr">
        <is>
          <t>남구</t>
        </is>
      </c>
      <c r="E315" t="inlineStr">
        <is>
          <t>부산광역시 남구 홍곡로 309</t>
        </is>
      </c>
      <c r="F315" t="inlineStr"/>
      <c r="G315" t="inlineStr">
        <is>
          <t>051-624-5076</t>
        </is>
      </c>
      <c r="H315" s="15" t="n">
        <v>139</v>
      </c>
      <c r="I315" s="15" t="n">
        <v>0</v>
      </c>
      <c r="J315" s="15" t="n">
        <v>20</v>
      </c>
      <c r="K315" s="15" t="n">
        <v>21</v>
      </c>
      <c r="L315" s="15" t="n">
        <v>16</v>
      </c>
      <c r="M315" s="15" t="n">
        <v>21</v>
      </c>
      <c r="N315" s="15" t="n">
        <v>17</v>
      </c>
      <c r="O315" s="15" t="n">
        <v>0</v>
      </c>
      <c r="P315" s="15" t="n">
        <v>0</v>
      </c>
      <c r="Q315" s="15" t="n">
        <v>0</v>
      </c>
      <c r="R315" s="15" t="n">
        <v>0</v>
      </c>
      <c r="S315" s="15" t="n">
        <v>28</v>
      </c>
      <c r="T315" s="14">
        <f>IF(COUNT(I315:S315)=0,"",SUM(I315:S315))</f>
        <v/>
      </c>
      <c r="U315" t="inlineStr"/>
    </row>
    <row r="316">
      <c r="A316" t="inlineStr">
        <is>
          <t>대연파크어린이집</t>
        </is>
      </c>
      <c r="B316" t="inlineStr">
        <is>
          <t>어린이집</t>
        </is>
      </c>
      <c r="C316" t="inlineStr">
        <is>
          <t>가정</t>
        </is>
      </c>
      <c r="D316" t="inlineStr">
        <is>
          <t>남구</t>
        </is>
      </c>
      <c r="E316" t="inlineStr">
        <is>
          <t>부산광역시 남구 홍곡로 360 106동 104호(대연동, 대연파크푸르지오)</t>
        </is>
      </c>
      <c r="F316" t="inlineStr"/>
      <c r="G316" t="inlineStr">
        <is>
          <t>051-622-4072</t>
        </is>
      </c>
      <c r="H316" s="15" t="n">
        <v>20</v>
      </c>
      <c r="I316" s="15" t="n">
        <v>3</v>
      </c>
      <c r="J316" s="15" t="n">
        <v>5</v>
      </c>
      <c r="K316" s="15" t="n">
        <v>0</v>
      </c>
      <c r="L316" s="15" t="n">
        <v>0</v>
      </c>
      <c r="M316" s="15" t="n">
        <v>0</v>
      </c>
      <c r="N316" s="15" t="n">
        <v>0</v>
      </c>
      <c r="O316" s="15" t="n">
        <v>4</v>
      </c>
      <c r="P316" s="15" t="n">
        <v>0</v>
      </c>
      <c r="Q316" s="15" t="n">
        <v>0</v>
      </c>
      <c r="R316" s="15" t="n">
        <v>0</v>
      </c>
      <c r="S316" s="15" t="n">
        <v>3</v>
      </c>
      <c r="T316" s="14">
        <f>IF(COUNT(I316:S316)=0,"",SUM(I316:S316))</f>
        <v/>
      </c>
      <c r="U316" t="inlineStr"/>
    </row>
    <row r="317">
      <c r="A317" t="inlineStr">
        <is>
          <t>대연혁신도담어린이집</t>
        </is>
      </c>
      <c r="B317" t="inlineStr">
        <is>
          <t>어린이집</t>
        </is>
      </c>
      <c r="C317" t="inlineStr">
        <is>
          <t>가정</t>
        </is>
      </c>
      <c r="D317" t="inlineStr">
        <is>
          <t>남구</t>
        </is>
      </c>
      <c r="E317" t="inlineStr">
        <is>
          <t>부산광역시 남구 수영로 345 대연힐스테이트푸르지오112동104호</t>
        </is>
      </c>
      <c r="F317" t="inlineStr"/>
      <c r="G317" t="inlineStr">
        <is>
          <t>051-622-1616</t>
        </is>
      </c>
      <c r="H317" s="15" t="n">
        <v>20</v>
      </c>
      <c r="I317" s="15" t="n">
        <v>4</v>
      </c>
      <c r="J317" s="15" t="n">
        <v>9</v>
      </c>
      <c r="K317" s="15" t="n">
        <v>7</v>
      </c>
      <c r="L317" s="15" t="n">
        <v>0</v>
      </c>
      <c r="M317" s="15" t="n">
        <v>0</v>
      </c>
      <c r="N317" s="15" t="n">
        <v>0</v>
      </c>
      <c r="O317" s="15" t="n">
        <v>0</v>
      </c>
      <c r="P317" s="15" t="n">
        <v>0</v>
      </c>
      <c r="Q317" s="15" t="n">
        <v>0</v>
      </c>
      <c r="R317" s="15" t="n">
        <v>0</v>
      </c>
      <c r="S317" s="15" t="n">
        <v>8</v>
      </c>
      <c r="T317" s="14">
        <f>IF(COUNT(I317:S317)=0,"",SUM(I317:S317))</f>
        <v/>
      </c>
      <c r="U317" t="inlineStr"/>
    </row>
    <row r="318">
      <c r="A318" t="inlineStr">
        <is>
          <t>대연혁신리더어린이집</t>
        </is>
      </c>
      <c r="B318" t="inlineStr">
        <is>
          <t>어린이집</t>
        </is>
      </c>
      <c r="C318" t="inlineStr">
        <is>
          <t>민간</t>
        </is>
      </c>
      <c r="D318" t="inlineStr">
        <is>
          <t>남구</t>
        </is>
      </c>
      <c r="E318" t="inlineStr">
        <is>
          <t>부산광역시 남구 수영로 345 대연혁신힐스테이트 푸르지오 아파트 관리동</t>
        </is>
      </c>
      <c r="F318" t="inlineStr"/>
      <c r="G318" t="inlineStr">
        <is>
          <t>051-951-1004</t>
        </is>
      </c>
      <c r="H318" s="15" t="n">
        <v>65</v>
      </c>
      <c r="I318" s="15" t="n">
        <v>6</v>
      </c>
      <c r="J318" s="15" t="n">
        <v>20</v>
      </c>
      <c r="K318" s="15" t="n">
        <v>28</v>
      </c>
      <c r="L318" s="15" t="n">
        <v>0</v>
      </c>
      <c r="M318" s="15" t="n">
        <v>0</v>
      </c>
      <c r="N318" s="15" t="n">
        <v>0</v>
      </c>
      <c r="O318" s="15" t="n">
        <v>0</v>
      </c>
      <c r="P318" s="15" t="n">
        <v>0</v>
      </c>
      <c r="Q318" s="15" t="n">
        <v>0</v>
      </c>
      <c r="R318" s="15" t="n">
        <v>0</v>
      </c>
      <c r="S318" s="15" t="n">
        <v>5</v>
      </c>
      <c r="T318" s="14">
        <f>IF(COUNT(I318:S318)=0,"",SUM(I318:S318))</f>
        <v/>
      </c>
      <c r="U318" t="inlineStr"/>
    </row>
    <row r="319">
      <c r="A319" t="inlineStr">
        <is>
          <t>동국씨엠부산어린이집</t>
        </is>
      </c>
      <c r="B319" t="inlineStr">
        <is>
          <t>어린이집</t>
        </is>
      </c>
      <c r="C319" t="inlineStr">
        <is>
          <t>직장</t>
        </is>
      </c>
      <c r="D319" t="inlineStr">
        <is>
          <t>남구</t>
        </is>
      </c>
      <c r="E319" t="inlineStr">
        <is>
          <t>부산광역시 남구 분포로 113 231동 101호</t>
        </is>
      </c>
      <c r="F319" t="inlineStr"/>
      <c r="G319" t="inlineStr">
        <is>
          <t>051-622-2017</t>
        </is>
      </c>
      <c r="H319" s="15" t="n">
        <v>20</v>
      </c>
      <c r="I319" s="15" t="n">
        <v>3</v>
      </c>
      <c r="J319" s="15" t="n">
        <v>0</v>
      </c>
      <c r="K319" s="15" t="n">
        <v>0</v>
      </c>
      <c r="L319" s="15" t="n">
        <v>1</v>
      </c>
      <c r="M319" s="15" t="n">
        <v>0</v>
      </c>
      <c r="N319" s="15" t="n">
        <v>0</v>
      </c>
      <c r="O319" s="15" t="n">
        <v>5</v>
      </c>
      <c r="P319" s="15" t="n">
        <v>0</v>
      </c>
      <c r="Q319" s="15" t="n">
        <v>0</v>
      </c>
      <c r="R319" s="15" t="n">
        <v>0</v>
      </c>
      <c r="S319" s="15" t="n">
        <v>5</v>
      </c>
      <c r="T319" s="14">
        <f>IF(COUNT(I319:S319)=0,"",SUM(I319:S319))</f>
        <v/>
      </c>
      <c r="U319" t="inlineStr"/>
    </row>
    <row r="320">
      <c r="A320" t="inlineStr">
        <is>
          <t>동원어린이집</t>
        </is>
      </c>
      <c r="B320" t="inlineStr">
        <is>
          <t>어린이집</t>
        </is>
      </c>
      <c r="C320" t="inlineStr">
        <is>
          <t>가정</t>
        </is>
      </c>
      <c r="D320" t="inlineStr">
        <is>
          <t>남구</t>
        </is>
      </c>
      <c r="E320" t="inlineStr">
        <is>
          <t>부산광역시 남구 못골로41번길 13 201동 101호(대연동, 동원로얄듀크)</t>
        </is>
      </c>
      <c r="F320" s="11" t="inlineStr">
        <is>
          <t>http://icecoffee10@naver.com</t>
        </is>
      </c>
      <c r="G320" t="inlineStr">
        <is>
          <t>051-643-2267</t>
        </is>
      </c>
      <c r="H320" s="15" t="n">
        <v>19</v>
      </c>
      <c r="I320" s="15" t="n">
        <v>6</v>
      </c>
      <c r="J320" s="15" t="n">
        <v>5</v>
      </c>
      <c r="K320" s="15" t="n">
        <v>4</v>
      </c>
      <c r="L320" s="15" t="n">
        <v>0</v>
      </c>
      <c r="M320" s="15" t="n">
        <v>0</v>
      </c>
      <c r="N320" s="15" t="n">
        <v>0</v>
      </c>
      <c r="O320" s="15" t="n">
        <v>0</v>
      </c>
      <c r="P320" s="15" t="n">
        <v>0</v>
      </c>
      <c r="Q320" s="15" t="n">
        <v>0</v>
      </c>
      <c r="R320" s="15" t="n">
        <v>0</v>
      </c>
      <c r="S320" s="15" t="n">
        <v>3</v>
      </c>
      <c r="T320" s="14">
        <f>IF(COUNT(I320:S320)=0,"",SUM(I320:S320))</f>
        <v/>
      </c>
      <c r="U320" t="inlineStr"/>
    </row>
    <row r="321">
      <c r="A321" t="inlineStr">
        <is>
          <t>동화나라어린이집</t>
        </is>
      </c>
      <c r="B321" t="inlineStr">
        <is>
          <t>어린이집</t>
        </is>
      </c>
      <c r="C321" t="inlineStr">
        <is>
          <t>가정</t>
        </is>
      </c>
      <c r="D321" t="inlineStr">
        <is>
          <t>남구</t>
        </is>
      </c>
      <c r="E321" t="inlineStr">
        <is>
          <t>부산광역시 남구 동명로164번길 106-6 8통2반 (용호동)</t>
        </is>
      </c>
      <c r="F321" t="inlineStr"/>
      <c r="G321" t="inlineStr">
        <is>
          <t>051-622-7320</t>
        </is>
      </c>
      <c r="H321" s="15" t="n">
        <v>20</v>
      </c>
      <c r="I321" s="15" t="n">
        <v>0</v>
      </c>
      <c r="J321" s="15" t="n">
        <v>0</v>
      </c>
      <c r="K321" s="15" t="n">
        <v>0</v>
      </c>
      <c r="L321" s="15" t="n">
        <v>0</v>
      </c>
      <c r="M321" s="15" t="n">
        <v>0</v>
      </c>
      <c r="N321" s="15" t="n">
        <v>0</v>
      </c>
      <c r="O321" s="15" t="n">
        <v>0</v>
      </c>
      <c r="P321" s="15" t="n">
        <v>0</v>
      </c>
      <c r="Q321" s="15" t="n">
        <v>0</v>
      </c>
      <c r="R321" s="15" t="n">
        <v>0</v>
      </c>
      <c r="S321" s="15" t="n">
        <v>4</v>
      </c>
      <c r="T321" s="14">
        <f>IF(COUNT(I321:S321)=0,"",SUM(I321:S321))</f>
        <v/>
      </c>
      <c r="U321" t="inlineStr"/>
    </row>
    <row r="322">
      <c r="A322" t="inlineStr">
        <is>
          <t>레전드캐슬어린이집</t>
        </is>
      </c>
      <c r="B322" t="inlineStr">
        <is>
          <t>어린이집</t>
        </is>
      </c>
      <c r="C322" t="inlineStr">
        <is>
          <t>민간</t>
        </is>
      </c>
      <c r="D322" t="inlineStr">
        <is>
          <t>남구</t>
        </is>
      </c>
      <c r="E322" t="inlineStr">
        <is>
          <t>부산광역시 남구 수영로 135 (대연동)</t>
        </is>
      </c>
      <c r="F322" s="11" t="inlineStr">
        <is>
          <t>http://mp.blueweb.co.kr/sunju6166/</t>
        </is>
      </c>
      <c r="G322" t="inlineStr">
        <is>
          <t>051-632-3353</t>
        </is>
      </c>
      <c r="H322" s="15" t="n">
        <v>29</v>
      </c>
      <c r="I322" s="15" t="n">
        <v>5</v>
      </c>
      <c r="J322" s="15" t="n">
        <v>10</v>
      </c>
      <c r="K322" s="15" t="n">
        <v>11</v>
      </c>
      <c r="L322" s="15" t="n">
        <v>0</v>
      </c>
      <c r="M322" s="15" t="n">
        <v>0</v>
      </c>
      <c r="N322" s="15" t="n">
        <v>0</v>
      </c>
      <c r="O322" s="15" t="n">
        <v>0</v>
      </c>
      <c r="P322" s="15" t="n">
        <v>0</v>
      </c>
      <c r="Q322" s="15" t="n">
        <v>0</v>
      </c>
      <c r="R322" s="15" t="n">
        <v>0</v>
      </c>
      <c r="S322" s="15" t="n">
        <v>8</v>
      </c>
      <c r="T322" s="14">
        <f>IF(COUNT(I322:S322)=0,"",SUM(I322:S322))</f>
        <v/>
      </c>
      <c r="U322" t="inlineStr"/>
    </row>
    <row r="323">
      <c r="A323" t="inlineStr">
        <is>
          <t>레전드포레어린이집</t>
        </is>
      </c>
      <c r="B323" t="inlineStr">
        <is>
          <t>어린이집</t>
        </is>
      </c>
      <c r="C323" t="inlineStr">
        <is>
          <t>민간</t>
        </is>
      </c>
      <c r="D323" t="inlineStr">
        <is>
          <t>남구</t>
        </is>
      </c>
      <c r="E323" t="inlineStr">
        <is>
          <t>부산광역시 남구 수영로 135 대연롯데캐슬레전드 아파트관리동</t>
        </is>
      </c>
      <c r="F323" t="inlineStr"/>
      <c r="G323" t="inlineStr">
        <is>
          <t>051-715-4700</t>
        </is>
      </c>
      <c r="H323" s="15" t="n">
        <v>65</v>
      </c>
      <c r="I323" s="15" t="n">
        <v>6</v>
      </c>
      <c r="J323" s="15" t="n">
        <v>30</v>
      </c>
      <c r="K323" s="15" t="n">
        <v>29</v>
      </c>
      <c r="L323" s="15" t="n">
        <v>0</v>
      </c>
      <c r="M323" s="15" t="n">
        <v>0</v>
      </c>
      <c r="N323" s="15" t="n">
        <v>0</v>
      </c>
      <c r="O323" s="15" t="n">
        <v>0</v>
      </c>
      <c r="P323" s="15" t="n">
        <v>0</v>
      </c>
      <c r="Q323" s="15" t="n">
        <v>0</v>
      </c>
      <c r="R323" s="15" t="n">
        <v>0</v>
      </c>
      <c r="S323" s="15" t="n">
        <v>10</v>
      </c>
      <c r="T323" s="14">
        <f>IF(COUNT(I323:S323)=0,"",SUM(I323:S323))</f>
        <v/>
      </c>
      <c r="U323" t="inlineStr"/>
    </row>
    <row r="324">
      <c r="A324" t="inlineStr">
        <is>
          <t>롯데아이숲어린이집</t>
        </is>
      </c>
      <c r="B324" t="inlineStr">
        <is>
          <t>어린이집</t>
        </is>
      </c>
      <c r="C324" t="inlineStr">
        <is>
          <t>민간</t>
        </is>
      </c>
      <c r="D324" t="inlineStr">
        <is>
          <t>남구</t>
        </is>
      </c>
      <c r="E324" t="inlineStr">
        <is>
          <t>부산광역시 남구 수영로325번길 61 (대연동, 대연롯데캐슬)</t>
        </is>
      </c>
      <c r="F324" t="inlineStr"/>
      <c r="G324" t="inlineStr">
        <is>
          <t>051-937-2004</t>
        </is>
      </c>
      <c r="H324" s="15" t="n">
        <v>41</v>
      </c>
      <c r="I324" s="15" t="n">
        <v>7</v>
      </c>
      <c r="J324" s="15" t="n">
        <v>10</v>
      </c>
      <c r="K324" s="15" t="n">
        <v>7</v>
      </c>
      <c r="L324" s="15" t="n">
        <v>0</v>
      </c>
      <c r="M324" s="15" t="n">
        <v>0</v>
      </c>
      <c r="N324" s="15" t="n">
        <v>0</v>
      </c>
      <c r="O324" s="15" t="n">
        <v>5</v>
      </c>
      <c r="P324" s="15" t="n">
        <v>0</v>
      </c>
      <c r="Q324" s="15" t="n">
        <v>0</v>
      </c>
      <c r="R324" s="15" t="n">
        <v>0</v>
      </c>
      <c r="S324" s="15" t="n">
        <v>5</v>
      </c>
      <c r="T324" s="14">
        <f>IF(COUNT(I324:S324)=0,"",SUM(I324:S324))</f>
        <v/>
      </c>
      <c r="U324" t="inlineStr"/>
    </row>
    <row r="325">
      <c r="A325" t="inlineStr">
        <is>
          <t>리틀조이어린이집</t>
        </is>
      </c>
      <c r="B325" t="inlineStr">
        <is>
          <t>어린이집</t>
        </is>
      </c>
      <c r="C325" t="inlineStr">
        <is>
          <t>가정</t>
        </is>
      </c>
      <c r="D325" t="inlineStr">
        <is>
          <t>남구</t>
        </is>
      </c>
      <c r="E325" t="inlineStr">
        <is>
          <t>부산광역시 남구 분포로 111 132동 104호(용호동, 엘지메트로시티)</t>
        </is>
      </c>
      <c r="F325" t="inlineStr"/>
      <c r="G325" t="inlineStr">
        <is>
          <t>051-611-5598</t>
        </is>
      </c>
      <c r="H325" s="15" t="n">
        <v>20</v>
      </c>
      <c r="I325" s="15" t="n">
        <v>3</v>
      </c>
      <c r="J325" s="15" t="n">
        <v>8</v>
      </c>
      <c r="K325" s="15" t="n">
        <v>7</v>
      </c>
      <c r="L325" s="15" t="n">
        <v>0</v>
      </c>
      <c r="M325" s="15" t="n">
        <v>0</v>
      </c>
      <c r="N325" s="15" t="n">
        <v>0</v>
      </c>
      <c r="O325" s="15" t="n">
        <v>0</v>
      </c>
      <c r="P325" s="15" t="n">
        <v>0</v>
      </c>
      <c r="Q325" s="15" t="n">
        <v>0</v>
      </c>
      <c r="R325" s="15" t="n">
        <v>0</v>
      </c>
      <c r="S325" s="15" t="n">
        <v>4</v>
      </c>
      <c r="T325" s="14">
        <f>IF(COUNT(I325:S325)=0,"",SUM(I325:S325))</f>
        <v/>
      </c>
      <c r="U325" t="inlineStr"/>
    </row>
    <row r="326">
      <c r="A326" t="inlineStr">
        <is>
          <t>메트로미래어린이집</t>
        </is>
      </c>
      <c r="B326" t="inlineStr">
        <is>
          <t>어린이집</t>
        </is>
      </c>
      <c r="C326" t="inlineStr">
        <is>
          <t>민간</t>
        </is>
      </c>
      <c r="D326" t="inlineStr">
        <is>
          <t>남구</t>
        </is>
      </c>
      <c r="E326" t="inlineStr">
        <is>
          <t>부산광역시 남구 분포로 113 LG메트로시티 2차 관리동 2층 (용호동)</t>
        </is>
      </c>
      <c r="F326" t="inlineStr"/>
      <c r="G326" t="inlineStr">
        <is>
          <t>051-625-1713</t>
        </is>
      </c>
      <c r="H326" s="15" t="n">
        <v>49</v>
      </c>
      <c r="I326" s="15" t="n">
        <v>13</v>
      </c>
      <c r="J326" s="15" t="n">
        <v>14</v>
      </c>
      <c r="K326" s="15" t="n">
        <v>14</v>
      </c>
      <c r="L326" s="15" t="n">
        <v>0</v>
      </c>
      <c r="M326" s="15" t="n">
        <v>0</v>
      </c>
      <c r="N326" s="15" t="n">
        <v>0</v>
      </c>
      <c r="O326" s="15" t="n">
        <v>0</v>
      </c>
      <c r="P326" s="15" t="n">
        <v>0</v>
      </c>
      <c r="Q326" s="15" t="n">
        <v>0</v>
      </c>
      <c r="R326" s="15" t="n">
        <v>0</v>
      </c>
      <c r="S326" s="15" t="n">
        <v>5</v>
      </c>
      <c r="T326" s="14">
        <f>IF(COUNT(I326:S326)=0,"",SUM(I326:S326))</f>
        <v/>
      </c>
      <c r="U326" t="inlineStr"/>
    </row>
    <row r="327">
      <c r="A327" t="inlineStr">
        <is>
          <t>문일어린이집</t>
        </is>
      </c>
      <c r="B327" t="inlineStr">
        <is>
          <t>어린이집</t>
        </is>
      </c>
      <c r="C327" t="inlineStr">
        <is>
          <t>민간</t>
        </is>
      </c>
      <c r="D327" t="inlineStr">
        <is>
          <t>남구</t>
        </is>
      </c>
      <c r="E327" t="inlineStr">
        <is>
          <t>부산광역시 남구 수영로39번길 63 (문현동)</t>
        </is>
      </c>
      <c r="F327" t="inlineStr"/>
      <c r="G327" t="inlineStr">
        <is>
          <t>051-646-1118</t>
        </is>
      </c>
      <c r="H327" s="15" t="n">
        <v>49</v>
      </c>
      <c r="I327" s="15" t="n">
        <v>9</v>
      </c>
      <c r="J327" s="15" t="n">
        <v>5</v>
      </c>
      <c r="K327" s="15" t="n">
        <v>7</v>
      </c>
      <c r="L327" s="15" t="n">
        <v>0</v>
      </c>
      <c r="M327" s="15" t="n">
        <v>0</v>
      </c>
      <c r="N327" s="15" t="n">
        <v>0</v>
      </c>
      <c r="O327" s="15" t="n">
        <v>8</v>
      </c>
      <c r="P327" s="15" t="n">
        <v>0</v>
      </c>
      <c r="Q327" s="15" t="n">
        <v>0</v>
      </c>
      <c r="R327" s="15" t="n">
        <v>0</v>
      </c>
      <c r="S327" s="15" t="n">
        <v>5</v>
      </c>
      <c r="T327" s="14">
        <f>IF(COUNT(I327:S327)=0,"",SUM(I327:S327))</f>
        <v/>
      </c>
      <c r="U327" t="inlineStr"/>
    </row>
    <row r="328">
      <c r="A328" t="inlineStr">
        <is>
          <t>문현베스티움어린이집</t>
        </is>
      </c>
      <c r="B328" t="inlineStr">
        <is>
          <t>어린이집</t>
        </is>
      </c>
      <c r="C328" t="inlineStr">
        <is>
          <t>국공립</t>
        </is>
      </c>
      <c r="D328" t="inlineStr">
        <is>
          <t>남구</t>
        </is>
      </c>
      <c r="E328" t="inlineStr">
        <is>
          <t>부산광역시 남구 고동골로 29 105동(문현동, 문현베스티움아파트)</t>
        </is>
      </c>
      <c r="F328" t="inlineStr"/>
      <c r="G328" t="inlineStr">
        <is>
          <t>051-710-3020</t>
        </is>
      </c>
      <c r="H328" s="15" t="n">
        <v>30</v>
      </c>
      <c r="I328" s="15" t="n">
        <v>6</v>
      </c>
      <c r="J328" s="15" t="n">
        <v>10</v>
      </c>
      <c r="K328" s="15" t="n">
        <v>14</v>
      </c>
      <c r="L328" s="15" t="n">
        <v>0</v>
      </c>
      <c r="M328" s="15" t="n">
        <v>0</v>
      </c>
      <c r="N328" s="15" t="n">
        <v>0</v>
      </c>
      <c r="O328" s="15" t="n">
        <v>0</v>
      </c>
      <c r="P328" s="15" t="n">
        <v>0</v>
      </c>
      <c r="Q328" s="15" t="n">
        <v>0</v>
      </c>
      <c r="R328" s="15" t="n">
        <v>0</v>
      </c>
      <c r="S328" s="15" t="n">
        <v>5</v>
      </c>
      <c r="T328" s="14">
        <f>IF(COUNT(I328:S328)=0,"",SUM(I328:S328))</f>
        <v/>
      </c>
      <c r="U328" t="inlineStr"/>
    </row>
    <row r="329">
      <c r="A329" t="inlineStr">
        <is>
          <t>민들레어린이집</t>
        </is>
      </c>
      <c r="B329" t="inlineStr">
        <is>
          <t>어린이집</t>
        </is>
      </c>
      <c r="C329" t="inlineStr">
        <is>
          <t>가정</t>
        </is>
      </c>
      <c r="D329" t="inlineStr">
        <is>
          <t>남구</t>
        </is>
      </c>
      <c r="E329" t="inlineStr">
        <is>
          <t>부산광역시 남구 유엔평화로13번길 61 101호 (대연동, 장산파크빌)</t>
        </is>
      </c>
      <c r="F329" s="11" t="inlineStr">
        <is>
          <t>http://chy41183@naver.com</t>
        </is>
      </c>
      <c r="G329" t="inlineStr">
        <is>
          <t>051-625-3332</t>
        </is>
      </c>
      <c r="H329" s="15" t="n">
        <v>19</v>
      </c>
      <c r="I329" s="15" t="n">
        <v>0</v>
      </c>
      <c r="J329" s="15" t="n">
        <v>3</v>
      </c>
      <c r="K329" s="15" t="n">
        <v>5</v>
      </c>
      <c r="L329" s="15" t="n">
        <v>0</v>
      </c>
      <c r="M329" s="15" t="n">
        <v>0</v>
      </c>
      <c r="N329" s="15" t="n">
        <v>0</v>
      </c>
      <c r="O329" s="15" t="n">
        <v>7</v>
      </c>
      <c r="P329" s="15" t="n">
        <v>0</v>
      </c>
      <c r="Q329" s="15" t="n">
        <v>0</v>
      </c>
      <c r="R329" s="15" t="n">
        <v>0</v>
      </c>
      <c r="S329" s="15" t="n">
        <v>5</v>
      </c>
      <c r="T329" s="14">
        <f>IF(COUNT(I329:S329)=0,"",SUM(I329:S329))</f>
        <v/>
      </c>
      <c r="U329" t="inlineStr"/>
    </row>
    <row r="330">
      <c r="A330" t="inlineStr">
        <is>
          <t>바다숲어린이집</t>
        </is>
      </c>
      <c r="B330" t="inlineStr">
        <is>
          <t>어린이집</t>
        </is>
      </c>
      <c r="C330" t="inlineStr">
        <is>
          <t>가정</t>
        </is>
      </c>
      <c r="D330" t="inlineStr">
        <is>
          <t>남구</t>
        </is>
      </c>
      <c r="E330" t="inlineStr">
        <is>
          <t>부산광역시 남구 황령대로319번가길 189 201동109호(대연동,대우그린2차아파트)</t>
        </is>
      </c>
      <c r="F330" t="inlineStr"/>
      <c r="G330" t="inlineStr">
        <is>
          <t>051-951-5232</t>
        </is>
      </c>
      <c r="H330" s="15" t="n">
        <v>13</v>
      </c>
      <c r="I330" s="15" t="n">
        <v>0</v>
      </c>
      <c r="J330" s="15" t="n">
        <v>0</v>
      </c>
      <c r="K330" s="15" t="n">
        <v>0</v>
      </c>
      <c r="L330" s="15" t="n">
        <v>0</v>
      </c>
      <c r="M330" s="15" t="n">
        <v>0</v>
      </c>
      <c r="N330" s="15" t="n">
        <v>0</v>
      </c>
      <c r="O330" s="15" t="n">
        <v>1</v>
      </c>
      <c r="P330" s="15" t="n">
        <v>0</v>
      </c>
      <c r="Q330" s="15" t="n">
        <v>0</v>
      </c>
      <c r="R330" s="15" t="n">
        <v>0</v>
      </c>
      <c r="S330" s="15" t="n">
        <v>0</v>
      </c>
      <c r="T330" s="14">
        <f>IF(COUNT(I330:S330)=0,"",SUM(I330:S330))</f>
        <v/>
      </c>
      <c r="U330" t="inlineStr"/>
    </row>
    <row r="331">
      <c r="A331" t="inlineStr">
        <is>
          <t>별마루어린이집</t>
        </is>
      </c>
      <c r="B331" t="inlineStr">
        <is>
          <t>어린이집</t>
        </is>
      </c>
      <c r="C331" t="inlineStr">
        <is>
          <t>가정</t>
        </is>
      </c>
      <c r="D331" t="inlineStr">
        <is>
          <t>남구</t>
        </is>
      </c>
      <c r="E331" t="inlineStr">
        <is>
          <t>부산광역시 남구 천제등로 39-1 102호(대연동, 강촌하이츠빌라)</t>
        </is>
      </c>
      <c r="F331" t="inlineStr"/>
      <c r="G331" t="inlineStr">
        <is>
          <t>051-911-1079</t>
        </is>
      </c>
      <c r="H331" s="15" t="n">
        <v>18</v>
      </c>
      <c r="I331" s="15" t="n">
        <v>0</v>
      </c>
      <c r="J331" s="15" t="n">
        <v>0</v>
      </c>
      <c r="K331" s="15" t="n">
        <v>0</v>
      </c>
      <c r="L331" s="15" t="n">
        <v>0</v>
      </c>
      <c r="M331" s="15" t="n">
        <v>0</v>
      </c>
      <c r="N331" s="15" t="n">
        <v>0</v>
      </c>
      <c r="O331" s="15" t="n">
        <v>7</v>
      </c>
      <c r="P331" s="15" t="n">
        <v>0</v>
      </c>
      <c r="Q331" s="15" t="n">
        <v>0</v>
      </c>
      <c r="R331" s="15" t="n">
        <v>0</v>
      </c>
      <c r="S331" s="15" t="n">
        <v>3</v>
      </c>
      <c r="T331" s="14">
        <f>IF(COUNT(I331:S331)=0,"",SUM(I331:S331))</f>
        <v/>
      </c>
      <c r="U331" t="inlineStr"/>
    </row>
    <row r="332">
      <c r="A332" t="inlineStr">
        <is>
          <t>부산성모병원어린이집</t>
        </is>
      </c>
      <c r="B332" t="inlineStr">
        <is>
          <t>어린이집</t>
        </is>
      </c>
      <c r="C332" t="inlineStr">
        <is>
          <t>직장</t>
        </is>
      </c>
      <c r="D332" t="inlineStr">
        <is>
          <t>남구</t>
        </is>
      </c>
      <c r="E332" t="inlineStr">
        <is>
          <t>부산광역시 남구 용호로232번길 25-14 (용호동)</t>
        </is>
      </c>
      <c r="F332" t="inlineStr"/>
      <c r="G332" t="inlineStr">
        <is>
          <t>051-627-7787</t>
        </is>
      </c>
      <c r="H332" s="15" t="n">
        <v>30</v>
      </c>
      <c r="I332" s="15" t="n">
        <v>2</v>
      </c>
      <c r="J332" s="15" t="n">
        <v>5</v>
      </c>
      <c r="K332" s="15" t="n">
        <v>0</v>
      </c>
      <c r="L332" s="15" t="n">
        <v>0</v>
      </c>
      <c r="M332" s="15" t="n">
        <v>0</v>
      </c>
      <c r="N332" s="15" t="n">
        <v>0</v>
      </c>
      <c r="O332" s="15" t="n">
        <v>4</v>
      </c>
      <c r="P332" s="15" t="n">
        <v>0</v>
      </c>
      <c r="Q332" s="15" t="n">
        <v>0</v>
      </c>
      <c r="R332" s="15" t="n">
        <v>0</v>
      </c>
      <c r="S332" s="15" t="n">
        <v>11</v>
      </c>
      <c r="T332" s="14">
        <f>IF(COUNT(I332:S332)=0,"",SUM(I332:S332))</f>
        <v/>
      </c>
      <c r="U332" t="inlineStr"/>
    </row>
    <row r="333">
      <c r="A333" t="inlineStr">
        <is>
          <t>부산자유발도르프어린이집</t>
        </is>
      </c>
      <c r="B333" t="inlineStr">
        <is>
          <t>어린이집</t>
        </is>
      </c>
      <c r="C333" t="inlineStr">
        <is>
          <t>협동</t>
        </is>
      </c>
      <c r="D333" t="inlineStr">
        <is>
          <t>남구</t>
        </is>
      </c>
      <c r="E333" t="inlineStr">
        <is>
          <t>부산광역시 남구 유엔평화로70번길 28</t>
        </is>
      </c>
      <c r="F333" t="inlineStr"/>
      <c r="G333" t="inlineStr">
        <is>
          <t>051-627-0424</t>
        </is>
      </c>
      <c r="H333" s="15" t="n">
        <v>19</v>
      </c>
      <c r="I333" s="15" t="n">
        <v>0</v>
      </c>
      <c r="J333" s="15" t="n">
        <v>2</v>
      </c>
      <c r="K333" s="15" t="n">
        <v>6</v>
      </c>
      <c r="L333" s="15" t="n">
        <v>0</v>
      </c>
      <c r="M333" s="15" t="n">
        <v>0</v>
      </c>
      <c r="N333" s="15" t="n">
        <v>0</v>
      </c>
      <c r="O333" s="15" t="n">
        <v>0</v>
      </c>
      <c r="P333" s="15" t="n">
        <v>8</v>
      </c>
      <c r="Q333" s="15" t="n">
        <v>0</v>
      </c>
      <c r="R333" s="15" t="n">
        <v>0</v>
      </c>
      <c r="S333" s="15" t="n">
        <v>0</v>
      </c>
      <c r="T333" s="14">
        <f>IF(COUNT(I333:S333)=0,"",SUM(I333:S333))</f>
        <v/>
      </c>
      <c r="U333" t="inlineStr"/>
    </row>
    <row r="334">
      <c r="A334" t="inlineStr">
        <is>
          <t>산새소리어린이집</t>
        </is>
      </c>
      <c r="B334" t="inlineStr">
        <is>
          <t>어린이집</t>
        </is>
      </c>
      <c r="C334" t="inlineStr">
        <is>
          <t>가정</t>
        </is>
      </c>
      <c r="D334" t="inlineStr">
        <is>
          <t>남구</t>
        </is>
      </c>
      <c r="E334" t="inlineStr">
        <is>
          <t>부산광역시 남구 수영로 345 111동 101호(대연동, 대연힐스테이트푸르지오)</t>
        </is>
      </c>
      <c r="F334" t="inlineStr"/>
      <c r="G334" t="inlineStr">
        <is>
          <t>051-988-3352</t>
        </is>
      </c>
      <c r="H334" s="15" t="n">
        <v>20</v>
      </c>
      <c r="I334" s="15" t="n">
        <v>3</v>
      </c>
      <c r="J334" s="15" t="n">
        <v>5</v>
      </c>
      <c r="K334" s="15" t="n">
        <v>7</v>
      </c>
      <c r="L334" s="15" t="n">
        <v>0</v>
      </c>
      <c r="M334" s="15" t="n">
        <v>0</v>
      </c>
      <c r="N334" s="15" t="n">
        <v>0</v>
      </c>
      <c r="O334" s="15" t="n">
        <v>5</v>
      </c>
      <c r="P334" s="15" t="n">
        <v>0</v>
      </c>
      <c r="Q334" s="15" t="n">
        <v>0</v>
      </c>
      <c r="R334" s="15" t="n">
        <v>0</v>
      </c>
      <c r="S334" s="15" t="n">
        <v>7</v>
      </c>
      <c r="T334" s="14">
        <f>IF(COUNT(I334:S334)=0,"",SUM(I334:S334))</f>
        <v/>
      </c>
      <c r="U334" t="inlineStr"/>
    </row>
    <row r="335">
      <c r="A335" t="inlineStr">
        <is>
          <t>송림어린이집</t>
        </is>
      </c>
      <c r="B335" t="inlineStr">
        <is>
          <t>어린이집</t>
        </is>
      </c>
      <c r="C335" t="inlineStr">
        <is>
          <t>가정</t>
        </is>
      </c>
      <c r="D335" t="inlineStr">
        <is>
          <t>남구</t>
        </is>
      </c>
      <c r="E335" t="inlineStr">
        <is>
          <t>부산광역시 남구 동명로170번길 41-1 (용호동)</t>
        </is>
      </c>
      <c r="F335" s="11" t="inlineStr">
        <is>
          <t>http://songlim0363.net</t>
        </is>
      </c>
      <c r="G335" t="inlineStr">
        <is>
          <t>051-624-7315</t>
        </is>
      </c>
      <c r="H335" s="15" t="n">
        <v>20</v>
      </c>
      <c r="I335" s="15" t="n">
        <v>0</v>
      </c>
      <c r="J335" s="15" t="n">
        <v>0</v>
      </c>
      <c r="K335" s="15" t="n">
        <v>0</v>
      </c>
      <c r="L335" s="15" t="n">
        <v>0</v>
      </c>
      <c r="M335" s="15" t="n">
        <v>0</v>
      </c>
      <c r="N335" s="15" t="n">
        <v>0</v>
      </c>
      <c r="O335" s="15" t="n">
        <v>5</v>
      </c>
      <c r="P335" s="15" t="n">
        <v>0</v>
      </c>
      <c r="Q335" s="15" t="n">
        <v>0</v>
      </c>
      <c r="R335" s="15" t="n">
        <v>0</v>
      </c>
      <c r="S335" s="15" t="n">
        <v>3</v>
      </c>
      <c r="T335" s="14">
        <f>IF(COUNT(I335:S335)=0,"",SUM(I335:S335))</f>
        <v/>
      </c>
      <c r="U335" t="inlineStr"/>
    </row>
    <row r="336">
      <c r="A336" t="inlineStr">
        <is>
          <t>아기별어린이집</t>
        </is>
      </c>
      <c r="B336" t="inlineStr">
        <is>
          <t>어린이집</t>
        </is>
      </c>
      <c r="C336" t="inlineStr">
        <is>
          <t>가정</t>
        </is>
      </c>
      <c r="D336" t="inlineStr">
        <is>
          <t>남구</t>
        </is>
      </c>
      <c r="E336" t="inlineStr">
        <is>
          <t>부산광역시 남구 유엔로 66 101동 101호 (우암동, 대승하이아트)</t>
        </is>
      </c>
      <c r="F336" t="inlineStr"/>
      <c r="G336" t="inlineStr">
        <is>
          <t>051-626-9004</t>
        </is>
      </c>
      <c r="H336" s="15" t="n">
        <v>15</v>
      </c>
      <c r="I336" s="15" t="n">
        <v>2</v>
      </c>
      <c r="J336" s="15" t="n">
        <v>0</v>
      </c>
      <c r="K336" s="15" t="n">
        <v>0</v>
      </c>
      <c r="L336" s="15" t="n">
        <v>0</v>
      </c>
      <c r="M336" s="15" t="n">
        <v>0</v>
      </c>
      <c r="N336" s="15" t="n">
        <v>0</v>
      </c>
      <c r="O336" s="15" t="n">
        <v>8</v>
      </c>
      <c r="P336" s="15" t="n">
        <v>0</v>
      </c>
      <c r="Q336" s="15" t="n">
        <v>0</v>
      </c>
      <c r="R336" s="15" t="n">
        <v>0</v>
      </c>
      <c r="S336" s="15" t="n">
        <v>15</v>
      </c>
      <c r="T336" s="14">
        <f>IF(COUNT(I336:S336)=0,"",SUM(I336:S336))</f>
        <v/>
      </c>
      <c r="U336" t="inlineStr"/>
    </row>
    <row r="337">
      <c r="A337" t="inlineStr">
        <is>
          <t>아띠어린이집</t>
        </is>
      </c>
      <c r="B337" t="inlineStr">
        <is>
          <t>어린이집</t>
        </is>
      </c>
      <c r="C337" t="inlineStr">
        <is>
          <t>민간</t>
        </is>
      </c>
      <c r="D337" t="inlineStr">
        <is>
          <t>남구</t>
        </is>
      </c>
      <c r="E337" t="inlineStr">
        <is>
          <t>부산광역시 남구 석포로127번길 97 (대연동)</t>
        </is>
      </c>
      <c r="F337" s="11" t="inlineStr">
        <is>
          <t>http://www.addy.kr</t>
        </is>
      </c>
      <c r="G337" t="inlineStr">
        <is>
          <t>051-625-9309</t>
        </is>
      </c>
      <c r="H337" s="15" t="n">
        <v>25</v>
      </c>
      <c r="I337" s="15" t="n">
        <v>0</v>
      </c>
      <c r="J337" s="15" t="n">
        <v>0</v>
      </c>
      <c r="K337" s="15" t="n">
        <v>0</v>
      </c>
      <c r="L337" s="15" t="n">
        <v>0</v>
      </c>
      <c r="M337" s="15" t="n">
        <v>0</v>
      </c>
      <c r="N337" s="15" t="n">
        <v>0</v>
      </c>
      <c r="O337" s="15" t="n">
        <v>0</v>
      </c>
      <c r="P337" s="15" t="n">
        <v>0</v>
      </c>
      <c r="Q337" s="15" t="n">
        <v>0</v>
      </c>
      <c r="R337" s="15" t="n">
        <v>25</v>
      </c>
      <c r="S337" s="15" t="n">
        <v>0</v>
      </c>
      <c r="T337" s="14">
        <f>IF(COUNT(I337:S337)=0,"",SUM(I337:S337))</f>
        <v/>
      </c>
      <c r="U337" t="inlineStr"/>
    </row>
    <row r="338">
      <c r="A338" t="inlineStr">
        <is>
          <t>아이뜰어린이집</t>
        </is>
      </c>
      <c r="B338" t="inlineStr">
        <is>
          <t>어린이집</t>
        </is>
      </c>
      <c r="C338" t="inlineStr">
        <is>
          <t>사회복지법인</t>
        </is>
      </c>
      <c r="D338" t="inlineStr">
        <is>
          <t>남구</t>
        </is>
      </c>
      <c r="E338" t="inlineStr">
        <is>
          <t>부산광역시 남구 용호로160번길 29-4</t>
        </is>
      </c>
      <c r="F338" t="inlineStr"/>
      <c r="G338" t="inlineStr">
        <is>
          <t>051-624-0685</t>
        </is>
      </c>
      <c r="H338" s="15" t="n">
        <v>99</v>
      </c>
      <c r="I338" s="15" t="n">
        <v>0</v>
      </c>
      <c r="J338" s="15" t="n">
        <v>23</v>
      </c>
      <c r="K338" s="15" t="n">
        <v>19</v>
      </c>
      <c r="L338" s="15" t="n">
        <v>9</v>
      </c>
      <c r="M338" s="15" t="n">
        <v>0</v>
      </c>
      <c r="N338" s="15" t="n">
        <v>0</v>
      </c>
      <c r="O338" s="15" t="n">
        <v>2</v>
      </c>
      <c r="P338" s="15" t="n">
        <v>0</v>
      </c>
      <c r="Q338" s="15" t="n">
        <v>0</v>
      </c>
      <c r="R338" s="15" t="n">
        <v>0</v>
      </c>
      <c r="S338" s="15" t="n">
        <v>10</v>
      </c>
      <c r="T338" s="14">
        <f>IF(COUNT(I338:S338)=0,"",SUM(I338:S338))</f>
        <v/>
      </c>
      <c r="U338" t="inlineStr"/>
    </row>
    <row r="339">
      <c r="A339" t="inlineStr">
        <is>
          <t>아이봄어린이집</t>
        </is>
      </c>
      <c r="B339" t="inlineStr">
        <is>
          <t>어린이집</t>
        </is>
      </c>
      <c r="C339" t="inlineStr">
        <is>
          <t>가정</t>
        </is>
      </c>
      <c r="D339" t="inlineStr">
        <is>
          <t>남구</t>
        </is>
      </c>
      <c r="E339" t="inlineStr">
        <is>
          <t>부산광역시 남구 수영로 345 101동 106호(대연동, 대연힐스테이트푸르지오)</t>
        </is>
      </c>
      <c r="F339" t="inlineStr"/>
      <c r="G339" t="inlineStr">
        <is>
          <t>051-947-1236</t>
        </is>
      </c>
      <c r="H339" s="15" t="n">
        <v>20</v>
      </c>
      <c r="I339" s="15" t="n">
        <v>5</v>
      </c>
      <c r="J339" s="15" t="n">
        <v>4</v>
      </c>
      <c r="K339" s="15" t="n">
        <v>0</v>
      </c>
      <c r="L339" s="15" t="n">
        <v>0</v>
      </c>
      <c r="M339" s="15" t="n">
        <v>0</v>
      </c>
      <c r="N339" s="15" t="n">
        <v>0</v>
      </c>
      <c r="O339" s="15" t="n">
        <v>4</v>
      </c>
      <c r="P339" s="15" t="n">
        <v>0</v>
      </c>
      <c r="Q339" s="15" t="n">
        <v>0</v>
      </c>
      <c r="R339" s="15" t="n">
        <v>0</v>
      </c>
      <c r="S339" s="15" t="n">
        <v>2</v>
      </c>
      <c r="T339" s="14">
        <f>IF(COUNT(I339:S339)=0,"",SUM(I339:S339))</f>
        <v/>
      </c>
      <c r="U339" t="inlineStr"/>
    </row>
    <row r="340">
      <c r="A340" t="inlineStr">
        <is>
          <t>아이사랑어린이집</t>
        </is>
      </c>
      <c r="B340" t="inlineStr">
        <is>
          <t>어린이집</t>
        </is>
      </c>
      <c r="C340" t="inlineStr">
        <is>
          <t>가정</t>
        </is>
      </c>
      <c r="D340" t="inlineStr">
        <is>
          <t>남구</t>
        </is>
      </c>
      <c r="E340" t="inlineStr">
        <is>
          <t>부산광역시 남구 전포대로92번나길 40 (문현동)</t>
        </is>
      </c>
      <c r="F340" t="inlineStr"/>
      <c r="G340" t="inlineStr">
        <is>
          <t>051-633-9912</t>
        </is>
      </c>
      <c r="H340" s="15" t="n">
        <v>18</v>
      </c>
      <c r="I340" s="15" t="n">
        <v>0</v>
      </c>
      <c r="J340" s="15" t="n">
        <v>0</v>
      </c>
      <c r="K340" s="15" t="n">
        <v>0</v>
      </c>
      <c r="L340" s="15" t="n">
        <v>0</v>
      </c>
      <c r="M340" s="15" t="n">
        <v>0</v>
      </c>
      <c r="N340" s="15" t="n">
        <v>0</v>
      </c>
      <c r="O340" s="15" t="n">
        <v>7</v>
      </c>
      <c r="P340" s="15" t="n">
        <v>0</v>
      </c>
      <c r="Q340" s="15" t="n">
        <v>7</v>
      </c>
      <c r="R340" s="15" t="n">
        <v>0</v>
      </c>
      <c r="S340" s="15" t="n">
        <v>7</v>
      </c>
      <c r="T340" s="14">
        <f>IF(COUNT(I340:S340)=0,"",SUM(I340:S340))</f>
        <v/>
      </c>
      <c r="U340" t="inlineStr"/>
    </row>
    <row r="341">
      <c r="A341" t="inlineStr">
        <is>
          <t>아이세상어린이집</t>
        </is>
      </c>
      <c r="B341" t="inlineStr">
        <is>
          <t>어린이집</t>
        </is>
      </c>
      <c r="C341" t="inlineStr">
        <is>
          <t>민간</t>
        </is>
      </c>
      <c r="D341" t="inlineStr">
        <is>
          <t>남구</t>
        </is>
      </c>
      <c r="E341" t="inlineStr">
        <is>
          <t>부산광역시 남구 고동골로60번길 29 (문현동)</t>
        </is>
      </c>
      <c r="F341" t="inlineStr"/>
      <c r="G341" t="inlineStr">
        <is>
          <t>051-647-2845</t>
        </is>
      </c>
      <c r="H341" s="15" t="n">
        <v>99</v>
      </c>
      <c r="I341" s="15" t="n">
        <v>12</v>
      </c>
      <c r="J341" s="15" t="n">
        <v>30</v>
      </c>
      <c r="K341" s="15" t="n">
        <v>35</v>
      </c>
      <c r="L341" s="15" t="n">
        <v>0</v>
      </c>
      <c r="M341" s="15" t="n">
        <v>0</v>
      </c>
      <c r="N341" s="15" t="n">
        <v>0</v>
      </c>
      <c r="O341" s="15" t="n">
        <v>0</v>
      </c>
      <c r="P341" s="15" t="n">
        <v>14</v>
      </c>
      <c r="Q341" s="15" t="n">
        <v>0</v>
      </c>
      <c r="R341" s="15" t="n">
        <v>0</v>
      </c>
      <c r="S341" s="15" t="n">
        <v>8</v>
      </c>
      <c r="T341" s="14">
        <f>IF(COUNT(I341:S341)=0,"",SUM(I341:S341))</f>
        <v/>
      </c>
      <c r="U341" t="inlineStr"/>
    </row>
    <row r="342">
      <c r="A342" t="inlineStr">
        <is>
          <t>아이숲어린이집</t>
        </is>
      </c>
      <c r="B342" t="inlineStr">
        <is>
          <t>어린이집</t>
        </is>
      </c>
      <c r="C342" t="inlineStr">
        <is>
          <t>민간</t>
        </is>
      </c>
      <c r="D342" t="inlineStr">
        <is>
          <t>남구</t>
        </is>
      </c>
      <c r="E342" t="inlineStr">
        <is>
          <t>부산광역시 남구 우암로154번길 46-12 (우암동)</t>
        </is>
      </c>
      <c r="F342" t="inlineStr"/>
      <c r="G342" t="inlineStr">
        <is>
          <t>051-637-1777</t>
        </is>
      </c>
      <c r="H342" s="15" t="n">
        <v>31</v>
      </c>
      <c r="I342" s="15" t="n">
        <v>6</v>
      </c>
      <c r="J342" s="15" t="n">
        <v>10</v>
      </c>
      <c r="K342" s="15" t="n">
        <v>15</v>
      </c>
      <c r="L342" s="15" t="n">
        <v>0</v>
      </c>
      <c r="M342" s="15" t="n">
        <v>0</v>
      </c>
      <c r="N342" s="15" t="n">
        <v>0</v>
      </c>
      <c r="O342" s="15" t="n">
        <v>0</v>
      </c>
      <c r="P342" s="15" t="n">
        <v>0</v>
      </c>
      <c r="Q342" s="15" t="n">
        <v>0</v>
      </c>
      <c r="R342" s="15" t="n">
        <v>0</v>
      </c>
      <c r="S342" s="15" t="n">
        <v>0</v>
      </c>
      <c r="T342" s="14">
        <f>IF(COUNT(I342:S342)=0,"",SUM(I342:S342))</f>
        <v/>
      </c>
      <c r="U342" t="inlineStr"/>
    </row>
    <row r="343">
      <c r="A343" t="inlineStr">
        <is>
          <t>아이원어린이집</t>
        </is>
      </c>
      <c r="B343" t="inlineStr">
        <is>
          <t>어린이집</t>
        </is>
      </c>
      <c r="C343" t="inlineStr">
        <is>
          <t>가정</t>
        </is>
      </c>
      <c r="D343" t="inlineStr">
        <is>
          <t>남구</t>
        </is>
      </c>
      <c r="E343" t="inlineStr">
        <is>
          <t>부산광역시 남구 수영로 135 116동 102호(대연동, 대연롯데캐슬레전드)</t>
        </is>
      </c>
      <c r="F343" t="inlineStr"/>
      <c r="G343" t="inlineStr">
        <is>
          <t>051-997-1236</t>
        </is>
      </c>
      <c r="H343" s="15" t="n">
        <v>20</v>
      </c>
      <c r="I343" s="15" t="n">
        <v>3</v>
      </c>
      <c r="J343" s="15" t="n">
        <v>5</v>
      </c>
      <c r="K343" s="15" t="n">
        <v>7</v>
      </c>
      <c r="L343" s="15" t="n">
        <v>0</v>
      </c>
      <c r="M343" s="15" t="n">
        <v>0</v>
      </c>
      <c r="N343" s="15" t="n">
        <v>0</v>
      </c>
      <c r="O343" s="15" t="n">
        <v>5</v>
      </c>
      <c r="P343" s="15" t="n">
        <v>0</v>
      </c>
      <c r="Q343" s="15" t="n">
        <v>0</v>
      </c>
      <c r="R343" s="15" t="n">
        <v>0</v>
      </c>
      <c r="S343" s="15" t="n">
        <v>4</v>
      </c>
      <c r="T343" s="14">
        <f>IF(COUNT(I343:S343)=0,"",SUM(I343:S343))</f>
        <v/>
      </c>
      <c r="U343" t="inlineStr"/>
    </row>
    <row r="344">
      <c r="A344" t="inlineStr">
        <is>
          <t>엘리트어린이집</t>
        </is>
      </c>
      <c r="B344" t="inlineStr">
        <is>
          <t>어린이집</t>
        </is>
      </c>
      <c r="C344" t="inlineStr">
        <is>
          <t>민간</t>
        </is>
      </c>
      <c r="D344" t="inlineStr">
        <is>
          <t>남구</t>
        </is>
      </c>
      <c r="E344" t="inlineStr">
        <is>
          <t>부산광역시 남구 못골번영로 40 (대연동)</t>
        </is>
      </c>
      <c r="F344" t="inlineStr"/>
      <c r="G344" t="inlineStr">
        <is>
          <t>051-627-8109</t>
        </is>
      </c>
      <c r="H344" s="15" t="n">
        <v>33</v>
      </c>
      <c r="I344" s="15" t="n">
        <v>5</v>
      </c>
      <c r="J344" s="15" t="n">
        <v>10</v>
      </c>
      <c r="K344" s="15" t="n">
        <v>7</v>
      </c>
      <c r="L344" s="15" t="n">
        <v>0</v>
      </c>
      <c r="M344" s="15" t="n">
        <v>0</v>
      </c>
      <c r="N344" s="15" t="n">
        <v>0</v>
      </c>
      <c r="O344" s="15" t="n">
        <v>0</v>
      </c>
      <c r="P344" s="15" t="n">
        <v>0</v>
      </c>
      <c r="Q344" s="15" t="n">
        <v>0</v>
      </c>
      <c r="R344" s="15" t="n">
        <v>0</v>
      </c>
      <c r="S344" s="15" t="n">
        <v>8</v>
      </c>
      <c r="T344" s="14">
        <f>IF(COUNT(I344:S344)=0,"",SUM(I344:S344))</f>
        <v/>
      </c>
      <c r="U344" t="inlineStr"/>
    </row>
    <row r="345">
      <c r="A345" t="inlineStr">
        <is>
          <t>예가키움어린이집</t>
        </is>
      </c>
      <c r="B345" t="inlineStr">
        <is>
          <t>어린이집</t>
        </is>
      </c>
      <c r="C345" t="inlineStr">
        <is>
          <t>가정</t>
        </is>
      </c>
      <c r="D345" t="inlineStr">
        <is>
          <t>남구</t>
        </is>
      </c>
      <c r="E345" t="inlineStr">
        <is>
          <t>부산광역시 남구 용호로216번가길 10 (용호동, 쌍용예가아파트)</t>
        </is>
      </c>
      <c r="F345" t="inlineStr"/>
      <c r="G345" t="inlineStr">
        <is>
          <t>051-627-1001</t>
        </is>
      </c>
      <c r="H345" s="15" t="n">
        <v>20</v>
      </c>
      <c r="I345" s="15" t="n">
        <v>0</v>
      </c>
      <c r="J345" s="15" t="n">
        <v>0</v>
      </c>
      <c r="K345" s="15" t="n">
        <v>0</v>
      </c>
      <c r="L345" s="15" t="n">
        <v>0</v>
      </c>
      <c r="M345" s="15" t="n">
        <v>0</v>
      </c>
      <c r="N345" s="15" t="n">
        <v>0</v>
      </c>
      <c r="O345" s="15" t="n">
        <v>7</v>
      </c>
      <c r="P345" s="15" t="n">
        <v>0</v>
      </c>
      <c r="Q345" s="15" t="n">
        <v>0</v>
      </c>
      <c r="R345" s="15" t="n">
        <v>0</v>
      </c>
      <c r="S345" s="15" t="n">
        <v>4</v>
      </c>
      <c r="T345" s="14">
        <f>IF(COUNT(I345:S345)=0,"",SUM(I345:S345))</f>
        <v/>
      </c>
      <c r="U345" t="inlineStr"/>
    </row>
    <row r="346">
      <c r="A346" t="inlineStr">
        <is>
          <t>오륙도sk어린이집</t>
        </is>
      </c>
      <c r="B346" t="inlineStr">
        <is>
          <t>어린이집</t>
        </is>
      </c>
      <c r="C346" t="inlineStr">
        <is>
          <t>가정</t>
        </is>
      </c>
      <c r="D346" t="inlineStr">
        <is>
          <t>남구</t>
        </is>
      </c>
      <c r="E346" t="inlineStr">
        <is>
          <t>부산광역시 남구 오륙도로 85 103동 101호(용호동, 오륙도SKVIEW아파트)</t>
        </is>
      </c>
      <c r="F346" t="inlineStr"/>
      <c r="G346" t="inlineStr">
        <is>
          <t>051-612-2800</t>
        </is>
      </c>
      <c r="H346" s="15" t="n">
        <v>20</v>
      </c>
      <c r="I346" s="15" t="n">
        <v>5</v>
      </c>
      <c r="J346" s="15" t="n">
        <v>8</v>
      </c>
      <c r="K346" s="15" t="n">
        <v>6</v>
      </c>
      <c r="L346" s="15" t="n">
        <v>0</v>
      </c>
      <c r="M346" s="15" t="n">
        <v>0</v>
      </c>
      <c r="N346" s="15" t="n">
        <v>0</v>
      </c>
      <c r="O346" s="15" t="n">
        <v>0</v>
      </c>
      <c r="P346" s="15" t="n">
        <v>0</v>
      </c>
      <c r="Q346" s="15" t="n">
        <v>0</v>
      </c>
      <c r="R346" s="15" t="n">
        <v>0</v>
      </c>
      <c r="S346" s="15" t="n">
        <v>8</v>
      </c>
      <c r="T346" s="14">
        <f>IF(COUNT(I346:S346)=0,"",SUM(I346:S346))</f>
        <v/>
      </c>
      <c r="U346" t="inlineStr"/>
    </row>
    <row r="347">
      <c r="A347" t="inlineStr">
        <is>
          <t>오륙도어린이집</t>
        </is>
      </c>
      <c r="B347" t="inlineStr">
        <is>
          <t>어린이집</t>
        </is>
      </c>
      <c r="C347" t="inlineStr">
        <is>
          <t>국공립</t>
        </is>
      </c>
      <c r="D347" t="inlineStr">
        <is>
          <t>남구</t>
        </is>
      </c>
      <c r="E347" t="inlineStr">
        <is>
          <t>부산광역시 남구 용호로216번길 32-16</t>
        </is>
      </c>
      <c r="F347" t="inlineStr"/>
      <c r="G347" t="inlineStr">
        <is>
          <t>051-612-0574</t>
        </is>
      </c>
      <c r="H347" s="15" t="n">
        <v>49</v>
      </c>
      <c r="I347" s="15" t="n">
        <v>6</v>
      </c>
      <c r="J347" s="15" t="n">
        <v>10</v>
      </c>
      <c r="K347" s="15" t="n">
        <v>10</v>
      </c>
      <c r="L347" s="15" t="n">
        <v>0</v>
      </c>
      <c r="M347" s="15" t="n">
        <v>0</v>
      </c>
      <c r="N347" s="15" t="n">
        <v>0</v>
      </c>
      <c r="O347" s="15" t="n">
        <v>0</v>
      </c>
      <c r="P347" s="15" t="n">
        <v>0</v>
      </c>
      <c r="Q347" s="15" t="n">
        <v>0</v>
      </c>
      <c r="R347" s="15" t="n">
        <v>0</v>
      </c>
      <c r="S347" s="15" t="n">
        <v>0</v>
      </c>
      <c r="T347" s="14">
        <f>IF(COUNT(I347:S347)=0,"",SUM(I347:S347))</f>
        <v/>
      </c>
      <c r="U347" t="inlineStr"/>
    </row>
    <row r="348">
      <c r="A348" t="inlineStr">
        <is>
          <t>왕자와공주어린이집</t>
        </is>
      </c>
      <c r="B348" t="inlineStr">
        <is>
          <t>어린이집</t>
        </is>
      </c>
      <c r="C348" t="inlineStr">
        <is>
          <t>민간</t>
        </is>
      </c>
      <c r="D348" t="inlineStr">
        <is>
          <t>남구</t>
        </is>
      </c>
      <c r="E348" t="inlineStr">
        <is>
          <t>부산광역시 남구 동명로117번길 52 동림아트빌 101 (용호동)</t>
        </is>
      </c>
      <c r="F348" t="inlineStr"/>
      <c r="G348" t="inlineStr">
        <is>
          <t>051-625-9027</t>
        </is>
      </c>
      <c r="H348" s="15" t="n">
        <v>29</v>
      </c>
      <c r="I348" s="15" t="n">
        <v>4</v>
      </c>
      <c r="J348" s="15" t="n">
        <v>3</v>
      </c>
      <c r="K348" s="15" t="n">
        <v>11</v>
      </c>
      <c r="L348" s="15" t="n">
        <v>0</v>
      </c>
      <c r="M348" s="15" t="n">
        <v>0</v>
      </c>
      <c r="N348" s="15" t="n">
        <v>0</v>
      </c>
      <c r="O348" s="15" t="n">
        <v>2</v>
      </c>
      <c r="P348" s="15" t="n">
        <v>0</v>
      </c>
      <c r="Q348" s="15" t="n">
        <v>0</v>
      </c>
      <c r="R348" s="15" t="n">
        <v>0</v>
      </c>
      <c r="S348" s="15" t="n">
        <v>12</v>
      </c>
      <c r="T348" s="14">
        <f>IF(COUNT(I348:S348)=0,"",SUM(I348:S348))</f>
        <v/>
      </c>
      <c r="U348" t="inlineStr"/>
    </row>
    <row r="349">
      <c r="A349" t="inlineStr">
        <is>
          <t>용당어린이집</t>
        </is>
      </c>
      <c r="B349" t="inlineStr">
        <is>
          <t>어린이집</t>
        </is>
      </c>
      <c r="C349" t="inlineStr">
        <is>
          <t>국공립</t>
        </is>
      </c>
      <c r="D349" t="inlineStr">
        <is>
          <t>남구</t>
        </is>
      </c>
      <c r="E349" t="inlineStr">
        <is>
          <t>부산광역시 남구 신선로329번길 74 (용당동)</t>
        </is>
      </c>
      <c r="F349" t="inlineStr"/>
      <c r="G349" t="inlineStr">
        <is>
          <t>051-624-5132</t>
        </is>
      </c>
      <c r="H349" s="15" t="n">
        <v>80</v>
      </c>
      <c r="I349" s="15" t="n">
        <v>4</v>
      </c>
      <c r="J349" s="15" t="n">
        <v>0</v>
      </c>
      <c r="K349" s="15" t="n">
        <v>14</v>
      </c>
      <c r="L349" s="15" t="n">
        <v>15</v>
      </c>
      <c r="M349" s="15" t="n">
        <v>0</v>
      </c>
      <c r="N349" s="15" t="n">
        <v>0</v>
      </c>
      <c r="O349" s="15" t="n">
        <v>14</v>
      </c>
      <c r="P349" s="15" t="n">
        <v>25</v>
      </c>
      <c r="Q349" s="15" t="n">
        <v>0</v>
      </c>
      <c r="R349" s="15" t="n">
        <v>2</v>
      </c>
      <c r="S349" s="15" t="n">
        <v>0</v>
      </c>
      <c r="T349" s="14">
        <f>IF(COUNT(I349:S349)=0,"",SUM(I349:S349))</f>
        <v/>
      </c>
      <c r="U349" t="inlineStr"/>
    </row>
    <row r="350">
      <c r="A350" t="inlineStr">
        <is>
          <t>용산초등어린이집</t>
        </is>
      </c>
      <c r="B350" t="inlineStr">
        <is>
          <t>어린이집</t>
        </is>
      </c>
      <c r="C350" t="inlineStr">
        <is>
          <t>국공립</t>
        </is>
      </c>
      <c r="D350" t="inlineStr">
        <is>
          <t>남구</t>
        </is>
      </c>
      <c r="E350" t="inlineStr">
        <is>
          <t>부산광역시 남구 동명로176번길 55 용산초등학교어린이집 (용호동)</t>
        </is>
      </c>
      <c r="F350" t="inlineStr"/>
      <c r="G350" t="inlineStr">
        <is>
          <t>051-626-3008</t>
        </is>
      </c>
      <c r="H350" s="15" t="n">
        <v>31</v>
      </c>
      <c r="I350" s="15" t="n">
        <v>3</v>
      </c>
      <c r="J350" s="15" t="n">
        <v>4</v>
      </c>
      <c r="K350" s="15" t="n">
        <v>6</v>
      </c>
      <c r="L350" s="15" t="n">
        <v>0</v>
      </c>
      <c r="M350" s="15" t="n">
        <v>0</v>
      </c>
      <c r="N350" s="15" t="n">
        <v>0</v>
      </c>
      <c r="O350" s="15" t="n">
        <v>0</v>
      </c>
      <c r="P350" s="15" t="n">
        <v>10</v>
      </c>
      <c r="Q350" s="15" t="n">
        <v>0</v>
      </c>
      <c r="R350" s="15" t="n">
        <v>0</v>
      </c>
      <c r="S350" s="15" t="n">
        <v>3</v>
      </c>
      <c r="T350" s="14">
        <f>IF(COUNT(I350:S350)=0,"",SUM(I350:S350))</f>
        <v/>
      </c>
      <c r="U350" t="inlineStr"/>
    </row>
    <row r="351">
      <c r="A351" t="inlineStr">
        <is>
          <t>용호어린이집</t>
        </is>
      </c>
      <c r="B351" t="inlineStr">
        <is>
          <t>어린이집</t>
        </is>
      </c>
      <c r="C351" t="inlineStr">
        <is>
          <t>국공립</t>
        </is>
      </c>
      <c r="D351" t="inlineStr">
        <is>
          <t>남구</t>
        </is>
      </c>
      <c r="E351" t="inlineStr">
        <is>
          <t>부산광역시 남구 이기대공원로 7 (용호동)</t>
        </is>
      </c>
      <c r="F351" s="11" t="inlineStr">
        <is>
          <t>http://kids.yongho.or.kr</t>
        </is>
      </c>
      <c r="G351" t="inlineStr">
        <is>
          <t>051-628-6596</t>
        </is>
      </c>
      <c r="H351" s="15" t="n">
        <v>84</v>
      </c>
      <c r="I351" s="15" t="n">
        <v>0</v>
      </c>
      <c r="J351" s="15" t="n">
        <v>10</v>
      </c>
      <c r="K351" s="15" t="n">
        <v>14</v>
      </c>
      <c r="L351" s="15" t="n">
        <v>10</v>
      </c>
      <c r="M351" s="15" t="n">
        <v>10</v>
      </c>
      <c r="N351" s="15" t="n">
        <v>12</v>
      </c>
      <c r="O351" s="15" t="n">
        <v>0</v>
      </c>
      <c r="P351" s="15" t="n">
        <v>0</v>
      </c>
      <c r="Q351" s="15" t="n">
        <v>0</v>
      </c>
      <c r="R351" s="15" t="n">
        <v>6</v>
      </c>
      <c r="S351" s="15" t="n">
        <v>20</v>
      </c>
      <c r="T351" s="14">
        <f>IF(COUNT(I351:S351)=0,"",SUM(I351:S351))</f>
        <v/>
      </c>
      <c r="U351" t="inlineStr"/>
    </row>
    <row r="352">
      <c r="A352" t="inlineStr">
        <is>
          <t>용호한빛어린이집</t>
        </is>
      </c>
      <c r="B352" t="inlineStr">
        <is>
          <t>어린이집</t>
        </is>
      </c>
      <c r="C352" t="inlineStr">
        <is>
          <t>민간</t>
        </is>
      </c>
      <c r="D352" t="inlineStr">
        <is>
          <t>남구</t>
        </is>
      </c>
      <c r="E352" t="inlineStr">
        <is>
          <t>부산광역시 남구 용호로197번길 15 (용호동)</t>
        </is>
      </c>
      <c r="F352" s="11" t="inlineStr">
        <is>
          <t>https://cafe.daum.net/yhhanvit</t>
        </is>
      </c>
      <c r="G352" t="inlineStr">
        <is>
          <t>051-626-1998</t>
        </is>
      </c>
      <c r="H352" s="15" t="n">
        <v>83</v>
      </c>
      <c r="I352" s="15" t="n">
        <v>0</v>
      </c>
      <c r="J352" s="15" t="n">
        <v>0</v>
      </c>
      <c r="K352" s="15" t="n">
        <v>0</v>
      </c>
      <c r="L352" s="15" t="n">
        <v>0</v>
      </c>
      <c r="M352" s="15" t="n">
        <v>0</v>
      </c>
      <c r="N352" s="15" t="n">
        <v>0</v>
      </c>
      <c r="O352" s="15" t="n">
        <v>0</v>
      </c>
      <c r="P352" s="15" t="n">
        <v>0</v>
      </c>
      <c r="Q352" s="15" t="n">
        <v>0</v>
      </c>
      <c r="R352" s="15" t="n">
        <v>0</v>
      </c>
      <c r="S352" s="15" t="n">
        <v>0</v>
      </c>
      <c r="T352" s="14">
        <f>IF(COUNT(I352:S352)=0,"",SUM(I352:S352))</f>
        <v/>
      </c>
      <c r="U352" t="inlineStr"/>
    </row>
    <row r="353">
      <c r="A353" t="inlineStr">
        <is>
          <t>우암자연어린이집</t>
        </is>
      </c>
      <c r="B353" t="inlineStr">
        <is>
          <t>어린이집</t>
        </is>
      </c>
      <c r="C353" t="inlineStr">
        <is>
          <t>가정</t>
        </is>
      </c>
      <c r="D353" t="inlineStr">
        <is>
          <t>남구</t>
        </is>
      </c>
      <c r="E353" t="inlineStr">
        <is>
          <t>부산광역시 남구 유엔로 22 105동 104호(우암동, 우암자유2차아파트)</t>
        </is>
      </c>
      <c r="F353" t="inlineStr"/>
      <c r="G353" t="inlineStr">
        <is>
          <t>051-635-6522</t>
        </is>
      </c>
      <c r="H353" s="15" t="n">
        <v>15</v>
      </c>
      <c r="I353" s="15" t="n">
        <v>0</v>
      </c>
      <c r="J353" s="15" t="n">
        <v>4</v>
      </c>
      <c r="K353" s="15" t="n">
        <v>0</v>
      </c>
      <c r="L353" s="15" t="n">
        <v>0</v>
      </c>
      <c r="M353" s="15" t="n">
        <v>0</v>
      </c>
      <c r="N353" s="15" t="n">
        <v>0</v>
      </c>
      <c r="O353" s="15" t="n">
        <v>9</v>
      </c>
      <c r="P353" s="15" t="n">
        <v>0</v>
      </c>
      <c r="Q353" s="15" t="n">
        <v>0</v>
      </c>
      <c r="R353" s="15" t="n">
        <v>0</v>
      </c>
      <c r="S353" s="15" t="n">
        <v>4</v>
      </c>
      <c r="T353" s="14">
        <f>IF(COUNT(I353:S353)=0,"",SUM(I353:S353))</f>
        <v/>
      </c>
      <c r="U353" t="inlineStr"/>
    </row>
    <row r="354">
      <c r="A354" t="inlineStr">
        <is>
          <t>유니어린이집</t>
        </is>
      </c>
      <c r="B354" t="inlineStr">
        <is>
          <t>어린이집</t>
        </is>
      </c>
      <c r="C354" t="inlineStr">
        <is>
          <t>사회복지법인</t>
        </is>
      </c>
      <c r="D354" t="inlineStr">
        <is>
          <t>남구</t>
        </is>
      </c>
      <c r="E354" t="inlineStr">
        <is>
          <t>부산광역시 남구 동명로118번길 84 (용호동)</t>
        </is>
      </c>
      <c r="F354" t="inlineStr"/>
      <c r="G354" t="inlineStr">
        <is>
          <t>051-611-2428</t>
        </is>
      </c>
      <c r="H354" s="15" t="n">
        <v>46</v>
      </c>
      <c r="I354" s="15" t="n">
        <v>0</v>
      </c>
      <c r="J354" s="15" t="n">
        <v>0</v>
      </c>
      <c r="K354" s="15" t="n">
        <v>0</v>
      </c>
      <c r="L354" s="15" t="n">
        <v>0</v>
      </c>
      <c r="M354" s="15" t="n">
        <v>0</v>
      </c>
      <c r="N354" s="15" t="n">
        <v>0</v>
      </c>
      <c r="O354" s="15" t="n">
        <v>0</v>
      </c>
      <c r="P354" s="15" t="n">
        <v>0</v>
      </c>
      <c r="Q354" s="15" t="n">
        <v>0</v>
      </c>
      <c r="R354" s="15" t="n">
        <v>26</v>
      </c>
      <c r="S354" s="15" t="n">
        <v>3</v>
      </c>
      <c r="T354" s="14">
        <f>IF(COUNT(I354:S354)=0,"",SUM(I354:S354))</f>
        <v/>
      </c>
      <c r="U354" t="inlineStr"/>
    </row>
    <row r="355">
      <c r="A355" t="inlineStr">
        <is>
          <t>은파어린이집</t>
        </is>
      </c>
      <c r="B355" t="inlineStr">
        <is>
          <t>어린이집</t>
        </is>
      </c>
      <c r="C355" t="inlineStr">
        <is>
          <t>가정</t>
        </is>
      </c>
      <c r="D355" t="inlineStr">
        <is>
          <t>남구</t>
        </is>
      </c>
      <c r="E355" t="inlineStr">
        <is>
          <t>부산광역시 남구 홍곡로 343 101동 105호(대연동, 대연대우아파트)</t>
        </is>
      </c>
      <c r="F355" s="11" t="inlineStr">
        <is>
          <t>http://sim12080@naver.com</t>
        </is>
      </c>
      <c r="G355" t="inlineStr">
        <is>
          <t>051-612-8845</t>
        </is>
      </c>
      <c r="H355" s="15" t="n">
        <v>19</v>
      </c>
      <c r="I355" s="15" t="n">
        <v>3</v>
      </c>
      <c r="J355" s="15" t="n">
        <v>4</v>
      </c>
      <c r="K355" s="15" t="n">
        <v>0</v>
      </c>
      <c r="L355" s="15" t="n">
        <v>0</v>
      </c>
      <c r="M355" s="15" t="n">
        <v>0</v>
      </c>
      <c r="N355" s="15" t="n">
        <v>0</v>
      </c>
      <c r="O355" s="15" t="n">
        <v>5</v>
      </c>
      <c r="P355" s="15" t="n">
        <v>0</v>
      </c>
      <c r="Q355" s="15" t="n">
        <v>0</v>
      </c>
      <c r="R355" s="15" t="n">
        <v>0</v>
      </c>
      <c r="S355" s="15" t="n">
        <v>3</v>
      </c>
      <c r="T355" s="14">
        <f>IF(COUNT(I355:S355)=0,"",SUM(I355:S355))</f>
        <v/>
      </c>
      <c r="U355" t="inlineStr"/>
    </row>
    <row r="356">
      <c r="A356" t="inlineStr">
        <is>
          <t>일신꿈나래어린이집</t>
        </is>
      </c>
      <c r="B356" t="inlineStr">
        <is>
          <t>어린이집</t>
        </is>
      </c>
      <c r="C356" t="inlineStr">
        <is>
          <t>가정</t>
        </is>
      </c>
      <c r="D356" t="inlineStr">
        <is>
          <t>남구</t>
        </is>
      </c>
      <c r="E356" t="inlineStr">
        <is>
          <t>부산광역시 남구 용호로 38-17 관리동 일신꿈나래어린이집</t>
        </is>
      </c>
      <c r="F356" t="inlineStr"/>
      <c r="G356" t="inlineStr">
        <is>
          <t>051-612-1575</t>
        </is>
      </c>
      <c r="H356" s="15" t="n">
        <v>20</v>
      </c>
      <c r="I356" s="15" t="n">
        <v>2</v>
      </c>
      <c r="J356" s="15" t="n">
        <v>0</v>
      </c>
      <c r="K356" s="15" t="n">
        <v>5</v>
      </c>
      <c r="L356" s="15" t="n">
        <v>0</v>
      </c>
      <c r="M356" s="15" t="n">
        <v>0</v>
      </c>
      <c r="N356" s="15" t="n">
        <v>0</v>
      </c>
      <c r="O356" s="15" t="n">
        <v>0</v>
      </c>
      <c r="P356" s="15" t="n">
        <v>0</v>
      </c>
      <c r="Q356" s="15" t="n">
        <v>0</v>
      </c>
      <c r="R356" s="15" t="n">
        <v>0</v>
      </c>
      <c r="S356" s="15" t="n">
        <v>5</v>
      </c>
      <c r="T356" s="14">
        <f>IF(COUNT(I356:S356)=0,"",SUM(I356:S356))</f>
        <v/>
      </c>
      <c r="U356" t="inlineStr"/>
    </row>
    <row r="357">
      <c r="A357" t="inlineStr">
        <is>
          <t>초록별어린이집</t>
        </is>
      </c>
      <c r="B357" t="inlineStr">
        <is>
          <t>어린이집</t>
        </is>
      </c>
      <c r="C357" t="inlineStr">
        <is>
          <t>가정</t>
        </is>
      </c>
      <c r="D357" t="inlineStr">
        <is>
          <t>남구</t>
        </is>
      </c>
      <c r="E357" t="inlineStr">
        <is>
          <t>부산광역시 남구 유엔평화로17번길 15 흑석아파트 101호 (대연동)</t>
        </is>
      </c>
      <c r="F357" t="inlineStr"/>
      <c r="G357" t="inlineStr">
        <is>
          <t>051-624-8837</t>
        </is>
      </c>
      <c r="H357" s="15" t="n">
        <v>19</v>
      </c>
      <c r="I357" s="15" t="n">
        <v>3</v>
      </c>
      <c r="J357" s="15" t="n">
        <v>3</v>
      </c>
      <c r="K357" s="15" t="n">
        <v>7</v>
      </c>
      <c r="L357" s="15" t="n">
        <v>0</v>
      </c>
      <c r="M357" s="15" t="n">
        <v>0</v>
      </c>
      <c r="N357" s="15" t="n">
        <v>0</v>
      </c>
      <c r="O357" s="15" t="n">
        <v>3</v>
      </c>
      <c r="P357" s="15" t="n">
        <v>0</v>
      </c>
      <c r="Q357" s="15" t="n">
        <v>0</v>
      </c>
      <c r="R357" s="15" t="n">
        <v>0</v>
      </c>
      <c r="S357" s="15" t="n">
        <v>3</v>
      </c>
      <c r="T357" s="14">
        <f>IF(COUNT(I357:S357)=0,"",SUM(I357:S357))</f>
        <v/>
      </c>
      <c r="U357" t="inlineStr"/>
    </row>
    <row r="358">
      <c r="A358" t="inlineStr">
        <is>
          <t>큰빛어린이집</t>
        </is>
      </c>
      <c r="B358" t="inlineStr">
        <is>
          <t>어린이집</t>
        </is>
      </c>
      <c r="C358" t="inlineStr">
        <is>
          <t>사회복지법인</t>
        </is>
      </c>
      <c r="D358" t="inlineStr">
        <is>
          <t>남구</t>
        </is>
      </c>
      <c r="E358" t="inlineStr">
        <is>
          <t>부산광역시 남구 장고개로85번길 7 (문현동)</t>
        </is>
      </c>
      <c r="F358" t="inlineStr"/>
      <c r="G358" t="inlineStr">
        <is>
          <t>051-636-3367</t>
        </is>
      </c>
      <c r="H358" s="15" t="n">
        <v>49</v>
      </c>
      <c r="I358" s="15" t="n">
        <v>5</v>
      </c>
      <c r="J358" s="15" t="n">
        <v>13</v>
      </c>
      <c r="K358" s="15" t="n">
        <v>17</v>
      </c>
      <c r="L358" s="15" t="n">
        <v>11</v>
      </c>
      <c r="M358" s="15" t="n">
        <v>0</v>
      </c>
      <c r="N358" s="15" t="n">
        <v>0</v>
      </c>
      <c r="O358" s="15" t="n">
        <v>0</v>
      </c>
      <c r="P358" s="15" t="n">
        <v>0</v>
      </c>
      <c r="Q358" s="15" t="n">
        <v>0</v>
      </c>
      <c r="R358" s="15" t="n">
        <v>0</v>
      </c>
      <c r="S358" s="15" t="n">
        <v>2</v>
      </c>
      <c r="T358" s="14">
        <f>IF(COUNT(I358:S358)=0,"",SUM(I358:S358))</f>
        <v/>
      </c>
      <c r="U358" t="inlineStr"/>
    </row>
    <row r="359">
      <c r="A359" t="inlineStr">
        <is>
          <t>토토로어린이집</t>
        </is>
      </c>
      <c r="B359" t="inlineStr">
        <is>
          <t>어린이집</t>
        </is>
      </c>
      <c r="C359" t="inlineStr">
        <is>
          <t>민간</t>
        </is>
      </c>
      <c r="D359" t="inlineStr">
        <is>
          <t>남구</t>
        </is>
      </c>
      <c r="E359" t="inlineStr">
        <is>
          <t>부산광역시 남구 수영로325번길 159-30 관리동</t>
        </is>
      </c>
      <c r="F359" t="inlineStr"/>
      <c r="G359" t="inlineStr">
        <is>
          <t>070-7543-7742</t>
        </is>
      </c>
      <c r="H359" s="15" t="n">
        <v>21</v>
      </c>
      <c r="I359" s="15" t="n">
        <v>2</v>
      </c>
      <c r="J359" s="15" t="n">
        <v>0</v>
      </c>
      <c r="K359" s="15" t="n">
        <v>0</v>
      </c>
      <c r="L359" s="15" t="n">
        <v>0</v>
      </c>
      <c r="M359" s="15" t="n">
        <v>0</v>
      </c>
      <c r="N359" s="15" t="n">
        <v>0</v>
      </c>
      <c r="O359" s="15" t="n">
        <v>6</v>
      </c>
      <c r="P359" s="15" t="n">
        <v>0</v>
      </c>
      <c r="Q359" s="15" t="n">
        <v>0</v>
      </c>
      <c r="R359" s="15" t="n">
        <v>0</v>
      </c>
      <c r="S359" s="15" t="n">
        <v>3</v>
      </c>
      <c r="T359" s="14">
        <f>IF(COUNT(I359:S359)=0,"",SUM(I359:S359))</f>
        <v/>
      </c>
      <c r="U359" t="inlineStr"/>
    </row>
    <row r="360">
      <c r="A360" t="inlineStr">
        <is>
          <t>파랑새어린이집</t>
        </is>
      </c>
      <c r="B360" t="inlineStr">
        <is>
          <t>어린이집</t>
        </is>
      </c>
      <c r="C360" t="inlineStr">
        <is>
          <t>가정</t>
        </is>
      </c>
      <c r="D360" t="inlineStr">
        <is>
          <t>남구</t>
        </is>
      </c>
      <c r="E360" t="inlineStr">
        <is>
          <t>부산광역시 남구 황령대로319번가길 190-6 101동 102호(대연동, 대우그린아파트)</t>
        </is>
      </c>
      <c r="F360" s="11" t="inlineStr">
        <is>
          <t>http://sokook1@naver.com</t>
        </is>
      </c>
      <c r="G360" t="inlineStr">
        <is>
          <t>051-628-9036</t>
        </is>
      </c>
      <c r="H360" s="15" t="n">
        <v>20</v>
      </c>
      <c r="I360" s="15" t="n">
        <v>0</v>
      </c>
      <c r="J360" s="15" t="n">
        <v>0</v>
      </c>
      <c r="K360" s="15" t="n">
        <v>0</v>
      </c>
      <c r="L360" s="15" t="n">
        <v>0</v>
      </c>
      <c r="M360" s="15" t="n">
        <v>0</v>
      </c>
      <c r="N360" s="15" t="n">
        <v>0</v>
      </c>
      <c r="O360" s="15" t="n">
        <v>6</v>
      </c>
      <c r="P360" s="15" t="n">
        <v>0</v>
      </c>
      <c r="Q360" s="15" t="n">
        <v>0</v>
      </c>
      <c r="R360" s="15" t="n">
        <v>0</v>
      </c>
      <c r="S360" s="15" t="n">
        <v>13</v>
      </c>
      <c r="T360" s="14">
        <f>IF(COUNT(I360:S360)=0,"",SUM(I360:S360))</f>
        <v/>
      </c>
      <c r="U360" t="inlineStr"/>
    </row>
    <row r="361">
      <c r="A361" t="inlineStr">
        <is>
          <t>푸르지오놀이어린이집</t>
        </is>
      </c>
      <c r="B361" t="inlineStr">
        <is>
          <t>어린이집</t>
        </is>
      </c>
      <c r="C361" t="inlineStr">
        <is>
          <t>가정</t>
        </is>
      </c>
      <c r="D361" t="inlineStr">
        <is>
          <t>남구</t>
        </is>
      </c>
      <c r="E361" t="inlineStr">
        <is>
          <t>부산광역시 남구 홍곡로 360 112동 102호(대연동,대연파크푸르지오)</t>
        </is>
      </c>
      <c r="F361" t="inlineStr"/>
      <c r="G361" t="inlineStr">
        <is>
          <t>051-627-7470</t>
        </is>
      </c>
      <c r="H361" s="15" t="n">
        <v>20</v>
      </c>
      <c r="I361" s="15" t="n">
        <v>0</v>
      </c>
      <c r="J361" s="15" t="n">
        <v>0</v>
      </c>
      <c r="K361" s="15" t="n">
        <v>0</v>
      </c>
      <c r="L361" s="15" t="n">
        <v>0</v>
      </c>
      <c r="M361" s="15" t="n">
        <v>0</v>
      </c>
      <c r="N361" s="15" t="n">
        <v>0</v>
      </c>
      <c r="O361" s="15" t="n">
        <v>3</v>
      </c>
      <c r="P361" s="15" t="n">
        <v>0</v>
      </c>
      <c r="Q361" s="15" t="n">
        <v>0</v>
      </c>
      <c r="R361" s="15" t="n">
        <v>0</v>
      </c>
      <c r="S361" s="15" t="n">
        <v>1</v>
      </c>
      <c r="T361" s="14">
        <f>IF(COUNT(I361:S361)=0,"",SUM(I361:S361))</f>
        <v/>
      </c>
      <c r="U361" t="inlineStr"/>
    </row>
    <row r="362">
      <c r="A362" t="inlineStr">
        <is>
          <t>푸르지오아이어린이집</t>
        </is>
      </c>
      <c r="B362" t="inlineStr">
        <is>
          <t>어린이집</t>
        </is>
      </c>
      <c r="C362" t="inlineStr">
        <is>
          <t>민간</t>
        </is>
      </c>
      <c r="D362" t="inlineStr">
        <is>
          <t>남구</t>
        </is>
      </c>
      <c r="E362" t="inlineStr">
        <is>
          <t>부산광역시 남구 홍곡로 360 대연파크푸르지오아파트 107동 앞</t>
        </is>
      </c>
      <c r="F362" t="inlineStr"/>
      <c r="G362" t="inlineStr">
        <is>
          <t>051-624-1005</t>
        </is>
      </c>
      <c r="H362" s="15" t="n">
        <v>70</v>
      </c>
      <c r="I362" s="15" t="n">
        <v>16</v>
      </c>
      <c r="J362" s="15" t="n">
        <v>25</v>
      </c>
      <c r="K362" s="15" t="n">
        <v>23</v>
      </c>
      <c r="L362" s="15" t="n">
        <v>0</v>
      </c>
      <c r="M362" s="15" t="n">
        <v>0</v>
      </c>
      <c r="N362" s="15" t="n">
        <v>0</v>
      </c>
      <c r="O362" s="15" t="n">
        <v>0</v>
      </c>
      <c r="P362" s="15" t="n">
        <v>0</v>
      </c>
      <c r="Q362" s="15" t="n">
        <v>0</v>
      </c>
      <c r="R362" s="15" t="n">
        <v>0</v>
      </c>
      <c r="S362" s="15" t="n">
        <v>12</v>
      </c>
      <c r="T362" s="14">
        <f>IF(COUNT(I362:S362)=0,"",SUM(I362:S362))</f>
        <v/>
      </c>
      <c r="U362" t="inlineStr"/>
    </row>
    <row r="363">
      <c r="A363" t="inlineStr">
        <is>
          <t>푸르지오어린이집</t>
        </is>
      </c>
      <c r="B363" t="inlineStr">
        <is>
          <t>어린이집</t>
        </is>
      </c>
      <c r="C363" t="inlineStr">
        <is>
          <t>민간</t>
        </is>
      </c>
      <c r="D363" t="inlineStr">
        <is>
          <t>남구</t>
        </is>
      </c>
      <c r="E363" t="inlineStr">
        <is>
          <t>부산광역시 남구 수영로325번길 12 대우푸르지오 관리동 (대연동)</t>
        </is>
      </c>
      <c r="F363" t="inlineStr"/>
      <c r="G363" t="inlineStr">
        <is>
          <t>051-621-3368</t>
        </is>
      </c>
      <c r="H363" s="15" t="n">
        <v>34</v>
      </c>
      <c r="I363" s="15" t="n">
        <v>0</v>
      </c>
      <c r="J363" s="15" t="n">
        <v>9</v>
      </c>
      <c r="K363" s="15" t="n">
        <v>0</v>
      </c>
      <c r="L363" s="15" t="n">
        <v>0</v>
      </c>
      <c r="M363" s="15" t="n">
        <v>0</v>
      </c>
      <c r="N363" s="15" t="n">
        <v>0</v>
      </c>
      <c r="O363" s="15" t="n">
        <v>5</v>
      </c>
      <c r="P363" s="15" t="n">
        <v>0</v>
      </c>
      <c r="Q363" s="15" t="n">
        <v>0</v>
      </c>
      <c r="R363" s="15" t="n">
        <v>0</v>
      </c>
      <c r="S363" s="15" t="n">
        <v>3</v>
      </c>
      <c r="T363" s="14">
        <f>IF(COUNT(I363:S363)=0,"",SUM(I363:S363))</f>
        <v/>
      </c>
      <c r="U363" t="inlineStr"/>
    </row>
    <row r="364">
      <c r="A364" t="inlineStr">
        <is>
          <t>푸른숲어린이집</t>
        </is>
      </c>
      <c r="B364" t="inlineStr">
        <is>
          <t>어린이집</t>
        </is>
      </c>
      <c r="C364" t="inlineStr">
        <is>
          <t>가정</t>
        </is>
      </c>
      <c r="D364" t="inlineStr">
        <is>
          <t>남구</t>
        </is>
      </c>
      <c r="E364" t="inlineStr">
        <is>
          <t>부산광역시 남구 용호로231번길 62 102동 104호(용호동,롯데캐슬아인스)</t>
        </is>
      </c>
      <c r="F364" t="inlineStr"/>
      <c r="G364" t="inlineStr">
        <is>
          <t>051-621-4413</t>
        </is>
      </c>
      <c r="H364" s="15" t="n">
        <v>17</v>
      </c>
      <c r="I364" s="15" t="n">
        <v>0</v>
      </c>
      <c r="J364" s="15" t="n">
        <v>4</v>
      </c>
      <c r="K364" s="15" t="n">
        <v>5</v>
      </c>
      <c r="L364" s="15" t="n">
        <v>0</v>
      </c>
      <c r="M364" s="15" t="n">
        <v>0</v>
      </c>
      <c r="N364" s="15" t="n">
        <v>0</v>
      </c>
      <c r="O364" s="15" t="n">
        <v>4</v>
      </c>
      <c r="P364" s="15" t="n">
        <v>3</v>
      </c>
      <c r="Q364" s="15" t="n">
        <v>0</v>
      </c>
      <c r="R364" s="15" t="n">
        <v>0</v>
      </c>
      <c r="S364" s="15" t="n">
        <v>2</v>
      </c>
      <c r="T364" s="14">
        <f>IF(COUNT(I364:S364)=0,"",SUM(I364:S364))</f>
        <v/>
      </c>
      <c r="U364" t="inlineStr"/>
    </row>
    <row r="365">
      <c r="A365" t="inlineStr">
        <is>
          <t>피노키오어린이집</t>
        </is>
      </c>
      <c r="B365" t="inlineStr">
        <is>
          <t>어린이집</t>
        </is>
      </c>
      <c r="C365" t="inlineStr">
        <is>
          <t>국공립</t>
        </is>
      </c>
      <c r="D365" t="inlineStr">
        <is>
          <t>남구</t>
        </is>
      </c>
      <c r="E365" t="inlineStr">
        <is>
          <t>부산광역시 남구 진남로30번가길 45 (대연동)</t>
        </is>
      </c>
      <c r="F365" t="inlineStr"/>
      <c r="G365" t="inlineStr">
        <is>
          <t>051-628-3019</t>
        </is>
      </c>
      <c r="H365" s="15" t="n">
        <v>52</v>
      </c>
      <c r="I365" s="15" t="n">
        <v>0</v>
      </c>
      <c r="J365" s="15" t="n">
        <v>10</v>
      </c>
      <c r="K365" s="15" t="n">
        <v>13</v>
      </c>
      <c r="L365" s="15" t="n">
        <v>0</v>
      </c>
      <c r="M365" s="15" t="n">
        <v>0</v>
      </c>
      <c r="N365" s="15" t="n">
        <v>0</v>
      </c>
      <c r="O365" s="15" t="n">
        <v>6</v>
      </c>
      <c r="P365" s="15" t="n">
        <v>0</v>
      </c>
      <c r="Q365" s="15" t="n">
        <v>0</v>
      </c>
      <c r="R365" s="15" t="n">
        <v>0</v>
      </c>
      <c r="S365" s="15" t="n">
        <v>0</v>
      </c>
      <c r="T365" s="14">
        <f>IF(COUNT(I365:S365)=0,"",SUM(I365:S365))</f>
        <v/>
      </c>
      <c r="U365" t="inlineStr"/>
    </row>
    <row r="366">
      <c r="A366" t="inlineStr">
        <is>
          <t>하늘채어린이집</t>
        </is>
      </c>
      <c r="B366" t="inlineStr">
        <is>
          <t>어린이집</t>
        </is>
      </c>
      <c r="C366" t="inlineStr">
        <is>
          <t>민간</t>
        </is>
      </c>
      <c r="D366" t="inlineStr">
        <is>
          <t>남구</t>
        </is>
      </c>
      <c r="E366" t="inlineStr">
        <is>
          <t>부산광역시 남구 홍곡로320번길 132 신대연코오롱하늘채아파트관리동</t>
        </is>
      </c>
      <c r="F366" t="inlineStr"/>
      <c r="G366" t="inlineStr">
        <is>
          <t>051-611-0201</t>
        </is>
      </c>
      <c r="H366" s="15" t="n">
        <v>34</v>
      </c>
      <c r="I366" s="15" t="n">
        <v>0</v>
      </c>
      <c r="J366" s="15" t="n">
        <v>5</v>
      </c>
      <c r="K366" s="15" t="n">
        <v>6</v>
      </c>
      <c r="L366" s="15" t="n">
        <v>0</v>
      </c>
      <c r="M366" s="15" t="n">
        <v>0</v>
      </c>
      <c r="N366" s="15" t="n">
        <v>0</v>
      </c>
      <c r="O366" s="15" t="n">
        <v>2</v>
      </c>
      <c r="P366" s="15" t="n">
        <v>0</v>
      </c>
      <c r="Q366" s="15" t="n">
        <v>0</v>
      </c>
      <c r="R366" s="15" t="n">
        <v>0</v>
      </c>
      <c r="S366" s="15" t="n">
        <v>3</v>
      </c>
      <c r="T366" s="14">
        <f>IF(COUNT(I366:S366)=0,"",SUM(I366:S366))</f>
        <v/>
      </c>
      <c r="U366" t="inlineStr"/>
    </row>
    <row r="367">
      <c r="A367" t="inlineStr">
        <is>
          <t>하은어린이집</t>
        </is>
      </c>
      <c r="B367" t="inlineStr">
        <is>
          <t>어린이집</t>
        </is>
      </c>
      <c r="C367" t="inlineStr">
        <is>
          <t>가정</t>
        </is>
      </c>
      <c r="D367" t="inlineStr">
        <is>
          <t>남구</t>
        </is>
      </c>
      <c r="E367" t="inlineStr">
        <is>
          <t>부산광역시 남구 유엔로 10 뉴서울아파트 (우암동) 102동 101호</t>
        </is>
      </c>
      <c r="F367" t="inlineStr"/>
      <c r="G367" t="inlineStr">
        <is>
          <t>051-639-9004</t>
        </is>
      </c>
      <c r="H367" s="15" t="n">
        <v>19</v>
      </c>
      <c r="I367" s="15" t="n">
        <v>3</v>
      </c>
      <c r="J367" s="15" t="n">
        <v>9</v>
      </c>
      <c r="K367" s="15" t="n">
        <v>5</v>
      </c>
      <c r="L367" s="15" t="n">
        <v>0</v>
      </c>
      <c r="M367" s="15" t="n">
        <v>0</v>
      </c>
      <c r="N367" s="15" t="n">
        <v>0</v>
      </c>
      <c r="O367" s="15" t="n">
        <v>0</v>
      </c>
      <c r="P367" s="15" t="n">
        <v>0</v>
      </c>
      <c r="Q367" s="15" t="n">
        <v>0</v>
      </c>
      <c r="R367" s="15" t="n">
        <v>0</v>
      </c>
      <c r="S367" s="15" t="n">
        <v>4</v>
      </c>
      <c r="T367" s="14">
        <f>IF(COUNT(I367:S367)=0,"",SUM(I367:S367))</f>
        <v/>
      </c>
      <c r="U367" t="inlineStr"/>
    </row>
    <row r="368">
      <c r="A368" t="inlineStr">
        <is>
          <t>한누리어린이집</t>
        </is>
      </c>
      <c r="B368" t="inlineStr">
        <is>
          <t>어린이집</t>
        </is>
      </c>
      <c r="C368" t="inlineStr">
        <is>
          <t>국공립</t>
        </is>
      </c>
      <c r="D368" t="inlineStr">
        <is>
          <t>남구</t>
        </is>
      </c>
      <c r="E368" t="inlineStr">
        <is>
          <t>부산광역시 남구 진남로127번길 94 (대연동)</t>
        </is>
      </c>
      <c r="F368" t="inlineStr"/>
      <c r="G368" t="inlineStr">
        <is>
          <t>051-635-3064</t>
        </is>
      </c>
      <c r="H368" s="15" t="n">
        <v>99</v>
      </c>
      <c r="I368" s="15" t="n">
        <v>17</v>
      </c>
      <c r="J368" s="15" t="n">
        <v>22</v>
      </c>
      <c r="K368" s="15" t="n">
        <v>26</v>
      </c>
      <c r="L368" s="15" t="n">
        <v>8</v>
      </c>
      <c r="M368" s="15" t="n">
        <v>12</v>
      </c>
      <c r="N368" s="15" t="n">
        <v>14</v>
      </c>
      <c r="O368" s="15" t="n">
        <v>0</v>
      </c>
      <c r="P368" s="15" t="n">
        <v>0</v>
      </c>
      <c r="Q368" s="15" t="n">
        <v>0</v>
      </c>
      <c r="R368" s="15" t="n">
        <v>0</v>
      </c>
      <c r="S368" s="15" t="n">
        <v>19</v>
      </c>
      <c r="T368" s="14">
        <f>IF(COUNT(I368:S368)=0,"",SUM(I368:S368))</f>
        <v/>
      </c>
      <c r="U368" t="inlineStr"/>
    </row>
    <row r="369">
      <c r="A369" t="inlineStr">
        <is>
          <t>한빛어린이집</t>
        </is>
      </c>
      <c r="B369" t="inlineStr">
        <is>
          <t>어린이집</t>
        </is>
      </c>
      <c r="C369" t="inlineStr">
        <is>
          <t>국공립</t>
        </is>
      </c>
      <c r="D369" t="inlineStr">
        <is>
          <t>남구</t>
        </is>
      </c>
      <c r="E369" t="inlineStr">
        <is>
          <t>부산광역시 남구 장고개로85번가길 16 (문현동)</t>
        </is>
      </c>
      <c r="F369" t="inlineStr"/>
      <c r="G369" t="inlineStr">
        <is>
          <t>051-643-0592</t>
        </is>
      </c>
      <c r="H369" s="15" t="n">
        <v>90</v>
      </c>
      <c r="I369" s="15" t="n">
        <v>15</v>
      </c>
      <c r="J369" s="15" t="n">
        <v>30</v>
      </c>
      <c r="K369" s="15" t="n">
        <v>20</v>
      </c>
      <c r="L369" s="15" t="n">
        <v>13</v>
      </c>
      <c r="M369" s="15" t="n">
        <v>9</v>
      </c>
      <c r="N369" s="15" t="n">
        <v>0</v>
      </c>
      <c r="O369" s="15" t="n">
        <v>0</v>
      </c>
      <c r="P369" s="15" t="n">
        <v>0</v>
      </c>
      <c r="Q369" s="15" t="n">
        <v>0</v>
      </c>
      <c r="R369" s="15" t="n">
        <v>0</v>
      </c>
      <c r="S369" s="15" t="n">
        <v>21</v>
      </c>
      <c r="T369" s="14">
        <f>IF(COUNT(I369:S369)=0,"",SUM(I369:S369))</f>
        <v/>
      </c>
      <c r="U369" t="inlineStr"/>
    </row>
    <row r="370">
      <c r="A370" t="inlineStr">
        <is>
          <t>한사랑어린이집</t>
        </is>
      </c>
      <c r="B370" t="inlineStr">
        <is>
          <t>어린이집</t>
        </is>
      </c>
      <c r="C370" t="inlineStr">
        <is>
          <t>가정</t>
        </is>
      </c>
      <c r="D370" t="inlineStr">
        <is>
          <t>남구</t>
        </is>
      </c>
      <c r="E370" t="inlineStr">
        <is>
          <t>부산광역시 남구 분포로 113 134동 102호(용호동, 엘지메트로시티아파트)</t>
        </is>
      </c>
      <c r="F370" t="inlineStr"/>
      <c r="G370" t="inlineStr">
        <is>
          <t>051-625-0708</t>
        </is>
      </c>
      <c r="H370" s="15" t="n">
        <v>19</v>
      </c>
      <c r="I370" s="15" t="n">
        <v>3</v>
      </c>
      <c r="J370" s="15" t="n">
        <v>5</v>
      </c>
      <c r="K370" s="15" t="n">
        <v>0</v>
      </c>
      <c r="L370" s="15" t="n">
        <v>0</v>
      </c>
      <c r="M370" s="15" t="n">
        <v>0</v>
      </c>
      <c r="N370" s="15" t="n">
        <v>0</v>
      </c>
      <c r="O370" s="15" t="n">
        <v>3</v>
      </c>
      <c r="P370" s="15" t="n">
        <v>0</v>
      </c>
      <c r="Q370" s="15" t="n">
        <v>0</v>
      </c>
      <c r="R370" s="15" t="n">
        <v>0</v>
      </c>
      <c r="S370" s="15" t="n">
        <v>3</v>
      </c>
      <c r="T370" s="14">
        <f>IF(COUNT(I370:S370)=0,"",SUM(I370:S370))</f>
        <v/>
      </c>
      <c r="U370" t="inlineStr"/>
    </row>
    <row r="371">
      <c r="A371" t="inlineStr">
        <is>
          <t>한아름어린이집</t>
        </is>
      </c>
      <c r="B371" t="inlineStr">
        <is>
          <t>어린이집</t>
        </is>
      </c>
      <c r="C371" t="inlineStr">
        <is>
          <t>사회복지법인</t>
        </is>
      </c>
      <c r="D371" t="inlineStr">
        <is>
          <t>남구</t>
        </is>
      </c>
      <c r="E371" t="inlineStr">
        <is>
          <t>부산광역시 남구 진남로232번길 7 (문현동)</t>
        </is>
      </c>
      <c r="F371" t="inlineStr"/>
      <c r="G371" t="inlineStr">
        <is>
          <t>051-642-1604</t>
        </is>
      </c>
      <c r="H371" s="15" t="n">
        <v>99</v>
      </c>
      <c r="I371" s="15" t="n">
        <v>7</v>
      </c>
      <c r="J371" s="15" t="n">
        <v>14</v>
      </c>
      <c r="K371" s="15" t="n">
        <v>13</v>
      </c>
      <c r="L371" s="15" t="n">
        <v>12</v>
      </c>
      <c r="M371" s="15" t="n">
        <v>0</v>
      </c>
      <c r="N371" s="15" t="n">
        <v>0</v>
      </c>
      <c r="O371" s="15" t="n">
        <v>5</v>
      </c>
      <c r="P371" s="15" t="n">
        <v>10</v>
      </c>
      <c r="Q371" s="15" t="n">
        <v>0</v>
      </c>
      <c r="R371" s="15" t="n">
        <v>0</v>
      </c>
      <c r="S371" s="15" t="n">
        <v>19</v>
      </c>
      <c r="T371" s="14">
        <f>IF(COUNT(I371:S371)=0,"",SUM(I371:S371))</f>
        <v/>
      </c>
      <c r="U371" t="inlineStr"/>
    </row>
    <row r="372">
      <c r="A372" t="inlineStr">
        <is>
          <t>해군작전사 바다별어린이집</t>
        </is>
      </c>
      <c r="B372" t="inlineStr">
        <is>
          <t>어린이집</t>
        </is>
      </c>
      <c r="C372" t="inlineStr">
        <is>
          <t>직장</t>
        </is>
      </c>
      <c r="D372" t="inlineStr">
        <is>
          <t>남구</t>
        </is>
      </c>
      <c r="E372" t="inlineStr">
        <is>
          <t>부산광역시 남구 신선로 393-15 용당해군숙소</t>
        </is>
      </c>
      <c r="F372" t="inlineStr"/>
      <c r="G372" t="inlineStr">
        <is>
          <t>051-627-2014</t>
        </is>
      </c>
      <c r="H372" s="15" t="n">
        <v>36</v>
      </c>
      <c r="I372" s="15" t="n">
        <v>0</v>
      </c>
      <c r="J372" s="15" t="n">
        <v>5</v>
      </c>
      <c r="K372" s="15" t="n">
        <v>10</v>
      </c>
      <c r="L372" s="15" t="n">
        <v>3</v>
      </c>
      <c r="M372" s="15" t="n">
        <v>0</v>
      </c>
      <c r="N372" s="15" t="n">
        <v>0</v>
      </c>
      <c r="O372" s="15" t="n">
        <v>0</v>
      </c>
      <c r="P372" s="15" t="n">
        <v>7</v>
      </c>
      <c r="Q372" s="15" t="n">
        <v>0</v>
      </c>
      <c r="R372" s="15" t="n">
        <v>0</v>
      </c>
      <c r="S372" s="15" t="n">
        <v>0</v>
      </c>
      <c r="T372" s="14">
        <f>IF(COUNT(I372:S372)=0,"",SUM(I372:S372))</f>
        <v/>
      </c>
      <c r="U372" t="inlineStr"/>
    </row>
    <row r="373">
      <c r="A373" t="inlineStr">
        <is>
          <t>해뜨는어린이집</t>
        </is>
      </c>
      <c r="B373" t="inlineStr">
        <is>
          <t>어린이집</t>
        </is>
      </c>
      <c r="C373" t="inlineStr">
        <is>
          <t>민간</t>
        </is>
      </c>
      <c r="D373" t="inlineStr">
        <is>
          <t>남구</t>
        </is>
      </c>
      <c r="E373" t="inlineStr">
        <is>
          <t>부산광역시 남구 용호로269번길 10 (용호동)</t>
        </is>
      </c>
      <c r="F373" t="inlineStr"/>
      <c r="G373" t="inlineStr">
        <is>
          <t>051-622-1770</t>
        </is>
      </c>
      <c r="H373" s="15" t="n">
        <v>111</v>
      </c>
      <c r="I373" s="15" t="n">
        <v>12</v>
      </c>
      <c r="J373" s="15" t="n">
        <v>19</v>
      </c>
      <c r="K373" s="15" t="n">
        <v>13</v>
      </c>
      <c r="L373" s="15" t="n">
        <v>9</v>
      </c>
      <c r="M373" s="15" t="n">
        <v>0</v>
      </c>
      <c r="N373" s="15" t="n">
        <v>0</v>
      </c>
      <c r="O373" s="15" t="n">
        <v>0</v>
      </c>
      <c r="P373" s="15" t="n">
        <v>12</v>
      </c>
      <c r="Q373" s="15" t="n">
        <v>0</v>
      </c>
      <c r="R373" s="15" t="n">
        <v>0</v>
      </c>
      <c r="S373" s="15" t="n">
        <v>24</v>
      </c>
      <c r="T373" s="14">
        <f>IF(COUNT(I373:S373)=0,"",SUM(I373:S373))</f>
        <v/>
      </c>
      <c r="U373" t="inlineStr"/>
    </row>
    <row r="374">
      <c r="A374" t="inlineStr">
        <is>
          <t>해솔어린이집</t>
        </is>
      </c>
      <c r="B374" t="inlineStr">
        <is>
          <t>어린이집</t>
        </is>
      </c>
      <c r="C374" t="inlineStr">
        <is>
          <t>협동</t>
        </is>
      </c>
      <c r="D374" t="inlineStr">
        <is>
          <t>남구</t>
        </is>
      </c>
      <c r="E374" t="inlineStr">
        <is>
          <t>부산광역시 남구 동명로170번길 47</t>
        </is>
      </c>
      <c r="F374" t="inlineStr"/>
      <c r="G374" t="inlineStr">
        <is>
          <t>051-631-4248</t>
        </is>
      </c>
      <c r="H374" s="15" t="n">
        <v>27</v>
      </c>
      <c r="I374" s="15" t="n">
        <v>0</v>
      </c>
      <c r="J374" s="15" t="n">
        <v>0</v>
      </c>
      <c r="K374" s="15" t="n">
        <v>0</v>
      </c>
      <c r="L374" s="15" t="n">
        <v>0</v>
      </c>
      <c r="M374" s="15" t="n">
        <v>0</v>
      </c>
      <c r="N374" s="15" t="n">
        <v>0</v>
      </c>
      <c r="O374" s="15" t="n">
        <v>8</v>
      </c>
      <c r="P374" s="15" t="n">
        <v>12</v>
      </c>
      <c r="Q374" s="15" t="n">
        <v>0</v>
      </c>
      <c r="R374" s="15" t="n">
        <v>0</v>
      </c>
      <c r="S374" s="15" t="n">
        <v>3</v>
      </c>
      <c r="T374" s="14">
        <f>IF(COUNT(I374:S374)=0,"",SUM(I374:S374))</f>
        <v/>
      </c>
      <c r="U374" t="inlineStr"/>
    </row>
    <row r="375">
      <c r="A375" t="inlineStr">
        <is>
          <t>행복한어린이집</t>
        </is>
      </c>
      <c r="B375" t="inlineStr">
        <is>
          <t>어린이집</t>
        </is>
      </c>
      <c r="C375" t="inlineStr">
        <is>
          <t>민간</t>
        </is>
      </c>
      <c r="D375" t="inlineStr">
        <is>
          <t>남구</t>
        </is>
      </c>
      <c r="E375" t="inlineStr">
        <is>
          <t>부산광역시 남구 못골로 91-12</t>
        </is>
      </c>
      <c r="F375" t="inlineStr"/>
      <c r="G375" t="inlineStr">
        <is>
          <t>051-623-7637</t>
        </is>
      </c>
      <c r="H375" s="15" t="n">
        <v>93</v>
      </c>
      <c r="I375" s="15" t="n">
        <v>9</v>
      </c>
      <c r="J375" s="15" t="n">
        <v>10</v>
      </c>
      <c r="K375" s="15" t="n">
        <v>19</v>
      </c>
      <c r="L375" s="15" t="n">
        <v>14</v>
      </c>
      <c r="M375" s="15" t="n">
        <v>11</v>
      </c>
      <c r="N375" s="15" t="n">
        <v>12</v>
      </c>
      <c r="O375" s="15" t="n">
        <v>5</v>
      </c>
      <c r="P375" s="15" t="n">
        <v>0</v>
      </c>
      <c r="Q375" s="15" t="n">
        <v>0</v>
      </c>
      <c r="R375" s="15" t="n">
        <v>0</v>
      </c>
      <c r="S375" s="15" t="n">
        <v>29</v>
      </c>
      <c r="T375" s="14">
        <f>IF(COUNT(I375:S375)=0,"",SUM(I375:S375))</f>
        <v/>
      </c>
      <c r="U375" t="inlineStr"/>
    </row>
    <row r="376">
      <c r="A376" t="inlineStr">
        <is>
          <t>현대아이엔젤어린이집</t>
        </is>
      </c>
      <c r="B376" t="inlineStr">
        <is>
          <t>어린이집</t>
        </is>
      </c>
      <c r="C376" t="inlineStr">
        <is>
          <t>가정</t>
        </is>
      </c>
      <c r="D376" t="inlineStr">
        <is>
          <t>남구</t>
        </is>
      </c>
      <c r="E376" t="inlineStr">
        <is>
          <t>부산광역시 남구 동명로 26 104동 103호(용당동, 현대아이아파트)</t>
        </is>
      </c>
      <c r="F376" t="inlineStr"/>
      <c r="G376" t="inlineStr">
        <is>
          <t>051-622-7475</t>
        </is>
      </c>
      <c r="H376" s="15" t="n">
        <v>18</v>
      </c>
      <c r="I376" s="15" t="n">
        <v>0</v>
      </c>
      <c r="J376" s="15" t="n">
        <v>0</v>
      </c>
      <c r="K376" s="15" t="n">
        <v>0</v>
      </c>
      <c r="L376" s="15" t="n">
        <v>0</v>
      </c>
      <c r="M376" s="15" t="n">
        <v>0</v>
      </c>
      <c r="N376" s="15" t="n">
        <v>0</v>
      </c>
      <c r="O376" s="15" t="n">
        <v>7</v>
      </c>
      <c r="P376" s="15" t="n">
        <v>0</v>
      </c>
      <c r="Q376" s="15" t="n">
        <v>0</v>
      </c>
      <c r="R376" s="15" t="n">
        <v>0</v>
      </c>
      <c r="S376" s="15" t="n">
        <v>4</v>
      </c>
      <c r="T376" s="14">
        <f>IF(COUNT(I376:S376)=0,"",SUM(I376:S376))</f>
        <v/>
      </c>
      <c r="U376" t="inlineStr"/>
    </row>
    <row r="377">
      <c r="A377" t="inlineStr">
        <is>
          <t>현대어린이집</t>
        </is>
      </c>
      <c r="B377" t="inlineStr">
        <is>
          <t>어린이집</t>
        </is>
      </c>
      <c r="C377" t="inlineStr">
        <is>
          <t>민간</t>
        </is>
      </c>
      <c r="D377" t="inlineStr">
        <is>
          <t>남구</t>
        </is>
      </c>
      <c r="E377" t="inlineStr">
        <is>
          <t>부산광역시 남구 용호로42번길 14 현대비치 아파트 내 현대어린이집 (용호동)</t>
        </is>
      </c>
      <c r="F377" t="inlineStr"/>
      <c r="G377" t="inlineStr">
        <is>
          <t>051-611-2414</t>
        </is>
      </c>
      <c r="H377" s="15" t="n">
        <v>86</v>
      </c>
      <c r="I377" s="15" t="n">
        <v>0</v>
      </c>
      <c r="J377" s="15" t="n">
        <v>3</v>
      </c>
      <c r="K377" s="15" t="n">
        <v>0</v>
      </c>
      <c r="L377" s="15" t="n">
        <v>0</v>
      </c>
      <c r="M377" s="15" t="n">
        <v>0</v>
      </c>
      <c r="N377" s="15" t="n">
        <v>0</v>
      </c>
      <c r="O377" s="15" t="n">
        <v>5</v>
      </c>
      <c r="P377" s="15" t="n">
        <v>5</v>
      </c>
      <c r="Q377" s="15" t="n">
        <v>0</v>
      </c>
      <c r="R377" s="15" t="n">
        <v>3</v>
      </c>
      <c r="S377" s="15" t="n">
        <v>0</v>
      </c>
      <c r="T377" s="14">
        <f>IF(COUNT(I377:S377)=0,"",SUM(I377:S377))</f>
        <v/>
      </c>
      <c r="U377" t="inlineStr"/>
    </row>
    <row r="378">
      <c r="A378" t="inlineStr">
        <is>
          <t>힐스센트럴어린이집</t>
        </is>
      </c>
      <c r="B378" t="inlineStr">
        <is>
          <t>어린이집</t>
        </is>
      </c>
      <c r="C378" t="inlineStr">
        <is>
          <t>민간</t>
        </is>
      </c>
      <c r="D378" t="inlineStr">
        <is>
          <t>남구</t>
        </is>
      </c>
      <c r="E378" t="inlineStr">
        <is>
          <t>부산광역시 남구 진남로 95 힐스테이트대연센트럴아파트 관리동(대연동)</t>
        </is>
      </c>
      <c r="F378" t="inlineStr"/>
      <c r="G378" t="inlineStr">
        <is>
          <t>051-633-8009</t>
        </is>
      </c>
      <c r="H378" s="15" t="n">
        <v>21</v>
      </c>
      <c r="I378" s="15" t="n">
        <v>4</v>
      </c>
      <c r="J378" s="15" t="n">
        <v>9</v>
      </c>
      <c r="K378" s="15" t="n">
        <v>7</v>
      </c>
      <c r="L378" s="15" t="n">
        <v>0</v>
      </c>
      <c r="M378" s="15" t="n">
        <v>0</v>
      </c>
      <c r="N378" s="15" t="n">
        <v>0</v>
      </c>
      <c r="O378" s="15" t="n">
        <v>0</v>
      </c>
      <c r="P378" s="15" t="n">
        <v>0</v>
      </c>
      <c r="Q378" s="15" t="n">
        <v>0</v>
      </c>
      <c r="R378" s="15" t="n">
        <v>0</v>
      </c>
      <c r="S378" s="15" t="n">
        <v>8</v>
      </c>
      <c r="T378" s="14">
        <f>IF(COUNT(I378:S378)=0,"",SUM(I378:S378))</f>
        <v/>
      </c>
      <c r="U378" t="inlineStr"/>
    </row>
    <row r="379">
      <c r="A379" t="inlineStr">
        <is>
          <t>GKL행복어린이집</t>
        </is>
      </c>
      <c r="B379" t="inlineStr">
        <is>
          <t>어린이집</t>
        </is>
      </c>
      <c r="C379" t="inlineStr">
        <is>
          <t>직장</t>
        </is>
      </c>
      <c r="D379" t="inlineStr">
        <is>
          <t>동구</t>
        </is>
      </c>
      <c r="E379" t="inlineStr">
        <is>
          <t>부산광역시 동구 자성로 134 (범일동, 눌원빌딩)</t>
        </is>
      </c>
      <c r="F379" s="11" t="inlineStr">
        <is>
          <t>http://www.puruni.com/gklb</t>
        </is>
      </c>
      <c r="G379" t="inlineStr">
        <is>
          <t>051-647-9551</t>
        </is>
      </c>
      <c r="H379" s="15" t="n">
        <v>49</v>
      </c>
      <c r="I379" s="15" t="n">
        <v>0</v>
      </c>
      <c r="J379" s="15" t="n">
        <v>0</v>
      </c>
      <c r="K379" s="15" t="n">
        <v>3</v>
      </c>
      <c r="L379" s="15" t="n">
        <v>0</v>
      </c>
      <c r="M379" s="15" t="n">
        <v>0</v>
      </c>
      <c r="N379" s="15" t="n">
        <v>0</v>
      </c>
      <c r="O379" s="15" t="n">
        <v>4</v>
      </c>
      <c r="P379" s="15" t="n">
        <v>4</v>
      </c>
      <c r="Q379" s="15" t="n">
        <v>0</v>
      </c>
      <c r="R379" s="15" t="n">
        <v>0</v>
      </c>
      <c r="S379" s="15" t="n">
        <v>0</v>
      </c>
      <c r="T379" s="14">
        <f>IF(COUNT(I379:S379)=0,"",SUM(I379:S379))</f>
        <v/>
      </c>
      <c r="U379" t="inlineStr"/>
    </row>
    <row r="380">
      <c r="A380" t="inlineStr">
        <is>
          <t>IBK 참 좋은 어린이집</t>
        </is>
      </c>
      <c r="B380" t="inlineStr">
        <is>
          <t>어린이집</t>
        </is>
      </c>
      <c r="C380" t="inlineStr">
        <is>
          <t>직장</t>
        </is>
      </c>
      <c r="D380" t="inlineStr">
        <is>
          <t>동구</t>
        </is>
      </c>
      <c r="E380" t="inlineStr">
        <is>
          <t>부산광역시 동구 중앙대로 489 (범일동)</t>
        </is>
      </c>
      <c r="F380" s="11" t="inlineStr">
        <is>
          <t>https://www.ibkkids.net/</t>
        </is>
      </c>
      <c r="G380" t="inlineStr">
        <is>
          <t>051-633-3800</t>
        </is>
      </c>
      <c r="H380" s="15" t="n">
        <v>40</v>
      </c>
      <c r="I380" s="15" t="n">
        <v>0</v>
      </c>
      <c r="J380" s="15" t="n">
        <v>0</v>
      </c>
      <c r="K380" s="15" t="n">
        <v>0</v>
      </c>
      <c r="L380" s="15" t="n">
        <v>0</v>
      </c>
      <c r="M380" s="15" t="n">
        <v>0</v>
      </c>
      <c r="N380" s="15" t="n">
        <v>0</v>
      </c>
      <c r="O380" s="15" t="n">
        <v>6</v>
      </c>
      <c r="P380" s="15" t="n">
        <v>0</v>
      </c>
      <c r="Q380" s="15" t="n">
        <v>0</v>
      </c>
      <c r="R380" s="15" t="n">
        <v>0</v>
      </c>
      <c r="S380" s="15" t="n">
        <v>0</v>
      </c>
      <c r="T380" s="14">
        <f>IF(COUNT(I380:S380)=0,"",SUM(I380:S380))</f>
        <v/>
      </c>
      <c r="U380" t="inlineStr"/>
    </row>
    <row r="381">
      <c r="A381" t="inlineStr">
        <is>
          <t>금잔디어린이집</t>
        </is>
      </c>
      <c r="B381" t="inlineStr">
        <is>
          <t>어린이집</t>
        </is>
      </c>
      <c r="C381" t="inlineStr">
        <is>
          <t>민간</t>
        </is>
      </c>
      <c r="D381" t="inlineStr">
        <is>
          <t>동구</t>
        </is>
      </c>
      <c r="E381" t="inlineStr">
        <is>
          <t>부산광역시 동구 수정중로17번길 4-2 (수정동)</t>
        </is>
      </c>
      <c r="F381" s="11" t="inlineStr">
        <is>
          <t>http://blog.naver.com/leaderqueen11</t>
        </is>
      </c>
      <c r="G381" t="inlineStr">
        <is>
          <t>051-464-2105</t>
        </is>
      </c>
      <c r="H381" s="15" t="n">
        <v>79</v>
      </c>
      <c r="I381" s="15" t="n">
        <v>9</v>
      </c>
      <c r="J381" s="15" t="n">
        <v>18</v>
      </c>
      <c r="K381" s="15" t="n">
        <v>16</v>
      </c>
      <c r="L381" s="15" t="n">
        <v>0</v>
      </c>
      <c r="M381" s="15" t="n">
        <v>0</v>
      </c>
      <c r="N381" s="15" t="n">
        <v>0</v>
      </c>
      <c r="O381" s="15" t="n">
        <v>0</v>
      </c>
      <c r="P381" s="15" t="n">
        <v>20</v>
      </c>
      <c r="Q381" s="15" t="n">
        <v>0</v>
      </c>
      <c r="R381" s="15" t="n">
        <v>0</v>
      </c>
      <c r="S381" s="15" t="n">
        <v>14</v>
      </c>
      <c r="T381" s="14">
        <f>IF(COUNT(I381:S381)=0,"",SUM(I381:S381))</f>
        <v/>
      </c>
      <c r="U381" t="inlineStr"/>
    </row>
    <row r="382">
      <c r="A382" t="inlineStr">
        <is>
          <t>도담도담어린이집</t>
        </is>
      </c>
      <c r="B382" t="inlineStr">
        <is>
          <t>어린이집</t>
        </is>
      </c>
      <c r="C382" t="inlineStr">
        <is>
          <t>법인·단체등</t>
        </is>
      </c>
      <c r="D382" t="inlineStr">
        <is>
          <t>동구</t>
        </is>
      </c>
      <c r="E382" t="inlineStr">
        <is>
          <t>부산광역시 동구 초량상로 151-10 (수정동)</t>
        </is>
      </c>
      <c r="F382" s="11" t="inlineStr">
        <is>
          <t>https://www.instagram.com/dg_dodamdodam?igshid=MmIzYWVlNDQ5Yg==</t>
        </is>
      </c>
      <c r="G382" t="inlineStr">
        <is>
          <t>051-442-0682</t>
        </is>
      </c>
      <c r="H382" s="15" t="n">
        <v>49</v>
      </c>
      <c r="I382" s="15" t="n">
        <v>3</v>
      </c>
      <c r="J382" s="15" t="n">
        <v>9</v>
      </c>
      <c r="K382" s="15" t="n">
        <v>7</v>
      </c>
      <c r="L382" s="15" t="n">
        <v>0</v>
      </c>
      <c r="M382" s="15" t="n">
        <v>0</v>
      </c>
      <c r="N382" s="15" t="n">
        <v>0</v>
      </c>
      <c r="O382" s="15" t="n">
        <v>8</v>
      </c>
      <c r="P382" s="15" t="n">
        <v>0</v>
      </c>
      <c r="Q382" s="15" t="n">
        <v>0</v>
      </c>
      <c r="R382" s="15" t="n">
        <v>0</v>
      </c>
      <c r="S382" s="15" t="n">
        <v>5</v>
      </c>
      <c r="T382" s="14">
        <f>IF(COUNT(I382:S382)=0,"",SUM(I382:S382))</f>
        <v/>
      </c>
      <c r="U382" t="inlineStr"/>
    </row>
    <row r="383">
      <c r="A383" t="inlineStr">
        <is>
          <t>동일어린이집</t>
        </is>
      </c>
      <c r="B383" t="inlineStr">
        <is>
          <t>어린이집</t>
        </is>
      </c>
      <c r="C383" t="inlineStr">
        <is>
          <t>가정</t>
        </is>
      </c>
      <c r="D383" t="inlineStr">
        <is>
          <t>동구</t>
        </is>
      </c>
      <c r="E383" t="inlineStr">
        <is>
          <t>부산광역시 동구 영초윗길 28 (초량동)</t>
        </is>
      </c>
      <c r="F383" t="inlineStr"/>
      <c r="G383" t="inlineStr">
        <is>
          <t>051-465-9983</t>
        </is>
      </c>
      <c r="H383" s="15" t="n">
        <v>19</v>
      </c>
      <c r="I383" s="15" t="n">
        <v>4</v>
      </c>
      <c r="J383" s="15" t="n">
        <v>0</v>
      </c>
      <c r="K383" s="15" t="n">
        <v>0</v>
      </c>
      <c r="L383" s="15" t="n">
        <v>0</v>
      </c>
      <c r="M383" s="15" t="n">
        <v>0</v>
      </c>
      <c r="N383" s="15" t="n">
        <v>0</v>
      </c>
      <c r="O383" s="15" t="n">
        <v>0</v>
      </c>
      <c r="P383" s="15" t="n">
        <v>5</v>
      </c>
      <c r="Q383" s="15" t="n">
        <v>5</v>
      </c>
      <c r="R383" s="15" t="n">
        <v>0</v>
      </c>
      <c r="S383" s="15" t="n">
        <v>0</v>
      </c>
      <c r="T383" s="14">
        <f>IF(COUNT(I383:S383)=0,"",SUM(I383:S383))</f>
        <v/>
      </c>
      <c r="U383" t="inlineStr"/>
    </row>
    <row r="384">
      <c r="A384" t="inlineStr">
        <is>
          <t>두산하버시티어린이집</t>
        </is>
      </c>
      <c r="B384" t="inlineStr">
        <is>
          <t>어린이집</t>
        </is>
      </c>
      <c r="C384" t="inlineStr">
        <is>
          <t>국공립</t>
        </is>
      </c>
      <c r="D384" t="inlineStr">
        <is>
          <t>동구</t>
        </is>
      </c>
      <c r="E384" t="inlineStr">
        <is>
          <t>부산광역시 동구 범일로 21 (범일동, 두산위브더제니스하버시티)</t>
        </is>
      </c>
      <c r="F384" t="inlineStr"/>
      <c r="G384" t="inlineStr">
        <is>
          <t>051-714-0605</t>
        </is>
      </c>
      <c r="H384" s="15" t="n">
        <v>77</v>
      </c>
      <c r="I384" s="15" t="n">
        <v>6</v>
      </c>
      <c r="J384" s="15" t="n">
        <v>15</v>
      </c>
      <c r="K384" s="15" t="n">
        <v>21</v>
      </c>
      <c r="L384" s="15" t="n">
        <v>8</v>
      </c>
      <c r="M384" s="15" t="n">
        <v>0</v>
      </c>
      <c r="N384" s="15" t="n">
        <v>0</v>
      </c>
      <c r="O384" s="15" t="n">
        <v>0</v>
      </c>
      <c r="P384" s="15" t="n">
        <v>16</v>
      </c>
      <c r="Q384" s="15" t="n">
        <v>0</v>
      </c>
      <c r="R384" s="15" t="n">
        <v>0</v>
      </c>
      <c r="S384" s="15" t="n">
        <v>33</v>
      </c>
      <c r="T384" s="14">
        <f>IF(COUNT(I384:S384)=0,"",SUM(I384:S384))</f>
        <v/>
      </c>
      <c r="U384" t="inlineStr"/>
    </row>
    <row r="385">
      <c r="A385" t="inlineStr">
        <is>
          <t>묘음예능어린이집</t>
        </is>
      </c>
      <c r="B385" t="inlineStr">
        <is>
          <t>어린이집</t>
        </is>
      </c>
      <c r="C385" t="inlineStr">
        <is>
          <t>민간</t>
        </is>
      </c>
      <c r="D385" t="inlineStr">
        <is>
          <t>동구</t>
        </is>
      </c>
      <c r="E385" t="inlineStr">
        <is>
          <t>부산광역시 동구 구봉로 63 (초량동)</t>
        </is>
      </c>
      <c r="F385" t="inlineStr"/>
      <c r="G385" t="inlineStr">
        <is>
          <t>051-467-7701</t>
        </is>
      </c>
      <c r="H385" s="15" t="n">
        <v>232</v>
      </c>
      <c r="I385" s="15" t="n">
        <v>10</v>
      </c>
      <c r="J385" s="15" t="n">
        <v>20</v>
      </c>
      <c r="K385" s="15" t="n">
        <v>23</v>
      </c>
      <c r="L385" s="15" t="n">
        <v>9</v>
      </c>
      <c r="M385" s="15" t="n">
        <v>0</v>
      </c>
      <c r="N385" s="15" t="n">
        <v>0</v>
      </c>
      <c r="O385" s="15" t="n">
        <v>0</v>
      </c>
      <c r="P385" s="15" t="n">
        <v>0</v>
      </c>
      <c r="Q385" s="15" t="n">
        <v>0</v>
      </c>
      <c r="R385" s="15" t="n">
        <v>0</v>
      </c>
      <c r="S385" s="15" t="n">
        <v>25</v>
      </c>
      <c r="T385" s="14">
        <f>IF(COUNT(I385:S385)=0,"",SUM(I385:S385))</f>
        <v/>
      </c>
      <c r="U385" t="inlineStr"/>
    </row>
    <row r="386">
      <c r="A386" t="inlineStr">
        <is>
          <t>범일어린이집</t>
        </is>
      </c>
      <c r="B386" t="inlineStr">
        <is>
          <t>어린이집</t>
        </is>
      </c>
      <c r="C386" t="inlineStr">
        <is>
          <t>국공립</t>
        </is>
      </c>
      <c r="D386" t="inlineStr">
        <is>
          <t>동구</t>
        </is>
      </c>
      <c r="E386" t="inlineStr">
        <is>
          <t>부산광역시 동구 범곡북로 26 (범일동)</t>
        </is>
      </c>
      <c r="F386" t="inlineStr"/>
      <c r="G386" t="inlineStr">
        <is>
          <t>051-646-9337</t>
        </is>
      </c>
      <c r="H386" s="15" t="n">
        <v>71</v>
      </c>
      <c r="I386" s="15" t="n">
        <v>5</v>
      </c>
      <c r="J386" s="15" t="n">
        <v>10</v>
      </c>
      <c r="K386" s="15" t="n">
        <v>13</v>
      </c>
      <c r="L386" s="15" t="n">
        <v>9</v>
      </c>
      <c r="M386" s="15" t="n">
        <v>0</v>
      </c>
      <c r="N386" s="15" t="n">
        <v>0</v>
      </c>
      <c r="O386" s="15" t="n">
        <v>10</v>
      </c>
      <c r="P386" s="15" t="n">
        <v>15</v>
      </c>
      <c r="Q386" s="15" t="n">
        <v>0</v>
      </c>
      <c r="R386" s="15" t="n">
        <v>0</v>
      </c>
      <c r="S386" s="15" t="n">
        <v>8</v>
      </c>
      <c r="T386" s="14">
        <f>IF(COUNT(I386:S386)=0,"",SUM(I386:S386))</f>
        <v/>
      </c>
      <c r="U386" t="inlineStr"/>
    </row>
    <row r="387">
      <c r="A387" t="inlineStr">
        <is>
          <t>봉생어린이집</t>
        </is>
      </c>
      <c r="B387" t="inlineStr">
        <is>
          <t>어린이집</t>
        </is>
      </c>
      <c r="C387" t="inlineStr">
        <is>
          <t>직장</t>
        </is>
      </c>
      <c r="D387" t="inlineStr">
        <is>
          <t>동구</t>
        </is>
      </c>
      <c r="E387" t="inlineStr">
        <is>
          <t>부산광역시 동구 고관로 160-4 (좌천동)</t>
        </is>
      </c>
      <c r="F387" t="inlineStr"/>
      <c r="G387" t="inlineStr">
        <is>
          <t>051-643-5191</t>
        </is>
      </c>
      <c r="H387" s="15" t="n">
        <v>13</v>
      </c>
      <c r="I387" s="15" t="n">
        <v>0</v>
      </c>
      <c r="J387" s="15" t="n">
        <v>3</v>
      </c>
      <c r="K387" s="15" t="n">
        <v>0</v>
      </c>
      <c r="L387" s="15" t="n">
        <v>0</v>
      </c>
      <c r="M387" s="15" t="n">
        <v>1</v>
      </c>
      <c r="N387" s="15" t="n">
        <v>0</v>
      </c>
      <c r="O387" s="15" t="n">
        <v>0</v>
      </c>
      <c r="P387" s="15" t="n">
        <v>0</v>
      </c>
      <c r="Q387" s="15" t="n">
        <v>0</v>
      </c>
      <c r="R387" s="15" t="n">
        <v>0</v>
      </c>
      <c r="S387" s="15" t="n">
        <v>6</v>
      </c>
      <c r="T387" s="14">
        <f>IF(COUNT(I387:S387)=0,"",SUM(I387:S387))</f>
        <v/>
      </c>
      <c r="U387" t="inlineStr"/>
    </row>
    <row r="388">
      <c r="A388" t="inlineStr">
        <is>
          <t>부산진어린이집</t>
        </is>
      </c>
      <c r="B388" t="inlineStr">
        <is>
          <t>어린이집</t>
        </is>
      </c>
      <c r="C388" t="inlineStr">
        <is>
          <t>법인·단체등</t>
        </is>
      </c>
      <c r="D388" t="inlineStr">
        <is>
          <t>동구</t>
        </is>
      </c>
      <c r="E388" t="inlineStr">
        <is>
          <t>부산광역시 동구 정공단로17번길 16 (좌천동)</t>
        </is>
      </c>
      <c r="F388" t="inlineStr"/>
      <c r="G388" t="inlineStr">
        <is>
          <t>051-647-2455</t>
        </is>
      </c>
      <c r="H388" s="15" t="n">
        <v>70</v>
      </c>
      <c r="I388" s="15" t="n">
        <v>8</v>
      </c>
      <c r="J388" s="15" t="n">
        <v>15</v>
      </c>
      <c r="K388" s="15" t="n">
        <v>7</v>
      </c>
      <c r="L388" s="15" t="n">
        <v>0</v>
      </c>
      <c r="M388" s="15" t="n">
        <v>0</v>
      </c>
      <c r="N388" s="15" t="n">
        <v>0</v>
      </c>
      <c r="O388" s="15" t="n">
        <v>0</v>
      </c>
      <c r="P388" s="15" t="n">
        <v>8</v>
      </c>
      <c r="Q388" s="15" t="n">
        <v>0</v>
      </c>
      <c r="R388" s="15" t="n">
        <v>0</v>
      </c>
      <c r="S388" s="15" t="n">
        <v>0</v>
      </c>
      <c r="T388" s="14">
        <f>IF(COUNT(I388:S388)=0,"",SUM(I388:S388))</f>
        <v/>
      </c>
      <c r="U388" t="inlineStr"/>
    </row>
    <row r="389">
      <c r="A389" t="inlineStr">
        <is>
          <t>선임어린이집</t>
        </is>
      </c>
      <c r="B389" t="inlineStr">
        <is>
          <t>어린이집</t>
        </is>
      </c>
      <c r="C389" t="inlineStr">
        <is>
          <t>민간</t>
        </is>
      </c>
      <c r="D389" t="inlineStr">
        <is>
          <t>동구</t>
        </is>
      </c>
      <c r="E389" t="inlineStr">
        <is>
          <t>부산광역시 동구 범곡북로14번길 21 (범일동)</t>
        </is>
      </c>
      <c r="F389" t="inlineStr"/>
      <c r="G389" t="inlineStr">
        <is>
          <t>051-646-4836</t>
        </is>
      </c>
      <c r="H389" s="15" t="n">
        <v>49</v>
      </c>
      <c r="I389" s="15" t="n">
        <v>0</v>
      </c>
      <c r="J389" s="15" t="n">
        <v>0</v>
      </c>
      <c r="K389" s="15" t="n">
        <v>0</v>
      </c>
      <c r="L389" s="15" t="n">
        <v>0</v>
      </c>
      <c r="M389" s="15" t="n">
        <v>0</v>
      </c>
      <c r="N389" s="15" t="n">
        <v>0</v>
      </c>
      <c r="O389" s="15" t="n">
        <v>7</v>
      </c>
      <c r="P389" s="15" t="n">
        <v>11</v>
      </c>
      <c r="Q389" s="15" t="n">
        <v>0</v>
      </c>
      <c r="R389" s="15" t="n">
        <v>0</v>
      </c>
      <c r="S389" s="15" t="n">
        <v>2</v>
      </c>
      <c r="T389" s="14">
        <f>IF(COUNT(I389:S389)=0,"",SUM(I389:S389))</f>
        <v/>
      </c>
      <c r="U389" t="inlineStr"/>
    </row>
    <row r="390">
      <c r="A390" t="inlineStr">
        <is>
          <t>수정4동어린이집</t>
        </is>
      </c>
      <c r="B390" t="inlineStr">
        <is>
          <t>어린이집</t>
        </is>
      </c>
      <c r="C390" t="inlineStr">
        <is>
          <t>국공립</t>
        </is>
      </c>
      <c r="D390" t="inlineStr">
        <is>
          <t>동구</t>
        </is>
      </c>
      <c r="E390" t="inlineStr">
        <is>
          <t>부산광역시 동구 수정공원남로 38 (수정동)</t>
        </is>
      </c>
      <c r="F390" s="11" t="inlineStr">
        <is>
          <t>http://cafe.naver.com/soo4</t>
        </is>
      </c>
      <c r="G390" t="inlineStr">
        <is>
          <t>051-467-7266</t>
        </is>
      </c>
      <c r="H390" s="15" t="n">
        <v>20</v>
      </c>
      <c r="I390" s="15" t="n">
        <v>5</v>
      </c>
      <c r="J390" s="15" t="n">
        <v>5</v>
      </c>
      <c r="K390" s="15" t="n">
        <v>4</v>
      </c>
      <c r="L390" s="15" t="n">
        <v>0</v>
      </c>
      <c r="M390" s="15" t="n">
        <v>0</v>
      </c>
      <c r="N390" s="15" t="n">
        <v>0</v>
      </c>
      <c r="O390" s="15" t="n">
        <v>0</v>
      </c>
      <c r="P390" s="15" t="n">
        <v>6</v>
      </c>
      <c r="Q390" s="15" t="n">
        <v>0</v>
      </c>
      <c r="R390" s="15" t="n">
        <v>0</v>
      </c>
      <c r="S390" s="15" t="n">
        <v>5</v>
      </c>
      <c r="T390" s="14">
        <f>IF(COUNT(I390:S390)=0,"",SUM(I390:S390))</f>
        <v/>
      </c>
      <c r="U390" t="inlineStr"/>
    </row>
    <row r="391">
      <c r="A391" t="inlineStr">
        <is>
          <t>수정삼성어린이집</t>
        </is>
      </c>
      <c r="B391" t="inlineStr">
        <is>
          <t>어린이집</t>
        </is>
      </c>
      <c r="C391" t="inlineStr">
        <is>
          <t>사회복지법인</t>
        </is>
      </c>
      <c r="D391" t="inlineStr">
        <is>
          <t>동구</t>
        </is>
      </c>
      <c r="E391" t="inlineStr">
        <is>
          <t>부산광역시 동구 수정중로 33 (수정동)</t>
        </is>
      </c>
      <c r="F391" t="inlineStr"/>
      <c r="G391" t="inlineStr">
        <is>
          <t>051-465-3214</t>
        </is>
      </c>
      <c r="H391" s="15" t="n">
        <v>133</v>
      </c>
      <c r="I391" s="15" t="n">
        <v>0</v>
      </c>
      <c r="J391" s="15" t="n">
        <v>10</v>
      </c>
      <c r="K391" s="15" t="n">
        <v>24</v>
      </c>
      <c r="L391" s="15" t="n">
        <v>21</v>
      </c>
      <c r="M391" s="15" t="n">
        <v>24</v>
      </c>
      <c r="N391" s="15" t="n">
        <v>23</v>
      </c>
      <c r="O391" s="15" t="n">
        <v>0</v>
      </c>
      <c r="P391" s="15" t="n">
        <v>0</v>
      </c>
      <c r="Q391" s="15" t="n">
        <v>0</v>
      </c>
      <c r="R391" s="15" t="n">
        <v>0</v>
      </c>
      <c r="S391" s="15" t="n">
        <v>20</v>
      </c>
      <c r="T391" s="14">
        <f>IF(COUNT(I391:S391)=0,"",SUM(I391:S391))</f>
        <v/>
      </c>
      <c r="U391" t="inlineStr"/>
    </row>
    <row r="392">
      <c r="A392" t="inlineStr">
        <is>
          <t>수정어린이집</t>
        </is>
      </c>
      <c r="B392" t="inlineStr">
        <is>
          <t>어린이집</t>
        </is>
      </c>
      <c r="C392" t="inlineStr">
        <is>
          <t>국공립</t>
        </is>
      </c>
      <c r="D392" t="inlineStr">
        <is>
          <t>동구</t>
        </is>
      </c>
      <c r="E392" t="inlineStr">
        <is>
          <t>부산광역시 동구 수정공원로129번길 10 (수정동)</t>
        </is>
      </c>
      <c r="F392" s="11" t="inlineStr">
        <is>
          <t>http://cafe.daum.net/sujung5dong</t>
        </is>
      </c>
      <c r="G392" t="inlineStr">
        <is>
          <t>051-462-4798</t>
        </is>
      </c>
      <c r="H392" s="15" t="n">
        <v>82</v>
      </c>
      <c r="I392" s="15" t="n">
        <v>12</v>
      </c>
      <c r="J392" s="15" t="n">
        <v>13</v>
      </c>
      <c r="K392" s="15" t="n">
        <v>15</v>
      </c>
      <c r="L392" s="15" t="n">
        <v>9</v>
      </c>
      <c r="M392" s="15" t="n">
        <v>0</v>
      </c>
      <c r="N392" s="15" t="n">
        <v>0</v>
      </c>
      <c r="O392" s="15" t="n">
        <v>0</v>
      </c>
      <c r="P392" s="15" t="n">
        <v>16</v>
      </c>
      <c r="Q392" s="15" t="n">
        <v>0</v>
      </c>
      <c r="R392" s="15" t="n">
        <v>0</v>
      </c>
      <c r="S392" s="15" t="n">
        <v>18</v>
      </c>
      <c r="T392" s="14">
        <f>IF(COUNT(I392:S392)=0,"",SUM(I392:S392))</f>
        <v/>
      </c>
      <c r="U392" t="inlineStr"/>
    </row>
    <row r="393">
      <c r="A393" t="inlineStr">
        <is>
          <t>수정휴포레어린이집</t>
        </is>
      </c>
      <c r="B393" t="inlineStr">
        <is>
          <t>어린이집</t>
        </is>
      </c>
      <c r="C393" t="inlineStr">
        <is>
          <t>국공립</t>
        </is>
      </c>
      <c r="D393" t="inlineStr">
        <is>
          <t>동구</t>
        </is>
      </c>
      <c r="E393" t="inlineStr">
        <is>
          <t>부산광역시 동구 중앙대로 357 (수정동, 협성휴포레·부산진역 오션뷰)</t>
        </is>
      </c>
      <c r="F393" t="inlineStr"/>
      <c r="G393" t="inlineStr">
        <is>
          <t>051-469-7547</t>
        </is>
      </c>
      <c r="H393" s="15" t="n">
        <v>36</v>
      </c>
      <c r="I393" s="15" t="n">
        <v>4</v>
      </c>
      <c r="J393" s="15" t="n">
        <v>15</v>
      </c>
      <c r="K393" s="15" t="n">
        <v>14</v>
      </c>
      <c r="L393" s="15" t="n">
        <v>0</v>
      </c>
      <c r="M393" s="15" t="n">
        <v>0</v>
      </c>
      <c r="N393" s="15" t="n">
        <v>0</v>
      </c>
      <c r="O393" s="15" t="n">
        <v>0</v>
      </c>
      <c r="P393" s="15" t="n">
        <v>0</v>
      </c>
      <c r="Q393" s="15" t="n">
        <v>0</v>
      </c>
      <c r="R393" s="15" t="n">
        <v>0</v>
      </c>
      <c r="S393" s="15" t="n">
        <v>10</v>
      </c>
      <c r="T393" s="14">
        <f>IF(COUNT(I393:S393)=0,"",SUM(I393:S393))</f>
        <v/>
      </c>
      <c r="U393" t="inlineStr"/>
    </row>
    <row r="394">
      <c r="A394" t="inlineStr">
        <is>
          <t>예그리나 어린이집</t>
        </is>
      </c>
      <c r="B394" t="inlineStr">
        <is>
          <t>어린이집</t>
        </is>
      </c>
      <c r="C394" t="inlineStr">
        <is>
          <t>직장</t>
        </is>
      </c>
      <c r="D394" t="inlineStr">
        <is>
          <t>동구</t>
        </is>
      </c>
      <c r="E394" t="inlineStr">
        <is>
          <t>부산광역시 동구 중앙대로361번길 14 해양수산부 2-3층</t>
        </is>
      </c>
      <c r="F394" t="inlineStr"/>
      <c r="G394" t="inlineStr">
        <is>
          <t>051-773-6410</t>
        </is>
      </c>
      <c r="H394" s="15" t="n">
        <v>118</v>
      </c>
      <c r="I394" s="15" t="n">
        <v>9</v>
      </c>
      <c r="J394" s="15" t="n">
        <v>15</v>
      </c>
      <c r="K394" s="15" t="n">
        <v>12</v>
      </c>
      <c r="L394" s="15" t="n">
        <v>15</v>
      </c>
      <c r="M394" s="15" t="n">
        <v>0</v>
      </c>
      <c r="N394" s="15" t="n">
        <v>0</v>
      </c>
      <c r="O394" s="15" t="n">
        <v>0</v>
      </c>
      <c r="P394" s="15" t="n">
        <v>8</v>
      </c>
      <c r="Q394" s="15" t="n">
        <v>0</v>
      </c>
      <c r="R394" s="15" t="n">
        <v>0</v>
      </c>
      <c r="S394" s="15" t="n">
        <v>44</v>
      </c>
      <c r="T394" s="14">
        <f>IF(COUNT(I394:S394)=0,"",SUM(I394:S394))</f>
        <v/>
      </c>
      <c r="U394" t="inlineStr"/>
    </row>
    <row r="395">
      <c r="A395" t="inlineStr">
        <is>
          <t>예랑어린이집</t>
        </is>
      </c>
      <c r="B395" t="inlineStr">
        <is>
          <t>어린이집</t>
        </is>
      </c>
      <c r="C395" t="inlineStr">
        <is>
          <t>국공립</t>
        </is>
      </c>
      <c r="D395" t="inlineStr">
        <is>
          <t>동구</t>
        </is>
      </c>
      <c r="E395" t="inlineStr">
        <is>
          <t>부산광역시 동구 안창로 57 (범일동)</t>
        </is>
      </c>
      <c r="F395" t="inlineStr"/>
      <c r="G395" t="inlineStr">
        <is>
          <t>051-634-8557</t>
        </is>
      </c>
      <c r="H395" s="15" t="n">
        <v>58</v>
      </c>
      <c r="I395" s="15" t="n">
        <v>0</v>
      </c>
      <c r="J395" s="15" t="n">
        <v>5</v>
      </c>
      <c r="K395" s="15" t="n">
        <v>4</v>
      </c>
      <c r="L395" s="15" t="n">
        <v>0</v>
      </c>
      <c r="M395" s="15" t="n">
        <v>0</v>
      </c>
      <c r="N395" s="15" t="n">
        <v>0</v>
      </c>
      <c r="O395" s="15" t="n">
        <v>0</v>
      </c>
      <c r="P395" s="15" t="n">
        <v>12</v>
      </c>
      <c r="Q395" s="15" t="n">
        <v>0</v>
      </c>
      <c r="R395" s="15" t="n">
        <v>0</v>
      </c>
      <c r="S395" s="15" t="n">
        <v>12</v>
      </c>
      <c r="T395" s="14">
        <f>IF(COUNT(I395:S395)=0,"",SUM(I395:S395))</f>
        <v/>
      </c>
      <c r="U395" t="inlineStr"/>
    </row>
    <row r="396">
      <c r="A396" t="inlineStr">
        <is>
          <t>오션브릿지어린이집</t>
        </is>
      </c>
      <c r="B396" t="inlineStr">
        <is>
          <t>어린이집</t>
        </is>
      </c>
      <c r="C396" t="inlineStr">
        <is>
          <t>국공립</t>
        </is>
      </c>
      <c r="D396" t="inlineStr">
        <is>
          <t>동구</t>
        </is>
      </c>
      <c r="E396" t="inlineStr">
        <is>
          <t>부산광역시 동구 범일로 41 (범일동, 오션브릿지)</t>
        </is>
      </c>
      <c r="F396" t="inlineStr"/>
      <c r="G396" t="inlineStr">
        <is>
          <t>051-634-5553</t>
        </is>
      </c>
      <c r="H396" s="15" t="n">
        <v>36</v>
      </c>
      <c r="I396" s="15" t="n">
        <v>0</v>
      </c>
      <c r="J396" s="15" t="n">
        <v>20</v>
      </c>
      <c r="K396" s="15" t="n">
        <v>15</v>
      </c>
      <c r="L396" s="15" t="n">
        <v>0</v>
      </c>
      <c r="M396" s="15" t="n">
        <v>0</v>
      </c>
      <c r="N396" s="15" t="n">
        <v>0</v>
      </c>
      <c r="O396" s="15" t="n">
        <v>0</v>
      </c>
      <c r="P396" s="15" t="n">
        <v>0</v>
      </c>
      <c r="Q396" s="15" t="n">
        <v>0</v>
      </c>
      <c r="R396" s="15" t="n">
        <v>0</v>
      </c>
      <c r="S396" s="15" t="n">
        <v>10</v>
      </c>
      <c r="T396" s="14">
        <f>IF(COUNT(I396:S396)=0,"",SUM(I396:S396))</f>
        <v/>
      </c>
      <c r="U396" t="inlineStr"/>
    </row>
    <row r="397">
      <c r="A397" t="inlineStr">
        <is>
          <t>위브초롱어린이집</t>
        </is>
      </c>
      <c r="B397" t="inlineStr">
        <is>
          <t>어린이집</t>
        </is>
      </c>
      <c r="C397" t="inlineStr">
        <is>
          <t>가정</t>
        </is>
      </c>
      <c r="D397" t="inlineStr">
        <is>
          <t>동구</t>
        </is>
      </c>
      <c r="E397" t="inlineStr">
        <is>
          <t>부산광역시 동구 성남일로 5 103동 101호(좌천동, 두산위브범일뉴타운)</t>
        </is>
      </c>
      <c r="F397" t="inlineStr"/>
      <c r="G397" t="inlineStr">
        <is>
          <t>051-635-0676</t>
        </is>
      </c>
      <c r="H397" s="15" t="n">
        <v>20</v>
      </c>
      <c r="I397" s="15" t="n">
        <v>3</v>
      </c>
      <c r="J397" s="15" t="n">
        <v>9</v>
      </c>
      <c r="K397" s="15" t="n">
        <v>8</v>
      </c>
      <c r="L397" s="15" t="n">
        <v>0</v>
      </c>
      <c r="M397" s="15" t="n">
        <v>0</v>
      </c>
      <c r="N397" s="15" t="n">
        <v>0</v>
      </c>
      <c r="O397" s="15" t="n">
        <v>0</v>
      </c>
      <c r="P397" s="15" t="n">
        <v>0</v>
      </c>
      <c r="Q397" s="15" t="n">
        <v>0</v>
      </c>
      <c r="R397" s="15" t="n">
        <v>0</v>
      </c>
      <c r="S397" s="15" t="n">
        <v>7</v>
      </c>
      <c r="T397" s="14">
        <f>IF(COUNT(I397:S397)=0,"",SUM(I397:S397))</f>
        <v/>
      </c>
      <c r="U397" t="inlineStr"/>
    </row>
    <row r="398">
      <c r="A398" t="inlineStr">
        <is>
          <t>일동미라주어린이집</t>
        </is>
      </c>
      <c r="B398" t="inlineStr">
        <is>
          <t>어린이집</t>
        </is>
      </c>
      <c r="C398" t="inlineStr">
        <is>
          <t>국공립</t>
        </is>
      </c>
      <c r="D398" t="inlineStr">
        <is>
          <t>동구</t>
        </is>
      </c>
      <c r="E398" t="inlineStr">
        <is>
          <t>부산광역시 동구 자성로 2 (좌천동, 부산항 일동미라주 더오션(1지구))</t>
        </is>
      </c>
      <c r="F398" t="inlineStr"/>
      <c r="G398" t="inlineStr">
        <is>
          <t>051-633-1236</t>
        </is>
      </c>
      <c r="H398" s="15" t="n">
        <v>30</v>
      </c>
      <c r="I398" s="15" t="n">
        <v>6</v>
      </c>
      <c r="J398" s="15" t="n">
        <v>10</v>
      </c>
      <c r="K398" s="15" t="n">
        <v>12</v>
      </c>
      <c r="L398" s="15" t="n">
        <v>0</v>
      </c>
      <c r="M398" s="15" t="n">
        <v>0</v>
      </c>
      <c r="N398" s="15" t="n">
        <v>0</v>
      </c>
      <c r="O398" s="15" t="n">
        <v>0</v>
      </c>
      <c r="P398" s="15" t="n">
        <v>0</v>
      </c>
      <c r="Q398" s="15" t="n">
        <v>0</v>
      </c>
      <c r="R398" s="15" t="n">
        <v>0</v>
      </c>
      <c r="S398" s="15" t="n">
        <v>8</v>
      </c>
      <c r="T398" s="14">
        <f>IF(COUNT(I398:S398)=0,"",SUM(I398:S398))</f>
        <v/>
      </c>
      <c r="U398" t="inlineStr"/>
    </row>
    <row r="399">
      <c r="A399" t="inlineStr">
        <is>
          <t>자연어린이집</t>
        </is>
      </c>
      <c r="B399" t="inlineStr">
        <is>
          <t>어린이집</t>
        </is>
      </c>
      <c r="C399" t="inlineStr">
        <is>
          <t>민간</t>
        </is>
      </c>
      <c r="D399" t="inlineStr">
        <is>
          <t>동구</t>
        </is>
      </c>
      <c r="E399" t="inlineStr">
        <is>
          <t>부산광역시 동구 홍곡남로18번길 8 (수정동)</t>
        </is>
      </c>
      <c r="F399" s="11" t="inlineStr">
        <is>
          <t>http://cafe.naver.com/nature5250.cafe</t>
        </is>
      </c>
      <c r="G399" t="inlineStr">
        <is>
          <t>051-468-5250</t>
        </is>
      </c>
      <c r="H399" s="15" t="n">
        <v>49</v>
      </c>
      <c r="I399" s="15" t="n">
        <v>3</v>
      </c>
      <c r="J399" s="15" t="n">
        <v>15</v>
      </c>
      <c r="K399" s="15" t="n">
        <v>12</v>
      </c>
      <c r="L399" s="15" t="n">
        <v>0</v>
      </c>
      <c r="M399" s="15" t="n">
        <v>0</v>
      </c>
      <c r="N399" s="15" t="n">
        <v>0</v>
      </c>
      <c r="O399" s="15" t="n">
        <v>0</v>
      </c>
      <c r="P399" s="15" t="n">
        <v>0</v>
      </c>
      <c r="Q399" s="15" t="n">
        <v>0</v>
      </c>
      <c r="R399" s="15" t="n">
        <v>0</v>
      </c>
      <c r="S399" s="15" t="n">
        <v>5</v>
      </c>
      <c r="T399" s="14">
        <f>IF(COUNT(I399:S399)=0,"",SUM(I399:S399))</f>
        <v/>
      </c>
      <c r="U399" t="inlineStr"/>
    </row>
    <row r="400">
      <c r="A400" t="inlineStr">
        <is>
          <t>좌천4동어린이집</t>
        </is>
      </c>
      <c r="B400" t="inlineStr">
        <is>
          <t>어린이집</t>
        </is>
      </c>
      <c r="C400" t="inlineStr">
        <is>
          <t>사회복지법인</t>
        </is>
      </c>
      <c r="D400" t="inlineStr">
        <is>
          <t>동구</t>
        </is>
      </c>
      <c r="E400" t="inlineStr">
        <is>
          <t>부산광역시 동구 성북로27번길 11 9/2 좌천4동어린이집 (좌천동)</t>
        </is>
      </c>
      <c r="F400" t="inlineStr"/>
      <c r="G400" t="inlineStr">
        <is>
          <t>051-632-1468</t>
        </is>
      </c>
      <c r="H400" s="15" t="n">
        <v>65</v>
      </c>
      <c r="I400" s="15" t="n">
        <v>0</v>
      </c>
      <c r="J400" s="15" t="n">
        <v>4</v>
      </c>
      <c r="K400" s="15" t="n">
        <v>4</v>
      </c>
      <c r="L400" s="15" t="n">
        <v>0</v>
      </c>
      <c r="M400" s="15" t="n">
        <v>0</v>
      </c>
      <c r="N400" s="15" t="n">
        <v>0</v>
      </c>
      <c r="O400" s="15" t="n">
        <v>0</v>
      </c>
      <c r="P400" s="15" t="n">
        <v>0</v>
      </c>
      <c r="Q400" s="15" t="n">
        <v>4</v>
      </c>
      <c r="R400" s="15" t="n">
        <v>0</v>
      </c>
      <c r="S400" s="15" t="n">
        <v>0</v>
      </c>
      <c r="T400" s="14">
        <f>IF(COUNT(I400:S400)=0,"",SUM(I400:S400))</f>
        <v/>
      </c>
      <c r="U400" t="inlineStr"/>
    </row>
    <row r="401">
      <c r="A401" t="inlineStr">
        <is>
          <t>초량1동 어린이집</t>
        </is>
      </c>
      <c r="B401" t="inlineStr">
        <is>
          <t>어린이집</t>
        </is>
      </c>
      <c r="C401" t="inlineStr">
        <is>
          <t>국공립</t>
        </is>
      </c>
      <c r="D401" t="inlineStr">
        <is>
          <t>동구</t>
        </is>
      </c>
      <c r="E401" t="inlineStr">
        <is>
          <t>부산광역시 동구 영초윗길 9 (초량동)</t>
        </is>
      </c>
      <c r="F401" t="inlineStr"/>
      <c r="G401" t="inlineStr">
        <is>
          <t>051-467-9606</t>
        </is>
      </c>
      <c r="H401" s="15" t="n">
        <v>55</v>
      </c>
      <c r="I401" s="15" t="n">
        <v>0</v>
      </c>
      <c r="J401" s="15" t="n">
        <v>0</v>
      </c>
      <c r="K401" s="15" t="n">
        <v>0</v>
      </c>
      <c r="L401" s="15" t="n">
        <v>0</v>
      </c>
      <c r="M401" s="15" t="n">
        <v>0</v>
      </c>
      <c r="N401" s="15" t="n">
        <v>0</v>
      </c>
      <c r="O401" s="15" t="n">
        <v>12</v>
      </c>
      <c r="P401" s="15" t="n">
        <v>14</v>
      </c>
      <c r="Q401" s="15" t="n">
        <v>0</v>
      </c>
      <c r="R401" s="15" t="n">
        <v>0</v>
      </c>
      <c r="S401" s="15" t="n">
        <v>0</v>
      </c>
      <c r="T401" s="14">
        <f>IF(COUNT(I401:S401)=0,"",SUM(I401:S401))</f>
        <v/>
      </c>
      <c r="U401" t="inlineStr"/>
    </row>
    <row r="402">
      <c r="A402" t="inlineStr">
        <is>
          <t>초량범양레우스어린이집</t>
        </is>
      </c>
      <c r="B402" t="inlineStr">
        <is>
          <t>어린이집</t>
        </is>
      </c>
      <c r="C402" t="inlineStr">
        <is>
          <t>국공립</t>
        </is>
      </c>
      <c r="D402" t="inlineStr">
        <is>
          <t>동구</t>
        </is>
      </c>
      <c r="E402" t="inlineStr">
        <is>
          <t>부산광역시 동구 초량중로 114 (초량동, 범양레우스 센트럴베이)</t>
        </is>
      </c>
      <c r="F402" t="inlineStr"/>
      <c r="G402" t="inlineStr">
        <is>
          <t>051-462-7902</t>
        </is>
      </c>
      <c r="H402" s="15" t="n">
        <v>32</v>
      </c>
      <c r="I402" s="15" t="n">
        <v>6</v>
      </c>
      <c r="J402" s="15" t="n">
        <v>10</v>
      </c>
      <c r="K402" s="15" t="n">
        <v>14</v>
      </c>
      <c r="L402" s="15" t="n">
        <v>0</v>
      </c>
      <c r="M402" s="15" t="n">
        <v>0</v>
      </c>
      <c r="N402" s="15" t="n">
        <v>0</v>
      </c>
      <c r="O402" s="15" t="n">
        <v>0</v>
      </c>
      <c r="P402" s="15" t="n">
        <v>0</v>
      </c>
      <c r="Q402" s="15" t="n">
        <v>0</v>
      </c>
      <c r="R402" s="15" t="n">
        <v>0</v>
      </c>
      <c r="S402" s="15" t="n">
        <v>5</v>
      </c>
      <c r="T402" s="14">
        <f>IF(COUNT(I402:S402)=0,"",SUM(I402:S402))</f>
        <v/>
      </c>
      <c r="U402" t="inlineStr"/>
    </row>
    <row r="403">
      <c r="A403" t="inlineStr">
        <is>
          <t>초량베스티움어린이집</t>
        </is>
      </c>
      <c r="B403" t="inlineStr">
        <is>
          <t>어린이집</t>
        </is>
      </c>
      <c r="C403" t="inlineStr">
        <is>
          <t>국공립</t>
        </is>
      </c>
      <c r="D403" t="inlineStr">
        <is>
          <t>동구</t>
        </is>
      </c>
      <c r="E403" t="inlineStr">
        <is>
          <t>부산광역시 동구 홍곡로 37 (초량동, 초량베스티움센트럴베이)</t>
        </is>
      </c>
      <c r="F403" t="inlineStr"/>
      <c r="G403" t="inlineStr">
        <is>
          <t>051-466-3848</t>
        </is>
      </c>
      <c r="H403" s="15" t="n">
        <v>37</v>
      </c>
      <c r="I403" s="15" t="n">
        <v>6</v>
      </c>
      <c r="J403" s="15" t="n">
        <v>14</v>
      </c>
      <c r="K403" s="15" t="n">
        <v>11</v>
      </c>
      <c r="L403" s="15" t="n">
        <v>0</v>
      </c>
      <c r="M403" s="15" t="n">
        <v>0</v>
      </c>
      <c r="N403" s="15" t="n">
        <v>0</v>
      </c>
      <c r="O403" s="15" t="n">
        <v>0</v>
      </c>
      <c r="P403" s="15" t="n">
        <v>0</v>
      </c>
      <c r="Q403" s="15" t="n">
        <v>0</v>
      </c>
      <c r="R403" s="15" t="n">
        <v>0</v>
      </c>
      <c r="S403" s="15" t="n">
        <v>9</v>
      </c>
      <c r="T403" s="14">
        <f>IF(COUNT(I403:S403)=0,"",SUM(I403:S403))</f>
        <v/>
      </c>
      <c r="U403" t="inlineStr"/>
    </row>
    <row r="404">
      <c r="A404" t="inlineStr">
        <is>
          <t>초량이편한어린이집</t>
        </is>
      </c>
      <c r="B404" t="inlineStr">
        <is>
          <t>어린이집</t>
        </is>
      </c>
      <c r="C404" t="inlineStr">
        <is>
          <t>국공립</t>
        </is>
      </c>
      <c r="D404" t="inlineStr">
        <is>
          <t>동구</t>
        </is>
      </c>
      <c r="E404" t="inlineStr">
        <is>
          <t>부산광역시 동구 홍곡로 50 (초량동, e편한세상 부산항)</t>
        </is>
      </c>
      <c r="F404" t="inlineStr"/>
      <c r="G404" t="inlineStr">
        <is>
          <t>051-469-5006</t>
        </is>
      </c>
      <c r="H404" s="15" t="n">
        <v>39</v>
      </c>
      <c r="I404" s="15" t="n">
        <v>6</v>
      </c>
      <c r="J404" s="15" t="n">
        <v>10</v>
      </c>
      <c r="K404" s="15" t="n">
        <v>14</v>
      </c>
      <c r="L404" s="15" t="n">
        <v>0</v>
      </c>
      <c r="M404" s="15" t="n">
        <v>0</v>
      </c>
      <c r="N404" s="15" t="n">
        <v>0</v>
      </c>
      <c r="O404" s="15" t="n">
        <v>0</v>
      </c>
      <c r="P404" s="15" t="n">
        <v>0</v>
      </c>
      <c r="Q404" s="15" t="n">
        <v>0</v>
      </c>
      <c r="R404" s="15" t="n">
        <v>0</v>
      </c>
      <c r="S404" s="15" t="n">
        <v>0</v>
      </c>
      <c r="T404" s="14">
        <f>IF(COUNT(I404:S404)=0,"",SUM(I404:S404))</f>
        <v/>
      </c>
      <c r="U404" t="inlineStr"/>
    </row>
    <row r="405">
      <c r="A405" t="inlineStr">
        <is>
          <t>행복누리어린이집</t>
        </is>
      </c>
      <c r="B405" t="inlineStr">
        <is>
          <t>어린이집</t>
        </is>
      </c>
      <c r="C405" t="inlineStr">
        <is>
          <t>직장</t>
        </is>
      </c>
      <c r="D405" t="inlineStr">
        <is>
          <t>동구</t>
        </is>
      </c>
      <c r="E405" t="inlineStr">
        <is>
          <t>부산광역시 동구 자성로 134 (범일동)</t>
        </is>
      </c>
      <c r="F405" t="inlineStr"/>
      <c r="G405" t="inlineStr">
        <is>
          <t>051-637-2527</t>
        </is>
      </c>
      <c r="H405" s="15" t="n">
        <v>67</v>
      </c>
      <c r="I405" s="15" t="n">
        <v>0</v>
      </c>
      <c r="J405" s="15" t="n">
        <v>15</v>
      </c>
      <c r="K405" s="15" t="n">
        <v>13</v>
      </c>
      <c r="L405" s="15" t="n">
        <v>5</v>
      </c>
      <c r="M405" s="15" t="n">
        <v>0</v>
      </c>
      <c r="N405" s="15" t="n">
        <v>0</v>
      </c>
      <c r="O405" s="15" t="n">
        <v>0</v>
      </c>
      <c r="P405" s="15" t="n">
        <v>8</v>
      </c>
      <c r="Q405" s="15" t="n">
        <v>0</v>
      </c>
      <c r="R405" s="15" t="n">
        <v>0</v>
      </c>
      <c r="S405" s="15" t="n">
        <v>18</v>
      </c>
      <c r="T405" s="14">
        <f>IF(COUNT(I405:S405)=0,"",SUM(I405:S405))</f>
        <v/>
      </c>
      <c r="U405" t="inlineStr"/>
    </row>
    <row r="406">
      <c r="A406" t="inlineStr">
        <is>
          <t>현대해상온마음어린이집</t>
        </is>
      </c>
      <c r="B406" t="inlineStr">
        <is>
          <t>어린이집</t>
        </is>
      </c>
      <c r="C406" t="inlineStr">
        <is>
          <t>직장</t>
        </is>
      </c>
      <c r="D406" t="inlineStr">
        <is>
          <t>동구</t>
        </is>
      </c>
      <c r="E406" t="inlineStr">
        <is>
          <t>부산광역시 동구 고관로13번길 31</t>
        </is>
      </c>
      <c r="F406" s="11" t="inlineStr">
        <is>
          <t>http://www.puruni.com/hibs</t>
        </is>
      </c>
      <c r="G406" t="inlineStr">
        <is>
          <t>051-468-9979</t>
        </is>
      </c>
      <c r="H406" s="15" t="n">
        <v>40</v>
      </c>
      <c r="I406" s="15" t="n">
        <v>0</v>
      </c>
      <c r="J406" s="15" t="n">
        <v>5</v>
      </c>
      <c r="K406" s="15" t="n">
        <v>3</v>
      </c>
      <c r="L406" s="15" t="n">
        <v>3</v>
      </c>
      <c r="M406" s="15" t="n">
        <v>0</v>
      </c>
      <c r="N406" s="15" t="n">
        <v>0</v>
      </c>
      <c r="O406" s="15" t="n">
        <v>0</v>
      </c>
      <c r="P406" s="15" t="n">
        <v>0</v>
      </c>
      <c r="Q406" s="15" t="n">
        <v>0</v>
      </c>
      <c r="R406" s="15" t="n">
        <v>0</v>
      </c>
      <c r="S406" s="15" t="n">
        <v>5</v>
      </c>
      <c r="T406" s="14">
        <f>IF(COUNT(I406:S406)=0,"",SUM(I406:S406))</f>
        <v/>
      </c>
      <c r="U406" t="inlineStr"/>
    </row>
    <row r="407">
      <c r="A407" t="inlineStr">
        <is>
          <t>효원 어린이집</t>
        </is>
      </c>
      <c r="B407" t="inlineStr">
        <is>
          <t>어린이집</t>
        </is>
      </c>
      <c r="C407" t="inlineStr">
        <is>
          <t>민간</t>
        </is>
      </c>
      <c r="D407" t="inlineStr">
        <is>
          <t>동구</t>
        </is>
      </c>
      <c r="E407" t="inlineStr">
        <is>
          <t>부산광역시 동구 고관로13번길 47 (초량동)</t>
        </is>
      </c>
      <c r="F407" t="inlineStr"/>
      <c r="G407" t="inlineStr">
        <is>
          <t>051-462-1002</t>
        </is>
      </c>
      <c r="H407" s="15" t="n">
        <v>92</v>
      </c>
      <c r="I407" s="15" t="n">
        <v>8</v>
      </c>
      <c r="J407" s="15" t="n">
        <v>29</v>
      </c>
      <c r="K407" s="15" t="n">
        <v>16</v>
      </c>
      <c r="L407" s="15" t="n">
        <v>0</v>
      </c>
      <c r="M407" s="15" t="n">
        <v>0</v>
      </c>
      <c r="N407" s="15" t="n">
        <v>0</v>
      </c>
      <c r="O407" s="15" t="n">
        <v>0</v>
      </c>
      <c r="P407" s="15" t="n">
        <v>9</v>
      </c>
      <c r="Q407" s="15" t="n">
        <v>0</v>
      </c>
      <c r="R407" s="15" t="n">
        <v>0</v>
      </c>
      <c r="S407" s="15" t="n">
        <v>9</v>
      </c>
      <c r="T407" s="14">
        <f>IF(COUNT(I407:S407)=0,"",SUM(I407:S407))</f>
        <v/>
      </c>
      <c r="U407" t="inlineStr"/>
    </row>
    <row r="408">
      <c r="A408" t="inlineStr">
        <is>
          <t>BR스쿨어린이집</t>
        </is>
      </c>
      <c r="B408" t="inlineStr">
        <is>
          <t>어린이집</t>
        </is>
      </c>
      <c r="C408" t="inlineStr">
        <is>
          <t>사회복지법인</t>
        </is>
      </c>
      <c r="D408" t="inlineStr">
        <is>
          <t>동래구</t>
        </is>
      </c>
      <c r="E408" t="inlineStr">
        <is>
          <t>부산광역시 동래구 쇠미로27번길 10 (사직2동)</t>
        </is>
      </c>
      <c r="F408" s="11" t="inlineStr">
        <is>
          <t>http://BR스쿨어린이집.COM</t>
        </is>
      </c>
      <c r="G408" t="inlineStr">
        <is>
          <t>051-504-8866</t>
        </is>
      </c>
      <c r="H408" s="15" t="n">
        <v>90</v>
      </c>
      <c r="I408" s="15" t="n">
        <v>0</v>
      </c>
      <c r="J408" s="15" t="n">
        <v>11</v>
      </c>
      <c r="K408" s="15" t="n">
        <v>12</v>
      </c>
      <c r="L408" s="15" t="n">
        <v>0</v>
      </c>
      <c r="M408" s="15" t="n">
        <v>0</v>
      </c>
      <c r="N408" s="15" t="n">
        <v>0</v>
      </c>
      <c r="O408" s="15" t="n">
        <v>0</v>
      </c>
      <c r="P408" s="15" t="n">
        <v>0</v>
      </c>
      <c r="Q408" s="15" t="n">
        <v>0</v>
      </c>
      <c r="R408" s="15" t="n">
        <v>0</v>
      </c>
      <c r="S408" s="15" t="n">
        <v>5</v>
      </c>
      <c r="T408" s="14">
        <f>IF(COUNT(I408:S408)=0,"",SUM(I408:S408))</f>
        <v/>
      </c>
      <c r="U408" t="inlineStr"/>
    </row>
    <row r="409">
      <c r="A409" t="inlineStr">
        <is>
          <t>강변뜨란채어린이집</t>
        </is>
      </c>
      <c r="B409" t="inlineStr">
        <is>
          <t>어린이집</t>
        </is>
      </c>
      <c r="C409" t="inlineStr">
        <is>
          <t>국공립</t>
        </is>
      </c>
      <c r="D409" t="inlineStr">
        <is>
          <t>동래구</t>
        </is>
      </c>
      <c r="E409" t="inlineStr">
        <is>
          <t>부산광역시 동래구 안남로 79 관리동 1층(강변뜨란채아파트)</t>
        </is>
      </c>
      <c r="F409" t="inlineStr"/>
      <c r="G409" t="inlineStr">
        <is>
          <t>051-529-0032</t>
        </is>
      </c>
      <c r="H409" s="15" t="n">
        <v>28</v>
      </c>
      <c r="I409" s="15" t="n">
        <v>6</v>
      </c>
      <c r="J409" s="15" t="n">
        <v>12</v>
      </c>
      <c r="K409" s="15" t="n">
        <v>7</v>
      </c>
      <c r="L409" s="15" t="n">
        <v>0</v>
      </c>
      <c r="M409" s="15" t="n">
        <v>0</v>
      </c>
      <c r="N409" s="15" t="n">
        <v>0</v>
      </c>
      <c r="O409" s="15" t="n">
        <v>0</v>
      </c>
      <c r="P409" s="15" t="n">
        <v>0</v>
      </c>
      <c r="Q409" s="15" t="n">
        <v>0</v>
      </c>
      <c r="R409" s="15" t="n">
        <v>0</v>
      </c>
      <c r="S409" s="15" t="n">
        <v>5</v>
      </c>
      <c r="T409" s="14">
        <f>IF(COUNT(I409:S409)=0,"",SUM(I409:S409))</f>
        <v/>
      </c>
      <c r="U409" t="inlineStr"/>
    </row>
    <row r="410">
      <c r="A410" t="inlineStr">
        <is>
          <t>경동아이숲어린이집</t>
        </is>
      </c>
      <c r="B410" t="inlineStr">
        <is>
          <t>어린이집</t>
        </is>
      </c>
      <c r="C410" t="inlineStr">
        <is>
          <t>가정</t>
        </is>
      </c>
      <c r="D410" t="inlineStr">
        <is>
          <t>동래구</t>
        </is>
      </c>
      <c r="E410" t="inlineStr">
        <is>
          <t>부산광역시 동래구 충렬대로446번길 67 경동리인1차아파트 관리동1층</t>
        </is>
      </c>
      <c r="F410" t="inlineStr"/>
      <c r="G410" t="inlineStr">
        <is>
          <t>051-523-2007</t>
        </is>
      </c>
      <c r="H410" s="15" t="n">
        <v>19</v>
      </c>
      <c r="I410" s="15" t="n">
        <v>3</v>
      </c>
      <c r="J410" s="15" t="n">
        <v>0</v>
      </c>
      <c r="K410" s="15" t="n">
        <v>0</v>
      </c>
      <c r="L410" s="15" t="n">
        <v>0</v>
      </c>
      <c r="M410" s="15" t="n">
        <v>0</v>
      </c>
      <c r="N410" s="15" t="n">
        <v>0</v>
      </c>
      <c r="O410" s="15" t="n">
        <v>5</v>
      </c>
      <c r="P410" s="15" t="n">
        <v>0</v>
      </c>
      <c r="Q410" s="15" t="n">
        <v>0</v>
      </c>
      <c r="R410" s="15" t="n">
        <v>0</v>
      </c>
      <c r="S410" s="15" t="n">
        <v>3</v>
      </c>
      <c r="T410" s="14">
        <f>IF(COUNT(I410:S410)=0,"",SUM(I410:S410))</f>
        <v/>
      </c>
      <c r="U410" t="inlineStr"/>
    </row>
    <row r="411">
      <c r="A411" t="inlineStr">
        <is>
          <t>금강어린이집</t>
        </is>
      </c>
      <c r="B411" t="inlineStr">
        <is>
          <t>어린이집</t>
        </is>
      </c>
      <c r="C411" t="inlineStr">
        <is>
          <t>가정</t>
        </is>
      </c>
      <c r="D411" t="inlineStr">
        <is>
          <t>동래구</t>
        </is>
      </c>
      <c r="E411" t="inlineStr">
        <is>
          <t>부산광역시 동래구 아시아드대로247번길 53 102호(온천3동, 유림빌라)</t>
        </is>
      </c>
      <c r="F411" t="inlineStr"/>
      <c r="G411" t="inlineStr">
        <is>
          <t>051-505-4492</t>
        </is>
      </c>
      <c r="H411" s="15" t="n">
        <v>20</v>
      </c>
      <c r="I411" s="15" t="n">
        <v>7</v>
      </c>
      <c r="J411" s="15" t="n">
        <v>3</v>
      </c>
      <c r="K411" s="15" t="n">
        <v>6</v>
      </c>
      <c r="L411" s="15" t="n">
        <v>0</v>
      </c>
      <c r="M411" s="15" t="n">
        <v>0</v>
      </c>
      <c r="N411" s="15" t="n">
        <v>0</v>
      </c>
      <c r="O411" s="15" t="n">
        <v>0</v>
      </c>
      <c r="P411" s="15" t="n">
        <v>0</v>
      </c>
      <c r="Q411" s="15" t="n">
        <v>0</v>
      </c>
      <c r="R411" s="15" t="n">
        <v>0</v>
      </c>
      <c r="S411" s="15" t="n">
        <v>3</v>
      </c>
      <c r="T411" s="14">
        <f>IF(COUNT(I411:S411)=0,"",SUM(I411:S411))</f>
        <v/>
      </c>
      <c r="U411" t="inlineStr"/>
    </row>
    <row r="412">
      <c r="A412" t="inlineStr">
        <is>
          <t>꼬마피카소어린이집</t>
        </is>
      </c>
      <c r="B412" t="inlineStr">
        <is>
          <t>어린이집</t>
        </is>
      </c>
      <c r="C412" t="inlineStr">
        <is>
          <t>민간</t>
        </is>
      </c>
      <c r="D412" t="inlineStr">
        <is>
          <t>동래구</t>
        </is>
      </c>
      <c r="E412" t="inlineStr">
        <is>
          <t>부산광역시 동래구 명서로112번가길 25 (명장2동)</t>
        </is>
      </c>
      <c r="F412" t="inlineStr"/>
      <c r="G412" t="inlineStr">
        <is>
          <t>051-527-5162</t>
        </is>
      </c>
      <c r="H412" s="15" t="n">
        <v>39</v>
      </c>
      <c r="I412" s="15" t="n">
        <v>1</v>
      </c>
      <c r="J412" s="15" t="n">
        <v>0</v>
      </c>
      <c r="K412" s="15" t="n">
        <v>0</v>
      </c>
      <c r="L412" s="15" t="n">
        <v>0</v>
      </c>
      <c r="M412" s="15" t="n">
        <v>0</v>
      </c>
      <c r="N412" s="15" t="n">
        <v>0</v>
      </c>
      <c r="O412" s="15" t="n">
        <v>4</v>
      </c>
      <c r="P412" s="15" t="n">
        <v>8</v>
      </c>
      <c r="Q412" s="15" t="n">
        <v>0</v>
      </c>
      <c r="R412" s="15" t="n">
        <v>0</v>
      </c>
      <c r="S412" s="15" t="n">
        <v>4</v>
      </c>
      <c r="T412" s="14">
        <f>IF(COUNT(I412:S412)=0,"",SUM(I412:S412))</f>
        <v/>
      </c>
      <c r="U412" t="inlineStr"/>
    </row>
    <row r="413">
      <c r="A413" t="inlineStr">
        <is>
          <t>낙민아라빌어린이집</t>
        </is>
      </c>
      <c r="B413" t="inlineStr">
        <is>
          <t>어린이집</t>
        </is>
      </c>
      <c r="C413" t="inlineStr">
        <is>
          <t>국공립</t>
        </is>
      </c>
      <c r="D413" t="inlineStr">
        <is>
          <t>동래구</t>
        </is>
      </c>
      <c r="E413" t="inlineStr">
        <is>
          <t>부산광역시 동래구 안남로31번길 21</t>
        </is>
      </c>
      <c r="F413" t="inlineStr"/>
      <c r="G413" t="inlineStr">
        <is>
          <t>051-557-0337</t>
        </is>
      </c>
      <c r="H413" s="15" t="n">
        <v>69</v>
      </c>
      <c r="I413" s="15" t="n">
        <v>3</v>
      </c>
      <c r="J413" s="15" t="n">
        <v>13</v>
      </c>
      <c r="K413" s="15" t="n">
        <v>13</v>
      </c>
      <c r="L413" s="15" t="n">
        <v>0</v>
      </c>
      <c r="M413" s="15" t="n">
        <v>0</v>
      </c>
      <c r="N413" s="15" t="n">
        <v>0</v>
      </c>
      <c r="O413" s="15" t="n">
        <v>0</v>
      </c>
      <c r="P413" s="15" t="n">
        <v>0</v>
      </c>
      <c r="Q413" s="15" t="n">
        <v>0</v>
      </c>
      <c r="R413" s="15" t="n">
        <v>0</v>
      </c>
      <c r="S413" s="15" t="n">
        <v>5</v>
      </c>
      <c r="T413" s="14">
        <f>IF(COUNT(I413:S413)=0,"",SUM(I413:S413))</f>
        <v/>
      </c>
      <c r="U413" t="inlineStr"/>
    </row>
    <row r="414">
      <c r="A414" t="inlineStr">
        <is>
          <t>늘사랑어린이집</t>
        </is>
      </c>
      <c r="B414" t="inlineStr">
        <is>
          <t>어린이집</t>
        </is>
      </c>
      <c r="C414" t="inlineStr">
        <is>
          <t>가정</t>
        </is>
      </c>
      <c r="D414" t="inlineStr">
        <is>
          <t>동래구</t>
        </is>
      </c>
      <c r="E414" t="inlineStr">
        <is>
          <t>부산광역시 동래구 안남로31번길 10 101동 108호(낙민동, 중앙하이츠아파트)</t>
        </is>
      </c>
      <c r="F414" t="inlineStr"/>
      <c r="G414" t="inlineStr">
        <is>
          <t>051-521-3592</t>
        </is>
      </c>
      <c r="H414" s="15" t="n">
        <v>20</v>
      </c>
      <c r="I414" s="15" t="n">
        <v>5</v>
      </c>
      <c r="J414" s="15" t="n">
        <v>8</v>
      </c>
      <c r="K414" s="15" t="n">
        <v>6</v>
      </c>
      <c r="L414" s="15" t="n">
        <v>0</v>
      </c>
      <c r="M414" s="15" t="n">
        <v>0</v>
      </c>
      <c r="N414" s="15" t="n">
        <v>0</v>
      </c>
      <c r="O414" s="15" t="n">
        <v>0</v>
      </c>
      <c r="P414" s="15" t="n">
        <v>0</v>
      </c>
      <c r="Q414" s="15" t="n">
        <v>0</v>
      </c>
      <c r="R414" s="15" t="n">
        <v>0</v>
      </c>
      <c r="S414" s="15" t="n">
        <v>5</v>
      </c>
      <c r="T414" s="14">
        <f>IF(COUNT(I414:S414)=0,"",SUM(I414:S414))</f>
        <v/>
      </c>
      <c r="U414" t="inlineStr"/>
    </row>
    <row r="415">
      <c r="A415" t="inlineStr">
        <is>
          <t>늘푸른어린이집</t>
        </is>
      </c>
      <c r="B415" t="inlineStr">
        <is>
          <t>어린이집</t>
        </is>
      </c>
      <c r="C415" t="inlineStr">
        <is>
          <t>협동</t>
        </is>
      </c>
      <c r="D415" t="inlineStr">
        <is>
          <t>동래구</t>
        </is>
      </c>
      <c r="E415" t="inlineStr">
        <is>
          <t>부산광역시 동래구 시실로 49 명륜동, 명륜2차아이파크</t>
        </is>
      </c>
      <c r="F415" t="inlineStr"/>
      <c r="G415" t="inlineStr">
        <is>
          <t>051-554-0882</t>
        </is>
      </c>
      <c r="H415" s="15" t="n">
        <v>49</v>
      </c>
      <c r="I415" s="15" t="n">
        <v>12</v>
      </c>
      <c r="J415" s="15" t="n">
        <v>14</v>
      </c>
      <c r="K415" s="15" t="n">
        <v>13</v>
      </c>
      <c r="L415" s="15" t="n">
        <v>0</v>
      </c>
      <c r="M415" s="15" t="n">
        <v>0</v>
      </c>
      <c r="N415" s="15" t="n">
        <v>0</v>
      </c>
      <c r="O415" s="15" t="n">
        <v>0</v>
      </c>
      <c r="P415" s="15" t="n">
        <v>0</v>
      </c>
      <c r="Q415" s="15" t="n">
        <v>0</v>
      </c>
      <c r="R415" s="15" t="n">
        <v>0</v>
      </c>
      <c r="S415" s="15" t="n">
        <v>5</v>
      </c>
      <c r="T415" s="14">
        <f>IF(COUNT(I415:S415)=0,"",SUM(I415:S415))</f>
        <v/>
      </c>
      <c r="U415" t="inlineStr"/>
    </row>
    <row r="416">
      <c r="A416" t="inlineStr">
        <is>
          <t>단비어린이집</t>
        </is>
      </c>
      <c r="B416" t="inlineStr">
        <is>
          <t>어린이집</t>
        </is>
      </c>
      <c r="C416" t="inlineStr">
        <is>
          <t>국공립</t>
        </is>
      </c>
      <c r="D416" t="inlineStr">
        <is>
          <t>동래구</t>
        </is>
      </c>
      <c r="E416" t="inlineStr">
        <is>
          <t>부산광역시 동래구 석사로18번길 31 (사직1동)</t>
        </is>
      </c>
      <c r="F416" t="inlineStr"/>
      <c r="G416" t="inlineStr">
        <is>
          <t>051-501-8326</t>
        </is>
      </c>
      <c r="H416" s="15" t="n">
        <v>77</v>
      </c>
      <c r="I416" s="15" t="n">
        <v>4</v>
      </c>
      <c r="J416" s="15" t="n">
        <v>10</v>
      </c>
      <c r="K416" s="15" t="n">
        <v>12</v>
      </c>
      <c r="L416" s="15" t="n">
        <v>14</v>
      </c>
      <c r="M416" s="15" t="n">
        <v>0</v>
      </c>
      <c r="N416" s="15" t="n">
        <v>0</v>
      </c>
      <c r="O416" s="15" t="n">
        <v>0</v>
      </c>
      <c r="P416" s="15" t="n">
        <v>17</v>
      </c>
      <c r="Q416" s="15" t="n">
        <v>0</v>
      </c>
      <c r="R416" s="15" t="n">
        <v>0</v>
      </c>
      <c r="S416" s="15" t="n">
        <v>17</v>
      </c>
      <c r="T416" s="14">
        <f>IF(COUNT(I416:S416)=0,"",SUM(I416:S416))</f>
        <v/>
      </c>
      <c r="U416" t="inlineStr"/>
    </row>
    <row r="417">
      <c r="A417" t="inlineStr">
        <is>
          <t>더샵동래어린이집</t>
        </is>
      </c>
      <c r="B417" t="inlineStr">
        <is>
          <t>어린이집</t>
        </is>
      </c>
      <c r="C417" t="inlineStr">
        <is>
          <t>국공립</t>
        </is>
      </c>
      <c r="D417" t="inlineStr">
        <is>
          <t>동래구</t>
        </is>
      </c>
      <c r="E417" t="inlineStr">
        <is>
          <t>부산광역시 동래구 온천장로 38</t>
        </is>
      </c>
      <c r="F417" t="inlineStr"/>
      <c r="G417" t="inlineStr">
        <is>
          <t>051-557-3300</t>
        </is>
      </c>
      <c r="H417" s="15" t="n">
        <v>49</v>
      </c>
      <c r="I417" s="15" t="n">
        <v>9</v>
      </c>
      <c r="J417" s="15" t="n">
        <v>20</v>
      </c>
      <c r="K417" s="15" t="n">
        <v>20</v>
      </c>
      <c r="L417" s="15" t="n">
        <v>0</v>
      </c>
      <c r="M417" s="15" t="n">
        <v>0</v>
      </c>
      <c r="N417" s="15" t="n">
        <v>0</v>
      </c>
      <c r="O417" s="15" t="n">
        <v>0</v>
      </c>
      <c r="P417" s="15" t="n">
        <v>0</v>
      </c>
      <c r="Q417" s="15" t="n">
        <v>0</v>
      </c>
      <c r="R417" s="15" t="n">
        <v>0</v>
      </c>
      <c r="S417" s="15" t="n">
        <v>5</v>
      </c>
      <c r="T417" s="14">
        <f>IF(COUNT(I417:S417)=0,"",SUM(I417:S417))</f>
        <v/>
      </c>
      <c r="U417" t="inlineStr"/>
    </row>
    <row r="418">
      <c r="A418" t="inlineStr">
        <is>
          <t>더클래식어린이집</t>
        </is>
      </c>
      <c r="B418" t="inlineStr">
        <is>
          <t>어린이집</t>
        </is>
      </c>
      <c r="C418" t="inlineStr">
        <is>
          <t>민간</t>
        </is>
      </c>
      <c r="D418" t="inlineStr">
        <is>
          <t>동래구</t>
        </is>
      </c>
      <c r="E418" t="inlineStr">
        <is>
          <t>부산광역시 동래구 아시아드대로146번길 1 (사직동,사직롯데더클래식)</t>
        </is>
      </c>
      <c r="F418" t="inlineStr"/>
      <c r="G418" t="inlineStr">
        <is>
          <t>051-505-2785</t>
        </is>
      </c>
      <c r="H418" s="15" t="n">
        <v>59</v>
      </c>
      <c r="I418" s="15" t="n">
        <v>4</v>
      </c>
      <c r="J418" s="15" t="n">
        <v>18</v>
      </c>
      <c r="K418" s="15" t="n">
        <v>18</v>
      </c>
      <c r="L418" s="15" t="n">
        <v>0</v>
      </c>
      <c r="M418" s="15" t="n">
        <v>0</v>
      </c>
      <c r="N418" s="15" t="n">
        <v>0</v>
      </c>
      <c r="O418" s="15" t="n">
        <v>0</v>
      </c>
      <c r="P418" s="15" t="n">
        <v>0</v>
      </c>
      <c r="Q418" s="15" t="n">
        <v>0</v>
      </c>
      <c r="R418" s="15" t="n">
        <v>0</v>
      </c>
      <c r="S418" s="15" t="n">
        <v>5</v>
      </c>
      <c r="T418" s="14">
        <f>IF(COUNT(I418:S418)=0,"",SUM(I418:S418))</f>
        <v/>
      </c>
      <c r="U418" t="inlineStr"/>
    </row>
    <row r="419">
      <c r="A419" t="inlineStr">
        <is>
          <t>동래3차SK뷰어린이집</t>
        </is>
      </c>
      <c r="B419" t="inlineStr">
        <is>
          <t>어린이집</t>
        </is>
      </c>
      <c r="C419" t="inlineStr">
        <is>
          <t>국공립</t>
        </is>
      </c>
      <c r="D419" t="inlineStr">
        <is>
          <t>동래구</t>
        </is>
      </c>
      <c r="E419" t="inlineStr">
        <is>
          <t>부산광역시 동래구 온천장로65번길 9</t>
        </is>
      </c>
      <c r="F419" t="inlineStr"/>
      <c r="G419" t="inlineStr">
        <is>
          <t>051-977-3004</t>
        </is>
      </c>
      <c r="H419" s="15" t="n">
        <v>90</v>
      </c>
      <c r="I419" s="15" t="n">
        <v>6</v>
      </c>
      <c r="J419" s="15" t="n">
        <v>29</v>
      </c>
      <c r="K419" s="15" t="n">
        <v>35</v>
      </c>
      <c r="L419" s="15" t="n">
        <v>0</v>
      </c>
      <c r="M419" s="15" t="n">
        <v>0</v>
      </c>
      <c r="N419" s="15" t="n">
        <v>0</v>
      </c>
      <c r="O419" s="15" t="n">
        <v>0</v>
      </c>
      <c r="P419" s="15" t="n">
        <v>10</v>
      </c>
      <c r="Q419" s="15" t="n">
        <v>0</v>
      </c>
      <c r="R419" s="15" t="n">
        <v>0</v>
      </c>
      <c r="S419" s="15" t="n">
        <v>5</v>
      </c>
      <c r="T419" s="14">
        <f>IF(COUNT(I419:S419)=0,"",SUM(I419:S419))</f>
        <v/>
      </c>
      <c r="U419" t="inlineStr"/>
    </row>
    <row r="420">
      <c r="A420" t="inlineStr">
        <is>
          <t>동래구청직장어린이집</t>
        </is>
      </c>
      <c r="B420" t="inlineStr">
        <is>
          <t>어린이집</t>
        </is>
      </c>
      <c r="C420" t="inlineStr">
        <is>
          <t>직장</t>
        </is>
      </c>
      <c r="D420" t="inlineStr">
        <is>
          <t>동래구</t>
        </is>
      </c>
      <c r="E420" t="inlineStr">
        <is>
          <t>부산광역시 동래구 충렬대로237번길 93 동래구청직장어린이집</t>
        </is>
      </c>
      <c r="F420" t="inlineStr"/>
      <c r="G420" t="inlineStr">
        <is>
          <t>051-550-5899</t>
        </is>
      </c>
      <c r="H420" s="15" t="n">
        <v>55</v>
      </c>
      <c r="I420" s="15" t="n">
        <v>6</v>
      </c>
      <c r="J420" s="15" t="n">
        <v>5</v>
      </c>
      <c r="K420" s="15" t="n">
        <v>6</v>
      </c>
      <c r="L420" s="15" t="n">
        <v>0</v>
      </c>
      <c r="M420" s="15" t="n">
        <v>0</v>
      </c>
      <c r="N420" s="15" t="n">
        <v>0</v>
      </c>
      <c r="O420" s="15" t="n">
        <v>0</v>
      </c>
      <c r="P420" s="15" t="n">
        <v>0</v>
      </c>
      <c r="Q420" s="15" t="n">
        <v>0</v>
      </c>
      <c r="R420" s="15" t="n">
        <v>0</v>
      </c>
      <c r="S420" s="15" t="n">
        <v>4</v>
      </c>
      <c r="T420" s="14">
        <f>IF(COUNT(I420:S420)=0,"",SUM(I420:S420))</f>
        <v/>
      </c>
      <c r="U420" t="inlineStr"/>
    </row>
    <row r="421">
      <c r="A421" t="inlineStr">
        <is>
          <t>동래꿈에그린어린이집</t>
        </is>
      </c>
      <c r="B421" t="inlineStr">
        <is>
          <t>어린이집</t>
        </is>
      </c>
      <c r="C421" t="inlineStr">
        <is>
          <t>국공립</t>
        </is>
      </c>
      <c r="D421" t="inlineStr">
        <is>
          <t>동래구</t>
        </is>
      </c>
      <c r="E421" t="inlineStr">
        <is>
          <t>부산광역시 동래구 온천천로339번길 51</t>
        </is>
      </c>
      <c r="F421" t="inlineStr"/>
      <c r="G421" t="inlineStr">
        <is>
          <t>051-914-2004</t>
        </is>
      </c>
      <c r="H421" s="15" t="n">
        <v>65</v>
      </c>
      <c r="I421" s="15" t="n">
        <v>8</v>
      </c>
      <c r="J421" s="15" t="n">
        <v>15</v>
      </c>
      <c r="K421" s="15" t="n">
        <v>27</v>
      </c>
      <c r="L421" s="15" t="n">
        <v>0</v>
      </c>
      <c r="M421" s="15" t="n">
        <v>0</v>
      </c>
      <c r="N421" s="15" t="n">
        <v>0</v>
      </c>
      <c r="O421" s="15" t="n">
        <v>0</v>
      </c>
      <c r="P421" s="15" t="n">
        <v>11</v>
      </c>
      <c r="Q421" s="15" t="n">
        <v>0</v>
      </c>
      <c r="R421" s="15" t="n">
        <v>3</v>
      </c>
      <c r="S421" s="15" t="n">
        <v>14</v>
      </c>
      <c r="T421" s="14">
        <f>IF(COUNT(I421:S421)=0,"",SUM(I421:S421))</f>
        <v/>
      </c>
      <c r="U421" t="inlineStr"/>
    </row>
    <row r="422">
      <c r="A422" t="inlineStr">
        <is>
          <t>동래동일어린이집</t>
        </is>
      </c>
      <c r="B422" t="inlineStr">
        <is>
          <t>어린이집</t>
        </is>
      </c>
      <c r="C422" t="inlineStr">
        <is>
          <t>국공립</t>
        </is>
      </c>
      <c r="D422" t="inlineStr">
        <is>
          <t>동래구</t>
        </is>
      </c>
      <c r="E422" t="inlineStr">
        <is>
          <t>부산광역시 동래구 시실로 119 관리동 1층(명장2동, 동일스위트아파트)</t>
        </is>
      </c>
      <c r="F422" s="11" t="inlineStr">
        <is>
          <t>https://www.instagram.com/kids_dongil</t>
        </is>
      </c>
      <c r="G422" t="inlineStr">
        <is>
          <t>051-532-0179</t>
        </is>
      </c>
      <c r="H422" s="15" t="n">
        <v>49</v>
      </c>
      <c r="I422" s="15" t="n">
        <v>0</v>
      </c>
      <c r="J422" s="15" t="n">
        <v>15</v>
      </c>
      <c r="K422" s="15" t="n">
        <v>23</v>
      </c>
      <c r="L422" s="15" t="n">
        <v>8</v>
      </c>
      <c r="M422" s="15" t="n">
        <v>0</v>
      </c>
      <c r="N422" s="15" t="n">
        <v>0</v>
      </c>
      <c r="O422" s="15" t="n">
        <v>0</v>
      </c>
      <c r="P422" s="15" t="n">
        <v>0</v>
      </c>
      <c r="Q422" s="15" t="n">
        <v>0</v>
      </c>
      <c r="R422" s="15" t="n">
        <v>2</v>
      </c>
      <c r="S422" s="15" t="n">
        <v>31</v>
      </c>
      <c r="T422" s="14">
        <f>IF(COUNT(I422:S422)=0,"",SUM(I422:S422))</f>
        <v/>
      </c>
      <c r="U422" t="inlineStr"/>
    </row>
    <row r="423">
      <c r="A423" t="inlineStr">
        <is>
          <t>동래래미안아이파크1단지어린이집</t>
        </is>
      </c>
      <c r="B423" t="inlineStr">
        <is>
          <t>어린이집</t>
        </is>
      </c>
      <c r="C423" t="inlineStr">
        <is>
          <t>국공립</t>
        </is>
      </c>
      <c r="D423" t="inlineStr">
        <is>
          <t>동래구</t>
        </is>
      </c>
      <c r="E423" t="inlineStr">
        <is>
          <t>부산광역시 동래구 금정마을로 147</t>
        </is>
      </c>
      <c r="F423" t="inlineStr"/>
      <c r="G423" t="inlineStr">
        <is>
          <t>051-553-1004</t>
        </is>
      </c>
      <c r="H423" s="15" t="n">
        <v>46</v>
      </c>
      <c r="I423" s="15" t="n">
        <v>6</v>
      </c>
      <c r="J423" s="15" t="n">
        <v>20</v>
      </c>
      <c r="K423" s="15" t="n">
        <v>20</v>
      </c>
      <c r="L423" s="15" t="n">
        <v>0</v>
      </c>
      <c r="M423" s="15" t="n">
        <v>0</v>
      </c>
      <c r="N423" s="15" t="n">
        <v>0</v>
      </c>
      <c r="O423" s="15" t="n">
        <v>0</v>
      </c>
      <c r="P423" s="15" t="n">
        <v>0</v>
      </c>
      <c r="Q423" s="15" t="n">
        <v>0</v>
      </c>
      <c r="R423" s="15" t="n">
        <v>0</v>
      </c>
      <c r="S423" s="15" t="n">
        <v>10</v>
      </c>
      <c r="T423" s="14">
        <f>IF(COUNT(I423:S423)=0,"",SUM(I423:S423))</f>
        <v/>
      </c>
      <c r="U423" t="inlineStr"/>
    </row>
    <row r="424">
      <c r="A424" t="inlineStr">
        <is>
          <t>동래래미안아이파크2단지어린이집</t>
        </is>
      </c>
      <c r="B424" t="inlineStr">
        <is>
          <t>어린이집</t>
        </is>
      </c>
      <c r="C424" t="inlineStr">
        <is>
          <t>국공립</t>
        </is>
      </c>
      <c r="D424" t="inlineStr">
        <is>
          <t>동래구</t>
        </is>
      </c>
      <c r="E424" t="inlineStr">
        <is>
          <t>부산광역시 동래구 금정마을로 150</t>
        </is>
      </c>
      <c r="F424" t="inlineStr"/>
      <c r="G424" t="inlineStr">
        <is>
          <t>051-553-5004</t>
        </is>
      </c>
      <c r="H424" s="15" t="n">
        <v>93</v>
      </c>
      <c r="I424" s="15" t="n">
        <v>6</v>
      </c>
      <c r="J424" s="15" t="n">
        <v>13</v>
      </c>
      <c r="K424" s="15" t="n">
        <v>19</v>
      </c>
      <c r="L424" s="15" t="n">
        <v>20</v>
      </c>
      <c r="M424" s="15" t="n">
        <v>19</v>
      </c>
      <c r="N424" s="15" t="n">
        <v>13</v>
      </c>
      <c r="O424" s="15" t="n">
        <v>0</v>
      </c>
      <c r="P424" s="15" t="n">
        <v>0</v>
      </c>
      <c r="Q424" s="15" t="n">
        <v>0</v>
      </c>
      <c r="R424" s="15" t="n">
        <v>0</v>
      </c>
      <c r="S424" s="15" t="n">
        <v>34</v>
      </c>
      <c r="T424" s="14">
        <f>IF(COUNT(I424:S424)=0,"",SUM(I424:S424))</f>
        <v/>
      </c>
      <c r="U424" t="inlineStr"/>
    </row>
    <row r="425">
      <c r="A425" t="inlineStr">
        <is>
          <t>동래래미안아이파크3단지어린이집</t>
        </is>
      </c>
      <c r="B425" t="inlineStr">
        <is>
          <t>어린이집</t>
        </is>
      </c>
      <c r="C425" t="inlineStr">
        <is>
          <t>국공립</t>
        </is>
      </c>
      <c r="D425" t="inlineStr">
        <is>
          <t>동래구</t>
        </is>
      </c>
      <c r="E425" t="inlineStr">
        <is>
          <t>부산광역시 동래구 충렬대로107번길 65</t>
        </is>
      </c>
      <c r="F425" t="inlineStr"/>
      <c r="G425" t="inlineStr">
        <is>
          <t>051-932-3330</t>
        </is>
      </c>
      <c r="H425" s="15" t="n">
        <v>84</v>
      </c>
      <c r="I425" s="15" t="n">
        <v>6</v>
      </c>
      <c r="J425" s="15" t="n">
        <v>10</v>
      </c>
      <c r="K425" s="15" t="n">
        <v>14</v>
      </c>
      <c r="L425" s="15" t="n">
        <v>14</v>
      </c>
      <c r="M425" s="15" t="n">
        <v>7</v>
      </c>
      <c r="N425" s="15" t="n">
        <v>14</v>
      </c>
      <c r="O425" s="15" t="n">
        <v>0</v>
      </c>
      <c r="P425" s="15" t="n">
        <v>0</v>
      </c>
      <c r="Q425" s="15" t="n">
        <v>0</v>
      </c>
      <c r="R425" s="15" t="n">
        <v>2</v>
      </c>
      <c r="S425" s="15" t="n">
        <v>35</v>
      </c>
      <c r="T425" s="14">
        <f>IF(COUNT(I425:S425)=0,"",SUM(I425:S425))</f>
        <v/>
      </c>
      <c r="U425" t="inlineStr"/>
    </row>
    <row r="426">
      <c r="A426" t="inlineStr">
        <is>
          <t>동래래미안포레스티지1단지어린이집</t>
        </is>
      </c>
      <c r="B426" t="inlineStr">
        <is>
          <t>어린이집</t>
        </is>
      </c>
      <c r="C426" t="inlineStr">
        <is>
          <t>국공립</t>
        </is>
      </c>
      <c r="D426" t="inlineStr">
        <is>
          <t>동래구</t>
        </is>
      </c>
      <c r="E426" t="inlineStr">
        <is>
          <t>부산광역시 동래구 금강로151번길 46 동래래미안포레스티지1단지 어린이집</t>
        </is>
      </c>
      <c r="F426" t="inlineStr"/>
      <c r="G426" t="inlineStr">
        <is>
          <t>051-553-7130</t>
        </is>
      </c>
      <c r="H426" s="15" t="n">
        <v>90</v>
      </c>
      <c r="I426" s="15" t="n">
        <v>5</v>
      </c>
      <c r="J426" s="15" t="n">
        <v>30</v>
      </c>
      <c r="K426" s="15" t="n">
        <v>26</v>
      </c>
      <c r="L426" s="15" t="n">
        <v>0</v>
      </c>
      <c r="M426" s="15" t="n">
        <v>0</v>
      </c>
      <c r="N426" s="15" t="n">
        <v>0</v>
      </c>
      <c r="O426" s="15" t="n">
        <v>0</v>
      </c>
      <c r="P426" s="15" t="n">
        <v>6</v>
      </c>
      <c r="Q426" s="15" t="n">
        <v>0</v>
      </c>
      <c r="R426" s="15" t="n">
        <v>0</v>
      </c>
      <c r="S426" s="15" t="n">
        <v>10</v>
      </c>
      <c r="T426" s="14">
        <f>IF(COUNT(I426:S426)=0,"",SUM(I426:S426))</f>
        <v/>
      </c>
      <c r="U426" t="inlineStr"/>
    </row>
    <row r="427">
      <c r="A427" t="inlineStr">
        <is>
          <t>동래래미안포레스티지2단지어린이집</t>
        </is>
      </c>
      <c r="B427" t="inlineStr">
        <is>
          <t>어린이집</t>
        </is>
      </c>
      <c r="C427" t="inlineStr">
        <is>
          <t>국공립</t>
        </is>
      </c>
      <c r="D427" t="inlineStr">
        <is>
          <t>동래구</t>
        </is>
      </c>
      <c r="E427" t="inlineStr">
        <is>
          <t>부산광역시 동래구 금강로131번길 42 동래래미안포레스티지2단지어린이집</t>
        </is>
      </c>
      <c r="F427" t="inlineStr"/>
      <c r="G427" t="inlineStr">
        <is>
          <t>051-554-2012</t>
        </is>
      </c>
      <c r="H427" s="15" t="n">
        <v>90</v>
      </c>
      <c r="I427" s="15" t="n">
        <v>0</v>
      </c>
      <c r="J427" s="15" t="n">
        <v>13</v>
      </c>
      <c r="K427" s="15" t="n">
        <v>25</v>
      </c>
      <c r="L427" s="15" t="n">
        <v>17</v>
      </c>
      <c r="M427" s="15" t="n">
        <v>20</v>
      </c>
      <c r="N427" s="15" t="n">
        <v>12</v>
      </c>
      <c r="O427" s="15" t="n">
        <v>0</v>
      </c>
      <c r="P427" s="15" t="n">
        <v>0</v>
      </c>
      <c r="Q427" s="15" t="n">
        <v>0</v>
      </c>
      <c r="R427" s="15" t="n">
        <v>0</v>
      </c>
      <c r="S427" s="15" t="n">
        <v>40</v>
      </c>
      <c r="T427" s="14">
        <f>IF(COUNT(I427:S427)=0,"",SUM(I427:S427))</f>
        <v/>
      </c>
      <c r="U427" t="inlineStr"/>
    </row>
    <row r="428">
      <c r="A428" t="inlineStr">
        <is>
          <t>동래래미안포레스티지3단지어린이집</t>
        </is>
      </c>
      <c r="B428" t="inlineStr">
        <is>
          <t>어린이집</t>
        </is>
      </c>
      <c r="C428" t="inlineStr">
        <is>
          <t>국공립</t>
        </is>
      </c>
      <c r="D428" t="inlineStr">
        <is>
          <t>동래구</t>
        </is>
      </c>
      <c r="E428" t="inlineStr">
        <is>
          <t>부산광역시 동래구 금강로131번길 41 동래래미안포레스티지3단지어린이집</t>
        </is>
      </c>
      <c r="F428" t="inlineStr"/>
      <c r="G428" t="inlineStr">
        <is>
          <t>051-556-6933</t>
        </is>
      </c>
      <c r="H428" s="15" t="n">
        <v>90</v>
      </c>
      <c r="I428" s="15" t="n">
        <v>9</v>
      </c>
      <c r="J428" s="15" t="n">
        <v>25</v>
      </c>
      <c r="K428" s="15" t="n">
        <v>28</v>
      </c>
      <c r="L428" s="15" t="n">
        <v>12</v>
      </c>
      <c r="M428" s="15" t="n">
        <v>0</v>
      </c>
      <c r="N428" s="15" t="n">
        <v>0</v>
      </c>
      <c r="O428" s="15" t="n">
        <v>0</v>
      </c>
      <c r="P428" s="15" t="n">
        <v>10</v>
      </c>
      <c r="Q428" s="15" t="n">
        <v>0</v>
      </c>
      <c r="R428" s="15" t="n">
        <v>0</v>
      </c>
      <c r="S428" s="15" t="n">
        <v>28</v>
      </c>
      <c r="T428" s="14">
        <f>IF(COUNT(I428:S428)=0,"",SUM(I428:S428))</f>
        <v/>
      </c>
      <c r="U428" t="inlineStr"/>
    </row>
    <row r="429">
      <c r="A429" t="inlineStr">
        <is>
          <t>동래행복주택어린이집</t>
        </is>
      </c>
      <c r="B429" t="inlineStr">
        <is>
          <t>어린이집</t>
        </is>
      </c>
      <c r="C429" t="inlineStr">
        <is>
          <t>국공립</t>
        </is>
      </c>
      <c r="D429" t="inlineStr">
        <is>
          <t>동래구</t>
        </is>
      </c>
      <c r="E429" t="inlineStr">
        <is>
          <t>부산광역시 동래구 반송로 164 부산 동래역행복주택</t>
        </is>
      </c>
      <c r="F429" t="inlineStr"/>
      <c r="G429" t="inlineStr">
        <is>
          <t>051-931-3004</t>
        </is>
      </c>
      <c r="H429" s="15" t="n">
        <v>43</v>
      </c>
      <c r="I429" s="15" t="n">
        <v>9</v>
      </c>
      <c r="J429" s="15" t="n">
        <v>20</v>
      </c>
      <c r="K429" s="15" t="n">
        <v>13</v>
      </c>
      <c r="L429" s="15" t="n">
        <v>0</v>
      </c>
      <c r="M429" s="15" t="n">
        <v>0</v>
      </c>
      <c r="N429" s="15" t="n">
        <v>0</v>
      </c>
      <c r="O429" s="15" t="n">
        <v>0</v>
      </c>
      <c r="P429" s="15" t="n">
        <v>0</v>
      </c>
      <c r="Q429" s="15" t="n">
        <v>0</v>
      </c>
      <c r="R429" s="15" t="n">
        <v>0</v>
      </c>
      <c r="S429" s="15" t="n">
        <v>3</v>
      </c>
      <c r="T429" s="14">
        <f>IF(COUNT(I429:S429)=0,"",SUM(I429:S429))</f>
        <v/>
      </c>
      <c r="U429" t="inlineStr"/>
    </row>
    <row r="430">
      <c r="A430" t="inlineStr">
        <is>
          <t>동래효성해링턴어린이집</t>
        </is>
      </c>
      <c r="B430" t="inlineStr">
        <is>
          <t>어린이집</t>
        </is>
      </c>
      <c r="C430" t="inlineStr">
        <is>
          <t>국공립</t>
        </is>
      </c>
      <c r="D430" t="inlineStr">
        <is>
          <t>동래구</t>
        </is>
      </c>
      <c r="E430" t="inlineStr">
        <is>
          <t>부산광역시 동래구 아시아드대로255번길 14 동래효성해링턴플레이스</t>
        </is>
      </c>
      <c r="F430" t="inlineStr"/>
      <c r="G430" t="inlineStr">
        <is>
          <t>051-936-3004</t>
        </is>
      </c>
      <c r="H430" s="15" t="n">
        <v>91</v>
      </c>
      <c r="I430" s="15" t="n">
        <v>8</v>
      </c>
      <c r="J430" s="15" t="n">
        <v>20</v>
      </c>
      <c r="K430" s="15" t="n">
        <v>18</v>
      </c>
      <c r="L430" s="15" t="n">
        <v>9</v>
      </c>
      <c r="M430" s="15" t="n">
        <v>0</v>
      </c>
      <c r="N430" s="15" t="n">
        <v>0</v>
      </c>
      <c r="O430" s="15" t="n">
        <v>0</v>
      </c>
      <c r="P430" s="15" t="n">
        <v>13</v>
      </c>
      <c r="Q430" s="15" t="n">
        <v>0</v>
      </c>
      <c r="R430" s="15" t="n">
        <v>0</v>
      </c>
      <c r="S430" s="15" t="n">
        <v>14</v>
      </c>
      <c r="T430" s="14">
        <f>IF(COUNT(I430:S430)=0,"",SUM(I430:S430))</f>
        <v/>
      </c>
      <c r="U430" t="inlineStr"/>
    </row>
    <row r="431">
      <c r="A431" t="inlineStr">
        <is>
          <t>동화속어린이집</t>
        </is>
      </c>
      <c r="B431" t="inlineStr">
        <is>
          <t>어린이집</t>
        </is>
      </c>
      <c r="C431" t="inlineStr">
        <is>
          <t>가정</t>
        </is>
      </c>
      <c r="D431" t="inlineStr">
        <is>
          <t>동래구</t>
        </is>
      </c>
      <c r="E431" t="inlineStr">
        <is>
          <t>부산광역시 동래구 연안로 74 207동 103호(안락2동, 안락뜨란채2단지아파트)</t>
        </is>
      </c>
      <c r="F431" t="inlineStr"/>
      <c r="G431" t="inlineStr">
        <is>
          <t>051-526-8370</t>
        </is>
      </c>
      <c r="H431" s="15" t="n">
        <v>19</v>
      </c>
      <c r="I431" s="15" t="n">
        <v>0</v>
      </c>
      <c r="J431" s="15" t="n">
        <v>5</v>
      </c>
      <c r="K431" s="15" t="n">
        <v>5</v>
      </c>
      <c r="L431" s="15" t="n">
        <v>0</v>
      </c>
      <c r="M431" s="15" t="n">
        <v>0</v>
      </c>
      <c r="N431" s="15" t="n">
        <v>0</v>
      </c>
      <c r="O431" s="15" t="n">
        <v>3</v>
      </c>
      <c r="P431" s="15" t="n">
        <v>0</v>
      </c>
      <c r="Q431" s="15" t="n">
        <v>0</v>
      </c>
      <c r="R431" s="15" t="n">
        <v>0</v>
      </c>
      <c r="S431" s="15" t="n">
        <v>5</v>
      </c>
      <c r="T431" s="14">
        <f>IF(COUNT(I431:S431)=0,"",SUM(I431:S431))</f>
        <v/>
      </c>
      <c r="U431" t="inlineStr"/>
    </row>
    <row r="432">
      <c r="A432" t="inlineStr">
        <is>
          <t>뜨란채어린이집</t>
        </is>
      </c>
      <c r="B432" t="inlineStr">
        <is>
          <t>어린이집</t>
        </is>
      </c>
      <c r="C432" t="inlineStr">
        <is>
          <t>민간</t>
        </is>
      </c>
      <c r="D432" t="inlineStr">
        <is>
          <t>동래구</t>
        </is>
      </c>
      <c r="E432" t="inlineStr">
        <is>
          <t>부산광역시 동래구 연안로 74 관리동 1층 (안락2동,안락주공뜨란채)</t>
        </is>
      </c>
      <c r="F432" s="11" t="inlineStr">
        <is>
          <t>https://blog.naver.com/a5240067</t>
        </is>
      </c>
      <c r="G432" t="inlineStr">
        <is>
          <t>051-524-0067</t>
        </is>
      </c>
      <c r="H432" s="15" t="n">
        <v>23</v>
      </c>
      <c r="I432" s="15" t="n">
        <v>5</v>
      </c>
      <c r="J432" s="15" t="n">
        <v>9</v>
      </c>
      <c r="K432" s="15" t="n">
        <v>6</v>
      </c>
      <c r="L432" s="15" t="n">
        <v>0</v>
      </c>
      <c r="M432" s="15" t="n">
        <v>0</v>
      </c>
      <c r="N432" s="15" t="n">
        <v>0</v>
      </c>
      <c r="O432" s="15" t="n">
        <v>0</v>
      </c>
      <c r="P432" s="15" t="n">
        <v>0</v>
      </c>
      <c r="Q432" s="15" t="n">
        <v>0</v>
      </c>
      <c r="R432" s="15" t="n">
        <v>0</v>
      </c>
      <c r="S432" s="15" t="n">
        <v>4</v>
      </c>
      <c r="T432" s="14">
        <f>IF(COUNT(I432:S432)=0,"",SUM(I432:S432))</f>
        <v/>
      </c>
      <c r="U432" t="inlineStr"/>
    </row>
    <row r="433">
      <c r="A433" t="inlineStr">
        <is>
          <t>명랑어린이집</t>
        </is>
      </c>
      <c r="B433" t="inlineStr">
        <is>
          <t>어린이집</t>
        </is>
      </c>
      <c r="C433" t="inlineStr">
        <is>
          <t>민간</t>
        </is>
      </c>
      <c r="D433" t="inlineStr">
        <is>
          <t>동래구</t>
        </is>
      </c>
      <c r="E433" t="inlineStr">
        <is>
          <t>부산광역시 동래구 사직북로48번길 137 (온천3동)</t>
        </is>
      </c>
      <c r="F433" s="11" t="inlineStr">
        <is>
          <t>http://www.navercafe.com/mr6601</t>
        </is>
      </c>
      <c r="G433" t="inlineStr">
        <is>
          <t>051-505-6601</t>
        </is>
      </c>
      <c r="H433" s="15" t="n">
        <v>92</v>
      </c>
      <c r="I433" s="15" t="n">
        <v>4</v>
      </c>
      <c r="J433" s="15" t="n">
        <v>9</v>
      </c>
      <c r="K433" s="15" t="n">
        <v>10</v>
      </c>
      <c r="L433" s="15" t="n">
        <v>15</v>
      </c>
      <c r="M433" s="15" t="n">
        <v>17</v>
      </c>
      <c r="N433" s="15" t="n">
        <v>19</v>
      </c>
      <c r="O433" s="15" t="n">
        <v>0</v>
      </c>
      <c r="P433" s="15" t="n">
        <v>0</v>
      </c>
      <c r="Q433" s="15" t="n">
        <v>0</v>
      </c>
      <c r="R433" s="15" t="n">
        <v>0</v>
      </c>
      <c r="S433" s="15" t="n">
        <v>22</v>
      </c>
      <c r="T433" s="14">
        <f>IF(COUNT(I433:S433)=0,"",SUM(I433:S433))</f>
        <v/>
      </c>
      <c r="U433" t="inlineStr"/>
    </row>
    <row r="434">
      <c r="A434" t="inlineStr">
        <is>
          <t>명륜자이어린이집</t>
        </is>
      </c>
      <c r="B434" t="inlineStr">
        <is>
          <t>어린이집</t>
        </is>
      </c>
      <c r="C434" t="inlineStr">
        <is>
          <t>국공립</t>
        </is>
      </c>
      <c r="D434" t="inlineStr">
        <is>
          <t>동래구</t>
        </is>
      </c>
      <c r="E434" t="inlineStr">
        <is>
          <t>부산광역시 동래구 명륜로139번길 22</t>
        </is>
      </c>
      <c r="F434" t="inlineStr"/>
      <c r="G434" t="inlineStr">
        <is>
          <t>051-556-5006</t>
        </is>
      </c>
      <c r="H434" s="15" t="n">
        <v>49</v>
      </c>
      <c r="I434" s="15" t="n">
        <v>6</v>
      </c>
      <c r="J434" s="15" t="n">
        <v>10</v>
      </c>
      <c r="K434" s="15" t="n">
        <v>7</v>
      </c>
      <c r="L434" s="15" t="n">
        <v>0</v>
      </c>
      <c r="M434" s="15" t="n">
        <v>0</v>
      </c>
      <c r="N434" s="15" t="n">
        <v>0</v>
      </c>
      <c r="O434" s="15" t="n">
        <v>0</v>
      </c>
      <c r="P434" s="15" t="n">
        <v>10</v>
      </c>
      <c r="Q434" s="15" t="n">
        <v>0</v>
      </c>
      <c r="R434" s="15" t="n">
        <v>0</v>
      </c>
      <c r="S434" s="15" t="n">
        <v>10</v>
      </c>
      <c r="T434" s="14">
        <f>IF(COUNT(I434:S434)=0,"",SUM(I434:S434))</f>
        <v/>
      </c>
      <c r="U434" t="inlineStr"/>
    </row>
    <row r="435">
      <c r="A435" t="inlineStr">
        <is>
          <t>명장양덕어린이집</t>
        </is>
      </c>
      <c r="B435" t="inlineStr">
        <is>
          <t>어린이집</t>
        </is>
      </c>
      <c r="C435" t="inlineStr">
        <is>
          <t>국공립</t>
        </is>
      </c>
      <c r="D435" t="inlineStr">
        <is>
          <t>동래구</t>
        </is>
      </c>
      <c r="E435" t="inlineStr">
        <is>
          <t>부산광역시 동래구 시실로107번길 151 (명장2동)</t>
        </is>
      </c>
      <c r="F435" s="11" t="inlineStr">
        <is>
          <t>http://cafe.naver.com/mjyd2462</t>
        </is>
      </c>
      <c r="G435" t="inlineStr">
        <is>
          <t>051-531-2462</t>
        </is>
      </c>
      <c r="H435" s="15" t="n">
        <v>30</v>
      </c>
      <c r="I435" s="15" t="n">
        <v>5</v>
      </c>
      <c r="J435" s="15" t="n">
        <v>4</v>
      </c>
      <c r="K435" s="15" t="n">
        <v>0</v>
      </c>
      <c r="L435" s="15" t="n">
        <v>0</v>
      </c>
      <c r="M435" s="15" t="n">
        <v>0</v>
      </c>
      <c r="N435" s="15" t="n">
        <v>0</v>
      </c>
      <c r="O435" s="15" t="n">
        <v>4</v>
      </c>
      <c r="P435" s="15" t="n">
        <v>11</v>
      </c>
      <c r="Q435" s="15" t="n">
        <v>0</v>
      </c>
      <c r="R435" s="15" t="n">
        <v>3</v>
      </c>
      <c r="S435" s="15" t="n">
        <v>7</v>
      </c>
      <c r="T435" s="14">
        <f>IF(COUNT(I435:S435)=0,"",SUM(I435:S435))</f>
        <v/>
      </c>
      <c r="U435" t="inlineStr"/>
    </row>
    <row r="436">
      <c r="A436" t="inlineStr">
        <is>
          <t>명장이편한세상어린이집</t>
        </is>
      </c>
      <c r="B436" t="inlineStr">
        <is>
          <t>어린이집</t>
        </is>
      </c>
      <c r="C436" t="inlineStr">
        <is>
          <t>국공립</t>
        </is>
      </c>
      <c r="D436" t="inlineStr">
        <is>
          <t>동래구</t>
        </is>
      </c>
      <c r="E436" t="inlineStr">
        <is>
          <t>부산광역시 동래구 명장로 65</t>
        </is>
      </c>
      <c r="F436" t="inlineStr"/>
      <c r="G436" t="inlineStr">
        <is>
          <t>051-927-3004</t>
        </is>
      </c>
      <c r="H436" s="15" t="n">
        <v>76</v>
      </c>
      <c r="I436" s="15" t="n">
        <v>25</v>
      </c>
      <c r="J436" s="15" t="n">
        <v>15</v>
      </c>
      <c r="K436" s="15" t="n">
        <v>21</v>
      </c>
      <c r="L436" s="15" t="n">
        <v>9</v>
      </c>
      <c r="M436" s="15" t="n">
        <v>0</v>
      </c>
      <c r="N436" s="15" t="n">
        <v>0</v>
      </c>
      <c r="O436" s="15" t="n">
        <v>0</v>
      </c>
      <c r="P436" s="15" t="n">
        <v>0</v>
      </c>
      <c r="Q436" s="15" t="n">
        <v>0</v>
      </c>
      <c r="R436" s="15" t="n">
        <v>0</v>
      </c>
      <c r="S436" s="15" t="n">
        <v>14</v>
      </c>
      <c r="T436" s="14">
        <f>IF(COUNT(I436:S436)=0,"",SUM(I436:S436))</f>
        <v/>
      </c>
      <c r="U436" t="inlineStr"/>
    </row>
    <row r="437">
      <c r="A437" t="inlineStr">
        <is>
          <t>미래어린이집</t>
        </is>
      </c>
      <c r="B437" t="inlineStr">
        <is>
          <t>어린이집</t>
        </is>
      </c>
      <c r="C437" t="inlineStr">
        <is>
          <t>민간</t>
        </is>
      </c>
      <c r="D437" t="inlineStr">
        <is>
          <t>동래구</t>
        </is>
      </c>
      <c r="E437" t="inlineStr">
        <is>
          <t>부산광역시 동래구 사직북로57번길 7 (사직2동)</t>
        </is>
      </c>
      <c r="F437" t="inlineStr"/>
      <c r="G437" t="inlineStr">
        <is>
          <t>051-715-0007</t>
        </is>
      </c>
      <c r="H437" s="15" t="n">
        <v>72</v>
      </c>
      <c r="I437" s="15" t="n">
        <v>11</v>
      </c>
      <c r="J437" s="15" t="n">
        <v>14</v>
      </c>
      <c r="K437" s="15" t="n">
        <v>14</v>
      </c>
      <c r="L437" s="15" t="n">
        <v>15</v>
      </c>
      <c r="M437" s="15" t="n">
        <v>0</v>
      </c>
      <c r="N437" s="15" t="n">
        <v>0</v>
      </c>
      <c r="O437" s="15" t="n">
        <v>8</v>
      </c>
      <c r="P437" s="15" t="n">
        <v>8</v>
      </c>
      <c r="Q437" s="15" t="n">
        <v>0</v>
      </c>
      <c r="R437" s="15" t="n">
        <v>0</v>
      </c>
      <c r="S437" s="15" t="n">
        <v>8</v>
      </c>
      <c r="T437" s="14">
        <f>IF(COUNT(I437:S437)=0,"",SUM(I437:S437))</f>
        <v/>
      </c>
      <c r="U437" t="inlineStr"/>
    </row>
    <row r="438">
      <c r="A438" t="inlineStr">
        <is>
          <t>밝은어린이집</t>
        </is>
      </c>
      <c r="B438" t="inlineStr">
        <is>
          <t>어린이집</t>
        </is>
      </c>
      <c r="C438" t="inlineStr">
        <is>
          <t>민간</t>
        </is>
      </c>
      <c r="D438" t="inlineStr">
        <is>
          <t>동래구</t>
        </is>
      </c>
      <c r="E438" t="inlineStr">
        <is>
          <t>부산광역시 동래구 금정마을로77번길 6 (온천2동)</t>
        </is>
      </c>
      <c r="F438" t="inlineStr"/>
      <c r="G438" t="inlineStr">
        <is>
          <t>051-501-3427</t>
        </is>
      </c>
      <c r="H438" s="15" t="n">
        <v>38</v>
      </c>
      <c r="I438" s="15" t="n">
        <v>0</v>
      </c>
      <c r="J438" s="15" t="n">
        <v>0</v>
      </c>
      <c r="K438" s="15" t="n">
        <v>0</v>
      </c>
      <c r="L438" s="15" t="n">
        <v>0</v>
      </c>
      <c r="M438" s="15" t="n">
        <v>0</v>
      </c>
      <c r="N438" s="15" t="n">
        <v>0</v>
      </c>
      <c r="O438" s="15" t="n">
        <v>0</v>
      </c>
      <c r="P438" s="15" t="n">
        <v>0</v>
      </c>
      <c r="Q438" s="15" t="n">
        <v>0</v>
      </c>
      <c r="R438" s="15" t="n">
        <v>37</v>
      </c>
      <c r="S438" s="15" t="n">
        <v>0</v>
      </c>
      <c r="T438" s="14">
        <f>IF(COUNT(I438:S438)=0,"",SUM(I438:S438))</f>
        <v/>
      </c>
      <c r="U438" t="inlineStr"/>
    </row>
    <row r="439">
      <c r="A439" t="inlineStr">
        <is>
          <t>부산경찰청어린이집</t>
        </is>
      </c>
      <c r="B439" t="inlineStr">
        <is>
          <t>어린이집</t>
        </is>
      </c>
      <c r="C439" t="inlineStr">
        <is>
          <t>직장</t>
        </is>
      </c>
      <c r="D439" t="inlineStr">
        <is>
          <t>동래구</t>
        </is>
      </c>
      <c r="E439" t="inlineStr">
        <is>
          <t>부산광역시 동래구 쇠미로17번길 8 부산경찰청어린이집</t>
        </is>
      </c>
      <c r="F439" t="inlineStr"/>
      <c r="G439" t="inlineStr">
        <is>
          <t>051-505-9330</t>
        </is>
      </c>
      <c r="H439" s="15" t="n">
        <v>150</v>
      </c>
      <c r="I439" s="15" t="n">
        <v>12</v>
      </c>
      <c r="J439" s="15" t="n">
        <v>23</v>
      </c>
      <c r="K439" s="15" t="n">
        <v>27</v>
      </c>
      <c r="L439" s="15" t="n">
        <v>24</v>
      </c>
      <c r="M439" s="15" t="n">
        <v>27</v>
      </c>
      <c r="N439" s="15" t="n">
        <v>23</v>
      </c>
      <c r="O439" s="15" t="n">
        <v>0</v>
      </c>
      <c r="P439" s="15" t="n">
        <v>0</v>
      </c>
      <c r="Q439" s="15" t="n">
        <v>0</v>
      </c>
      <c r="R439" s="15" t="n">
        <v>0</v>
      </c>
      <c r="S439" s="15" t="n">
        <v>35</v>
      </c>
      <c r="T439" s="14">
        <f>IF(COUNT(I439:S439)=0,"",SUM(I439:S439))</f>
        <v/>
      </c>
      <c r="U439" t="inlineStr"/>
    </row>
    <row r="440">
      <c r="A440" t="inlineStr">
        <is>
          <t>사랑나무어린이집</t>
        </is>
      </c>
      <c r="B440" t="inlineStr">
        <is>
          <t>어린이집</t>
        </is>
      </c>
      <c r="C440" t="inlineStr">
        <is>
          <t>가정</t>
        </is>
      </c>
      <c r="D440" t="inlineStr">
        <is>
          <t>동래구</t>
        </is>
      </c>
      <c r="E440" t="inlineStr">
        <is>
          <t>부산광역시 동래구 명륜로45번길 31 수안아파트A-102(수민동)</t>
        </is>
      </c>
      <c r="F440" t="inlineStr"/>
      <c r="G440" t="inlineStr">
        <is>
          <t>051-557-1976</t>
        </is>
      </c>
      <c r="H440" s="15" t="n">
        <v>18</v>
      </c>
      <c r="I440" s="15" t="n">
        <v>0</v>
      </c>
      <c r="J440" s="15" t="n">
        <v>3</v>
      </c>
      <c r="K440" s="15" t="n">
        <v>4</v>
      </c>
      <c r="L440" s="15" t="n">
        <v>0</v>
      </c>
      <c r="M440" s="15" t="n">
        <v>0</v>
      </c>
      <c r="N440" s="15" t="n">
        <v>0</v>
      </c>
      <c r="O440" s="15" t="n">
        <v>0</v>
      </c>
      <c r="P440" s="15" t="n">
        <v>0</v>
      </c>
      <c r="Q440" s="15" t="n">
        <v>0</v>
      </c>
      <c r="R440" s="15" t="n">
        <v>0</v>
      </c>
      <c r="S440" s="15" t="n">
        <v>3</v>
      </c>
      <c r="T440" s="14">
        <f>IF(COUNT(I440:S440)=0,"",SUM(I440:S440))</f>
        <v/>
      </c>
      <c r="U440" t="inlineStr"/>
    </row>
    <row r="441">
      <c r="A441" t="inlineStr">
        <is>
          <t>사직명랑어린이집</t>
        </is>
      </c>
      <c r="B441" t="inlineStr">
        <is>
          <t>어린이집</t>
        </is>
      </c>
      <c r="C441" t="inlineStr">
        <is>
          <t>민간</t>
        </is>
      </c>
      <c r="D441" t="inlineStr">
        <is>
          <t>동래구</t>
        </is>
      </c>
      <c r="E441" t="inlineStr">
        <is>
          <t>부산광역시 동래구 석사북로 20 (사직1동)</t>
        </is>
      </c>
      <c r="F441" t="inlineStr"/>
      <c r="G441" t="inlineStr">
        <is>
          <t>051-502-4371</t>
        </is>
      </c>
      <c r="H441" s="15" t="n">
        <v>39</v>
      </c>
      <c r="I441" s="15" t="n">
        <v>8</v>
      </c>
      <c r="J441" s="15" t="n">
        <v>14</v>
      </c>
      <c r="K441" s="15" t="n">
        <v>14</v>
      </c>
      <c r="L441" s="15" t="n">
        <v>0</v>
      </c>
      <c r="M441" s="15" t="n">
        <v>0</v>
      </c>
      <c r="N441" s="15" t="n">
        <v>0</v>
      </c>
      <c r="O441" s="15" t="n">
        <v>0</v>
      </c>
      <c r="P441" s="15" t="n">
        <v>0</v>
      </c>
      <c r="Q441" s="15" t="n">
        <v>0</v>
      </c>
      <c r="R441" s="15" t="n">
        <v>0</v>
      </c>
      <c r="S441" s="15" t="n">
        <v>5</v>
      </c>
      <c r="T441" s="14">
        <f>IF(COUNT(I441:S441)=0,"",SUM(I441:S441))</f>
        <v/>
      </c>
      <c r="U441" t="inlineStr"/>
    </row>
    <row r="442">
      <c r="A442" t="inlineStr">
        <is>
          <t>사직역삼정더베스트어린이집</t>
        </is>
      </c>
      <c r="B442" t="inlineStr">
        <is>
          <t>어린이집</t>
        </is>
      </c>
      <c r="C442" t="inlineStr">
        <is>
          <t>국공립</t>
        </is>
      </c>
      <c r="D442" t="inlineStr">
        <is>
          <t>동래구</t>
        </is>
      </c>
      <c r="E442" t="inlineStr">
        <is>
          <t>부산광역시 동래구 사직로 8</t>
        </is>
      </c>
      <c r="F442" t="inlineStr"/>
      <c r="G442" t="inlineStr">
        <is>
          <t>051-501-2004</t>
        </is>
      </c>
      <c r="H442" s="15" t="n">
        <v>32</v>
      </c>
      <c r="I442" s="15" t="n">
        <v>8</v>
      </c>
      <c r="J442" s="15" t="n">
        <v>9</v>
      </c>
      <c r="K442" s="15" t="n">
        <v>11</v>
      </c>
      <c r="L442" s="15" t="n">
        <v>0</v>
      </c>
      <c r="M442" s="15" t="n">
        <v>0</v>
      </c>
      <c r="N442" s="15" t="n">
        <v>0</v>
      </c>
      <c r="O442" s="15" t="n">
        <v>0</v>
      </c>
      <c r="P442" s="15" t="n">
        <v>0</v>
      </c>
      <c r="Q442" s="15" t="n">
        <v>0</v>
      </c>
      <c r="R442" s="15" t="n">
        <v>0</v>
      </c>
      <c r="S442" s="15" t="n">
        <v>12</v>
      </c>
      <c r="T442" s="14">
        <f>IF(COUNT(I442:S442)=0,"",SUM(I442:S442))</f>
        <v/>
      </c>
      <c r="U442" t="inlineStr"/>
    </row>
    <row r="443">
      <c r="A443" t="inlineStr">
        <is>
          <t>사직종합사회복지관어린이집</t>
        </is>
      </c>
      <c r="B443" t="inlineStr">
        <is>
          <t>어린이집</t>
        </is>
      </c>
      <c r="C443" t="inlineStr">
        <is>
          <t>국공립</t>
        </is>
      </c>
      <c r="D443" t="inlineStr">
        <is>
          <t>동래구</t>
        </is>
      </c>
      <c r="E443" t="inlineStr">
        <is>
          <t>부산광역시 동래구 사직북로63번길 20-7 (사직2동)</t>
        </is>
      </c>
      <c r="F443" t="inlineStr"/>
      <c r="G443" t="inlineStr">
        <is>
          <t>051-502-4827</t>
        </is>
      </c>
      <c r="H443" s="15" t="n">
        <v>48</v>
      </c>
      <c r="I443" s="15" t="n">
        <v>0</v>
      </c>
      <c r="J443" s="15" t="n">
        <v>10</v>
      </c>
      <c r="K443" s="15" t="n">
        <v>21</v>
      </c>
      <c r="L443" s="15" t="n">
        <v>0</v>
      </c>
      <c r="M443" s="15" t="n">
        <v>0</v>
      </c>
      <c r="N443" s="15" t="n">
        <v>0</v>
      </c>
      <c r="O443" s="15" t="n">
        <v>0</v>
      </c>
      <c r="P443" s="15" t="n">
        <v>15</v>
      </c>
      <c r="Q443" s="15" t="n">
        <v>0</v>
      </c>
      <c r="R443" s="15" t="n">
        <v>0</v>
      </c>
      <c r="S443" s="15" t="n">
        <v>20</v>
      </c>
      <c r="T443" s="14">
        <f>IF(COUNT(I443:S443)=0,"",SUM(I443:S443))</f>
        <v/>
      </c>
      <c r="U443" t="inlineStr"/>
    </row>
    <row r="444">
      <c r="A444" t="inlineStr">
        <is>
          <t>사직하늘채리센티아어린이집</t>
        </is>
      </c>
      <c r="B444" t="inlineStr">
        <is>
          <t>어린이집</t>
        </is>
      </c>
      <c r="C444" t="inlineStr">
        <is>
          <t>국공립</t>
        </is>
      </c>
      <c r="D444" t="inlineStr">
        <is>
          <t>동래구</t>
        </is>
      </c>
      <c r="E444" t="inlineStr">
        <is>
          <t>부산광역시 동래구 사직북로48번길 77 사직하늘채리센티아어린이집</t>
        </is>
      </c>
      <c r="F444" t="inlineStr"/>
      <c r="G444" t="inlineStr">
        <is>
          <t>051-504-8889</t>
        </is>
      </c>
      <c r="H444" s="15" t="n">
        <v>49</v>
      </c>
      <c r="I444" s="15" t="n">
        <v>11</v>
      </c>
      <c r="J444" s="15" t="n">
        <v>19</v>
      </c>
      <c r="K444" s="15" t="n">
        <v>18</v>
      </c>
      <c r="L444" s="15" t="n">
        <v>0</v>
      </c>
      <c r="M444" s="15" t="n">
        <v>0</v>
      </c>
      <c r="N444" s="15" t="n">
        <v>0</v>
      </c>
      <c r="O444" s="15" t="n">
        <v>0</v>
      </c>
      <c r="P444" s="15" t="n">
        <v>0</v>
      </c>
      <c r="Q444" s="15" t="n">
        <v>0</v>
      </c>
      <c r="R444" s="15" t="n">
        <v>0</v>
      </c>
      <c r="S444" s="15" t="n">
        <v>3</v>
      </c>
      <c r="T444" s="14">
        <f>IF(COUNT(I444:S444)=0,"",SUM(I444:S444))</f>
        <v/>
      </c>
      <c r="U444" t="inlineStr"/>
    </row>
    <row r="445">
      <c r="A445" t="inlineStr">
        <is>
          <t>삼정포레스트어린이집</t>
        </is>
      </c>
      <c r="B445" t="inlineStr">
        <is>
          <t>어린이집</t>
        </is>
      </c>
      <c r="C445" t="inlineStr">
        <is>
          <t>국공립</t>
        </is>
      </c>
      <c r="D445" t="inlineStr">
        <is>
          <t>동래구</t>
        </is>
      </c>
      <c r="E445" t="inlineStr">
        <is>
          <t>부산광역시 동래구 쇠미로 153 110동 1,2층(온천3동, 삼정그린코아포레스트아파트)</t>
        </is>
      </c>
      <c r="F445" t="inlineStr"/>
      <c r="G445" t="inlineStr">
        <is>
          <t>051-507-7234</t>
        </is>
      </c>
      <c r="H445" s="15" t="n">
        <v>38</v>
      </c>
      <c r="I445" s="15" t="n">
        <v>8</v>
      </c>
      <c r="J445" s="15" t="n">
        <v>15</v>
      </c>
      <c r="K445" s="15" t="n">
        <v>15</v>
      </c>
      <c r="L445" s="15" t="n">
        <v>0</v>
      </c>
      <c r="M445" s="15" t="n">
        <v>0</v>
      </c>
      <c r="N445" s="15" t="n">
        <v>0</v>
      </c>
      <c r="O445" s="15" t="n">
        <v>0</v>
      </c>
      <c r="P445" s="15" t="n">
        <v>0</v>
      </c>
      <c r="Q445" s="15" t="n">
        <v>0</v>
      </c>
      <c r="R445" s="15" t="n">
        <v>0</v>
      </c>
      <c r="S445" s="15" t="n">
        <v>3</v>
      </c>
      <c r="T445" s="14">
        <f>IF(COUNT(I445:S445)=0,"",SUM(I445:S445))</f>
        <v/>
      </c>
      <c r="U445" t="inlineStr"/>
    </row>
    <row r="446">
      <c r="A446" t="inlineStr">
        <is>
          <t>샘누리어린이집</t>
        </is>
      </c>
      <c r="B446" t="inlineStr">
        <is>
          <t>어린이집</t>
        </is>
      </c>
      <c r="C446" t="inlineStr">
        <is>
          <t>민간</t>
        </is>
      </c>
      <c r="D446" t="inlineStr">
        <is>
          <t>동래구</t>
        </is>
      </c>
      <c r="E446" t="inlineStr">
        <is>
          <t>부산광역시 동래구 우장춘로59번길 40 (온천2동)</t>
        </is>
      </c>
      <c r="F446" s="11" t="inlineStr">
        <is>
          <t>http://kmh0686@naver.com</t>
        </is>
      </c>
      <c r="G446" t="inlineStr">
        <is>
          <t>051-553-0686</t>
        </is>
      </c>
      <c r="H446" s="15" t="n">
        <v>38</v>
      </c>
      <c r="I446" s="15" t="n">
        <v>6</v>
      </c>
      <c r="J446" s="15" t="n">
        <v>3</v>
      </c>
      <c r="K446" s="15" t="n">
        <v>8</v>
      </c>
      <c r="L446" s="15" t="n">
        <v>0</v>
      </c>
      <c r="M446" s="15" t="n">
        <v>0</v>
      </c>
      <c r="N446" s="15" t="n">
        <v>0</v>
      </c>
      <c r="O446" s="15" t="n">
        <v>0</v>
      </c>
      <c r="P446" s="15" t="n">
        <v>0</v>
      </c>
      <c r="Q446" s="15" t="n">
        <v>0</v>
      </c>
      <c r="R446" s="15" t="n">
        <v>0</v>
      </c>
      <c r="S446" s="15" t="n">
        <v>3</v>
      </c>
      <c r="T446" s="14">
        <f>IF(COUNT(I446:S446)=0,"",SUM(I446:S446))</f>
        <v/>
      </c>
      <c r="U446" t="inlineStr"/>
    </row>
    <row r="447">
      <c r="A447" t="inlineStr">
        <is>
          <t>성지어린이집</t>
        </is>
      </c>
      <c r="B447" t="inlineStr">
        <is>
          <t>어린이집</t>
        </is>
      </c>
      <c r="C447" t="inlineStr">
        <is>
          <t>사회복지법인</t>
        </is>
      </c>
      <c r="D447" t="inlineStr">
        <is>
          <t>동래구</t>
        </is>
      </c>
      <c r="E447" t="inlineStr">
        <is>
          <t>부산광역시 동래구 석사북로 57 (온천3동)</t>
        </is>
      </c>
      <c r="F447" t="inlineStr"/>
      <c r="G447" t="inlineStr">
        <is>
          <t>051-504-7008</t>
        </is>
      </c>
      <c r="H447" s="15" t="n">
        <v>44</v>
      </c>
      <c r="I447" s="15" t="n">
        <v>2</v>
      </c>
      <c r="J447" s="15" t="n">
        <v>0</v>
      </c>
      <c r="K447" s="15" t="n">
        <v>6</v>
      </c>
      <c r="L447" s="15" t="n">
        <v>0</v>
      </c>
      <c r="M447" s="15" t="n">
        <v>0</v>
      </c>
      <c r="N447" s="15" t="n">
        <v>0</v>
      </c>
      <c r="O447" s="15" t="n">
        <v>4</v>
      </c>
      <c r="P447" s="15" t="n">
        <v>0</v>
      </c>
      <c r="Q447" s="15" t="n">
        <v>0</v>
      </c>
      <c r="R447" s="15" t="n">
        <v>0</v>
      </c>
      <c r="S447" s="15" t="n">
        <v>3</v>
      </c>
      <c r="T447" s="14">
        <f>IF(COUNT(I447:S447)=0,"",SUM(I447:S447))</f>
        <v/>
      </c>
      <c r="U447" t="inlineStr"/>
    </row>
    <row r="448">
      <c r="A448" t="inlineStr">
        <is>
          <t>센트럴파크어린이집</t>
        </is>
      </c>
      <c r="B448" t="inlineStr">
        <is>
          <t>어린이집</t>
        </is>
      </c>
      <c r="C448" t="inlineStr">
        <is>
          <t>민간</t>
        </is>
      </c>
      <c r="D448" t="inlineStr">
        <is>
          <t>동래구</t>
        </is>
      </c>
      <c r="E448" t="inlineStr">
        <is>
          <t>부산광역시 동래구 문화로 33 센트럴파크하이츠2차 201동 1층 (명륜동)</t>
        </is>
      </c>
      <c r="F448" t="inlineStr"/>
      <c r="G448" t="inlineStr">
        <is>
          <t>051-558-2345</t>
        </is>
      </c>
      <c r="H448" s="15" t="n">
        <v>45</v>
      </c>
      <c r="I448" s="15" t="n">
        <v>9</v>
      </c>
      <c r="J448" s="15" t="n">
        <v>15</v>
      </c>
      <c r="K448" s="15" t="n">
        <v>21</v>
      </c>
      <c r="L448" s="15" t="n">
        <v>0</v>
      </c>
      <c r="M448" s="15" t="n">
        <v>0</v>
      </c>
      <c r="N448" s="15" t="n">
        <v>0</v>
      </c>
      <c r="O448" s="15" t="n">
        <v>0</v>
      </c>
      <c r="P448" s="15" t="n">
        <v>0</v>
      </c>
      <c r="Q448" s="15" t="n">
        <v>0</v>
      </c>
      <c r="R448" s="15" t="n">
        <v>0</v>
      </c>
      <c r="S448" s="15" t="n">
        <v>5</v>
      </c>
      <c r="T448" s="14">
        <f>IF(COUNT(I448:S448)=0,"",SUM(I448:S448))</f>
        <v/>
      </c>
      <c r="U448" t="inlineStr"/>
    </row>
    <row r="449">
      <c r="A449" t="inlineStr">
        <is>
          <t>소담어린이집</t>
        </is>
      </c>
      <c r="B449" t="inlineStr">
        <is>
          <t>어린이집</t>
        </is>
      </c>
      <c r="C449" t="inlineStr">
        <is>
          <t>민간</t>
        </is>
      </c>
      <c r="D449" t="inlineStr">
        <is>
          <t>동래구</t>
        </is>
      </c>
      <c r="E449" t="inlineStr">
        <is>
          <t>부산광역시 동래구 충렬대로86번길 120 (온천3동)</t>
        </is>
      </c>
      <c r="F449" t="inlineStr"/>
      <c r="G449" t="inlineStr">
        <is>
          <t>051-507-5696</t>
        </is>
      </c>
      <c r="H449" s="15" t="n">
        <v>49</v>
      </c>
      <c r="I449" s="15" t="n">
        <v>6</v>
      </c>
      <c r="J449" s="15" t="n">
        <v>4</v>
      </c>
      <c r="K449" s="15" t="n">
        <v>6</v>
      </c>
      <c r="L449" s="15" t="n">
        <v>0</v>
      </c>
      <c r="M449" s="15" t="n">
        <v>0</v>
      </c>
      <c r="N449" s="15" t="n">
        <v>0</v>
      </c>
      <c r="O449" s="15" t="n">
        <v>3</v>
      </c>
      <c r="P449" s="15" t="n">
        <v>0</v>
      </c>
      <c r="Q449" s="15" t="n">
        <v>0</v>
      </c>
      <c r="R449" s="15" t="n">
        <v>0</v>
      </c>
      <c r="S449" s="15" t="n">
        <v>5</v>
      </c>
      <c r="T449" s="14">
        <f>IF(COUNT(I449:S449)=0,"",SUM(I449:S449))</f>
        <v/>
      </c>
      <c r="U449" t="inlineStr"/>
    </row>
    <row r="450">
      <c r="A450" t="inlineStr">
        <is>
          <t>수민어린이집</t>
        </is>
      </c>
      <c r="B450" t="inlineStr">
        <is>
          <t>어린이집</t>
        </is>
      </c>
      <c r="C450" t="inlineStr">
        <is>
          <t>국공립</t>
        </is>
      </c>
      <c r="D450" t="inlineStr">
        <is>
          <t>동래구</t>
        </is>
      </c>
      <c r="E450" t="inlineStr">
        <is>
          <t>부산광역시 동래구 수안로 11-6 (수민동)</t>
        </is>
      </c>
      <c r="F450" s="11" t="inlineStr">
        <is>
          <t>http://sm5552492@naver.com</t>
        </is>
      </c>
      <c r="G450" t="inlineStr">
        <is>
          <t>051-555-2492</t>
        </is>
      </c>
      <c r="H450" s="15" t="n">
        <v>68</v>
      </c>
      <c r="I450" s="15" t="n">
        <v>4</v>
      </c>
      <c r="J450" s="15" t="n">
        <v>8</v>
      </c>
      <c r="K450" s="15" t="n">
        <v>13</v>
      </c>
      <c r="L450" s="15" t="n">
        <v>12</v>
      </c>
      <c r="M450" s="15" t="n">
        <v>7</v>
      </c>
      <c r="N450" s="15" t="n">
        <v>0</v>
      </c>
      <c r="O450" s="15" t="n">
        <v>0</v>
      </c>
      <c r="P450" s="15" t="n">
        <v>0</v>
      </c>
      <c r="Q450" s="15" t="n">
        <v>0</v>
      </c>
      <c r="R450" s="15" t="n">
        <v>4</v>
      </c>
      <c r="S450" s="15" t="n">
        <v>3</v>
      </c>
      <c r="T450" s="14">
        <f>IF(COUNT(I450:S450)=0,"",SUM(I450:S450))</f>
        <v/>
      </c>
      <c r="U450" t="inlineStr"/>
    </row>
    <row r="451">
      <c r="A451" t="inlineStr">
        <is>
          <t>수안어린이집</t>
        </is>
      </c>
      <c r="B451" t="inlineStr">
        <is>
          <t>어린이집</t>
        </is>
      </c>
      <c r="C451" t="inlineStr">
        <is>
          <t>가정</t>
        </is>
      </c>
      <c r="D451" t="inlineStr">
        <is>
          <t>동래구</t>
        </is>
      </c>
      <c r="E451" t="inlineStr">
        <is>
          <t>부산광역시 동래구 명륜로75번길 31 다동 102호(수안동, 새동래아파트)</t>
        </is>
      </c>
      <c r="F451" t="inlineStr"/>
      <c r="G451" t="inlineStr">
        <is>
          <t>051-554-6892</t>
        </is>
      </c>
      <c r="H451" s="15" t="n">
        <v>19</v>
      </c>
      <c r="I451" s="15" t="n">
        <v>4</v>
      </c>
      <c r="J451" s="15" t="n">
        <v>8</v>
      </c>
      <c r="K451" s="15" t="n">
        <v>5</v>
      </c>
      <c r="L451" s="15" t="n">
        <v>0</v>
      </c>
      <c r="M451" s="15" t="n">
        <v>0</v>
      </c>
      <c r="N451" s="15" t="n">
        <v>0</v>
      </c>
      <c r="O451" s="15" t="n">
        <v>0</v>
      </c>
      <c r="P451" s="15" t="n">
        <v>0</v>
      </c>
      <c r="Q451" s="15" t="n">
        <v>0</v>
      </c>
      <c r="R451" s="15" t="n">
        <v>0</v>
      </c>
      <c r="S451" s="15" t="n">
        <v>5</v>
      </c>
      <c r="T451" s="14">
        <f>IF(COUNT(I451:S451)=0,"",SUM(I451:S451))</f>
        <v/>
      </c>
      <c r="U451" t="inlineStr"/>
    </row>
    <row r="452">
      <c r="A452" t="inlineStr">
        <is>
          <t>숲사랑어린이집</t>
        </is>
      </c>
      <c r="B452" t="inlineStr">
        <is>
          <t>어린이집</t>
        </is>
      </c>
      <c r="C452" t="inlineStr">
        <is>
          <t>민간</t>
        </is>
      </c>
      <c r="D452" t="inlineStr">
        <is>
          <t>동래구</t>
        </is>
      </c>
      <c r="E452" t="inlineStr">
        <is>
          <t>부산광역시 동래구 쇠미로129번길 112 (온천3동)</t>
        </is>
      </c>
      <c r="F452" t="inlineStr"/>
      <c r="G452" t="inlineStr">
        <is>
          <t>051-710-7175</t>
        </is>
      </c>
      <c r="H452" s="15" t="n">
        <v>76</v>
      </c>
      <c r="I452" s="15" t="n">
        <v>7</v>
      </c>
      <c r="J452" s="15" t="n">
        <v>10</v>
      </c>
      <c r="K452" s="15" t="n">
        <v>18</v>
      </c>
      <c r="L452" s="15" t="n">
        <v>13</v>
      </c>
      <c r="M452" s="15" t="n">
        <v>0</v>
      </c>
      <c r="N452" s="15" t="n">
        <v>0</v>
      </c>
      <c r="O452" s="15" t="n">
        <v>0</v>
      </c>
      <c r="P452" s="15" t="n">
        <v>0</v>
      </c>
      <c r="Q452" s="15" t="n">
        <v>0</v>
      </c>
      <c r="R452" s="15" t="n">
        <v>0</v>
      </c>
      <c r="S452" s="15" t="n">
        <v>17</v>
      </c>
      <c r="T452" s="14">
        <f>IF(COUNT(I452:S452)=0,"",SUM(I452:S452))</f>
        <v/>
      </c>
      <c r="U452" t="inlineStr"/>
    </row>
    <row r="453">
      <c r="A453" t="inlineStr">
        <is>
          <t>스위첸어린이집</t>
        </is>
      </c>
      <c r="B453" t="inlineStr">
        <is>
          <t>어린이집</t>
        </is>
      </c>
      <c r="C453" t="inlineStr">
        <is>
          <t>국공립</t>
        </is>
      </c>
      <c r="D453" t="inlineStr">
        <is>
          <t>동래구</t>
        </is>
      </c>
      <c r="E453" t="inlineStr">
        <is>
          <t>부산광역시 동래구 사직북로 64 관리동(사직2동, KCC스위첸아파트)</t>
        </is>
      </c>
      <c r="F453" t="inlineStr"/>
      <c r="G453" t="inlineStr">
        <is>
          <t>051-913-3777</t>
        </is>
      </c>
      <c r="H453" s="15" t="n">
        <v>49</v>
      </c>
      <c r="I453" s="15" t="n">
        <v>8</v>
      </c>
      <c r="J453" s="15" t="n">
        <v>13</v>
      </c>
      <c r="K453" s="15" t="n">
        <v>18</v>
      </c>
      <c r="L453" s="15" t="n">
        <v>7</v>
      </c>
      <c r="M453" s="15" t="n">
        <v>0</v>
      </c>
      <c r="N453" s="15" t="n">
        <v>0</v>
      </c>
      <c r="O453" s="15" t="n">
        <v>0</v>
      </c>
      <c r="P453" s="15" t="n">
        <v>0</v>
      </c>
      <c r="Q453" s="15" t="n">
        <v>0</v>
      </c>
      <c r="R453" s="15" t="n">
        <v>0</v>
      </c>
      <c r="S453" s="15" t="n">
        <v>7</v>
      </c>
      <c r="T453" s="14">
        <f>IF(COUNT(I453:S453)=0,"",SUM(I453:S453))</f>
        <v/>
      </c>
      <c r="U453" t="inlineStr"/>
    </row>
    <row r="454">
      <c r="A454" t="inlineStr">
        <is>
          <t>쌍용더플래티넘아시아드어린이집</t>
        </is>
      </c>
      <c r="B454" t="inlineStr">
        <is>
          <t>어린이집</t>
        </is>
      </c>
      <c r="C454" t="inlineStr">
        <is>
          <t>국공립</t>
        </is>
      </c>
      <c r="D454" t="inlineStr">
        <is>
          <t>동래구</t>
        </is>
      </c>
      <c r="E454" t="inlineStr">
        <is>
          <t>부산광역시 동래구 아시아드대로134번길 14 쌍용더플래티넘사직아시아드아파트 관리동</t>
        </is>
      </c>
      <c r="F454" t="inlineStr"/>
      <c r="G454" t="inlineStr">
        <is>
          <t>051-505-5533</t>
        </is>
      </c>
      <c r="H454" s="15" t="n">
        <v>66</v>
      </c>
      <c r="I454" s="15" t="n">
        <v>6</v>
      </c>
      <c r="J454" s="15" t="n">
        <v>9</v>
      </c>
      <c r="K454" s="15" t="n">
        <v>19</v>
      </c>
      <c r="L454" s="15" t="n">
        <v>0</v>
      </c>
      <c r="M454" s="15" t="n">
        <v>0</v>
      </c>
      <c r="N454" s="15" t="n">
        <v>0</v>
      </c>
      <c r="O454" s="15" t="n">
        <v>0</v>
      </c>
      <c r="P454" s="15" t="n">
        <v>6</v>
      </c>
      <c r="Q454" s="15" t="n">
        <v>0</v>
      </c>
      <c r="R454" s="15" t="n">
        <v>0</v>
      </c>
      <c r="S454" s="15" t="n">
        <v>8</v>
      </c>
      <c r="T454" s="14">
        <f>IF(COUNT(I454:S454)=0,"",SUM(I454:S454))</f>
        <v/>
      </c>
      <c r="U454" t="inlineStr"/>
    </row>
    <row r="455">
      <c r="A455" t="inlineStr">
        <is>
          <t>쌍용아이어린이집</t>
        </is>
      </c>
      <c r="B455" t="inlineStr">
        <is>
          <t>어린이집</t>
        </is>
      </c>
      <c r="C455" t="inlineStr">
        <is>
          <t>가정</t>
        </is>
      </c>
      <c r="D455" t="inlineStr">
        <is>
          <t>동래구</t>
        </is>
      </c>
      <c r="E455" t="inlineStr">
        <is>
          <t>부산광역시 동래구 사직로 80 사직쌍용예가 123동102호(사직2동)</t>
        </is>
      </c>
      <c r="F455" t="inlineStr"/>
      <c r="G455" t="inlineStr">
        <is>
          <t>051-501-7330</t>
        </is>
      </c>
      <c r="H455" s="15" t="n">
        <v>20</v>
      </c>
      <c r="I455" s="15" t="n">
        <v>6</v>
      </c>
      <c r="J455" s="15" t="n">
        <v>0</v>
      </c>
      <c r="K455" s="15" t="n">
        <v>5</v>
      </c>
      <c r="L455" s="15" t="n">
        <v>0</v>
      </c>
      <c r="M455" s="15" t="n">
        <v>0</v>
      </c>
      <c r="N455" s="15" t="n">
        <v>0</v>
      </c>
      <c r="O455" s="15" t="n">
        <v>5</v>
      </c>
      <c r="P455" s="15" t="n">
        <v>0</v>
      </c>
      <c r="Q455" s="15" t="n">
        <v>0</v>
      </c>
      <c r="R455" s="15" t="n">
        <v>0</v>
      </c>
      <c r="S455" s="15" t="n">
        <v>3</v>
      </c>
      <c r="T455" s="14">
        <f>IF(COUNT(I455:S455)=0,"",SUM(I455:S455))</f>
        <v/>
      </c>
      <c r="U455" t="inlineStr"/>
    </row>
    <row r="456">
      <c r="A456" t="inlineStr">
        <is>
          <t>아스타어린이집</t>
        </is>
      </c>
      <c r="B456" t="inlineStr">
        <is>
          <t>어린이집</t>
        </is>
      </c>
      <c r="C456" t="inlineStr">
        <is>
          <t>국공립</t>
        </is>
      </c>
      <c r="D456" t="inlineStr">
        <is>
          <t>동래구</t>
        </is>
      </c>
      <c r="E456" t="inlineStr">
        <is>
          <t>부산광역시 동래구 중앙대로1473번길 13</t>
        </is>
      </c>
      <c r="F456" t="inlineStr"/>
      <c r="G456" t="inlineStr">
        <is>
          <t>051-555-8022</t>
        </is>
      </c>
      <c r="H456" s="15" t="n">
        <v>26</v>
      </c>
      <c r="I456" s="15" t="n">
        <v>5</v>
      </c>
      <c r="J456" s="15" t="n">
        <v>10</v>
      </c>
      <c r="K456" s="15" t="n">
        <v>10</v>
      </c>
      <c r="L456" s="15" t="n">
        <v>0</v>
      </c>
      <c r="M456" s="15" t="n">
        <v>0</v>
      </c>
      <c r="N456" s="15" t="n">
        <v>0</v>
      </c>
      <c r="O456" s="15" t="n">
        <v>0</v>
      </c>
      <c r="P456" s="15" t="n">
        <v>0</v>
      </c>
      <c r="Q456" s="15" t="n">
        <v>0</v>
      </c>
      <c r="R456" s="15" t="n">
        <v>0</v>
      </c>
      <c r="S456" s="15" t="n">
        <v>4</v>
      </c>
      <c r="T456" s="14">
        <f>IF(COUNT(I456:S456)=0,"",SUM(I456:S456))</f>
        <v/>
      </c>
      <c r="U456" t="inlineStr"/>
    </row>
    <row r="457">
      <c r="A457" t="inlineStr">
        <is>
          <t>아시아드코오롱하늘채어린이집</t>
        </is>
      </c>
      <c r="B457" t="inlineStr">
        <is>
          <t>어린이집</t>
        </is>
      </c>
      <c r="C457" t="inlineStr">
        <is>
          <t>국공립</t>
        </is>
      </c>
      <c r="D457" t="inlineStr">
        <is>
          <t>동래구</t>
        </is>
      </c>
      <c r="E457" t="inlineStr">
        <is>
          <t>부산광역시 동래구 종합운동장로40번길 8 사직동, 부산 아시아드 코오롱 하늘채아파트</t>
        </is>
      </c>
      <c r="F457" t="inlineStr"/>
      <c r="G457" t="inlineStr">
        <is>
          <t>051-507-8454</t>
        </is>
      </c>
      <c r="H457" s="15" t="n">
        <v>33</v>
      </c>
      <c r="I457" s="15" t="n">
        <v>6</v>
      </c>
      <c r="J457" s="15" t="n">
        <v>9</v>
      </c>
      <c r="K457" s="15" t="n">
        <v>13</v>
      </c>
      <c r="L457" s="15" t="n">
        <v>0</v>
      </c>
      <c r="M457" s="15" t="n">
        <v>0</v>
      </c>
      <c r="N457" s="15" t="n">
        <v>0</v>
      </c>
      <c r="O457" s="15" t="n">
        <v>0</v>
      </c>
      <c r="P457" s="15" t="n">
        <v>0</v>
      </c>
      <c r="Q457" s="15" t="n">
        <v>0</v>
      </c>
      <c r="R457" s="15" t="n">
        <v>0</v>
      </c>
      <c r="S457" s="15" t="n">
        <v>5</v>
      </c>
      <c r="T457" s="14">
        <f>IF(COUNT(I457:S457)=0,"",SUM(I457:S457))</f>
        <v/>
      </c>
      <c r="U457" t="inlineStr"/>
    </row>
    <row r="458">
      <c r="A458" t="inlineStr">
        <is>
          <t>아이숲어린이집</t>
        </is>
      </c>
      <c r="B458" t="inlineStr">
        <is>
          <t>어린이집</t>
        </is>
      </c>
      <c r="C458" t="inlineStr">
        <is>
          <t>민간</t>
        </is>
      </c>
      <c r="D458" t="inlineStr">
        <is>
          <t>동래구</t>
        </is>
      </c>
      <c r="E458" t="inlineStr">
        <is>
          <t>부산광역시 동래구 명륜로 170 명륜아이파크1단지 보육시설</t>
        </is>
      </c>
      <c r="F458" t="inlineStr"/>
      <c r="G458" t="inlineStr">
        <is>
          <t>051-556-5856</t>
        </is>
      </c>
      <c r="H458" s="15" t="n">
        <v>49</v>
      </c>
      <c r="I458" s="15" t="n">
        <v>6</v>
      </c>
      <c r="J458" s="15" t="n">
        <v>20</v>
      </c>
      <c r="K458" s="15" t="n">
        <v>14</v>
      </c>
      <c r="L458" s="15" t="n">
        <v>0</v>
      </c>
      <c r="M458" s="15" t="n">
        <v>0</v>
      </c>
      <c r="N458" s="15" t="n">
        <v>0</v>
      </c>
      <c r="O458" s="15" t="n">
        <v>0</v>
      </c>
      <c r="P458" s="15" t="n">
        <v>0</v>
      </c>
      <c r="Q458" s="15" t="n">
        <v>0</v>
      </c>
      <c r="R458" s="15" t="n">
        <v>0</v>
      </c>
      <c r="S458" s="15" t="n">
        <v>5</v>
      </c>
      <c r="T458" s="14">
        <f>IF(COUNT(I458:S458)=0,"",SUM(I458:S458))</f>
        <v/>
      </c>
      <c r="U458" t="inlineStr"/>
    </row>
    <row r="459">
      <c r="A459" t="inlineStr">
        <is>
          <t>안락현대어린이집</t>
        </is>
      </c>
      <c r="B459" t="inlineStr">
        <is>
          <t>어린이집</t>
        </is>
      </c>
      <c r="C459" t="inlineStr">
        <is>
          <t>국공립</t>
        </is>
      </c>
      <c r="D459" t="inlineStr">
        <is>
          <t>동래구</t>
        </is>
      </c>
      <c r="E459" t="inlineStr">
        <is>
          <t>부산광역시 동래구 삼어로 9 관리동 1층</t>
        </is>
      </c>
      <c r="F459" t="inlineStr"/>
      <c r="G459" t="inlineStr">
        <is>
          <t>051-525-7979</t>
        </is>
      </c>
      <c r="H459" s="15" t="n">
        <v>34</v>
      </c>
      <c r="I459" s="15" t="n">
        <v>7</v>
      </c>
      <c r="J459" s="15" t="n">
        <v>10</v>
      </c>
      <c r="K459" s="15" t="n">
        <v>14</v>
      </c>
      <c r="L459" s="15" t="n">
        <v>0</v>
      </c>
      <c r="M459" s="15" t="n">
        <v>0</v>
      </c>
      <c r="N459" s="15" t="n">
        <v>0</v>
      </c>
      <c r="O459" s="15" t="n">
        <v>0</v>
      </c>
      <c r="P459" s="15" t="n">
        <v>0</v>
      </c>
      <c r="Q459" s="15" t="n">
        <v>0</v>
      </c>
      <c r="R459" s="15" t="n">
        <v>0</v>
      </c>
      <c r="S459" s="15" t="n">
        <v>5</v>
      </c>
      <c r="T459" s="14">
        <f>IF(COUNT(I459:S459)=0,"",SUM(I459:S459))</f>
        <v/>
      </c>
      <c r="U459" t="inlineStr"/>
    </row>
    <row r="460">
      <c r="A460" t="inlineStr">
        <is>
          <t>양덕어린이집</t>
        </is>
      </c>
      <c r="B460" t="inlineStr">
        <is>
          <t>어린이집</t>
        </is>
      </c>
      <c r="C460" t="inlineStr">
        <is>
          <t>사회복지법인</t>
        </is>
      </c>
      <c r="D460" t="inlineStr">
        <is>
          <t>동래구</t>
        </is>
      </c>
      <c r="E460" t="inlineStr">
        <is>
          <t>부산광역시 동래구 여고로 46 (사직3동)</t>
        </is>
      </c>
      <c r="F460" s="11" t="inlineStr">
        <is>
          <t>http://cafe.daum.net/bsyangduk</t>
        </is>
      </c>
      <c r="G460" t="inlineStr">
        <is>
          <t>051-504-7930</t>
        </is>
      </c>
      <c r="H460" s="15" t="n">
        <v>88</v>
      </c>
      <c r="I460" s="15" t="n">
        <v>0</v>
      </c>
      <c r="J460" s="15" t="n">
        <v>10</v>
      </c>
      <c r="K460" s="15" t="n">
        <v>13</v>
      </c>
      <c r="L460" s="15" t="n">
        <v>0</v>
      </c>
      <c r="M460" s="15" t="n">
        <v>0</v>
      </c>
      <c r="N460" s="15" t="n">
        <v>0</v>
      </c>
      <c r="O460" s="15" t="n">
        <v>0</v>
      </c>
      <c r="P460" s="15" t="n">
        <v>15</v>
      </c>
      <c r="Q460" s="15" t="n">
        <v>0</v>
      </c>
      <c r="R460" s="15" t="n">
        <v>3</v>
      </c>
      <c r="S460" s="15" t="n">
        <v>12</v>
      </c>
      <c r="T460" s="14">
        <f>IF(COUNT(I460:S460)=0,"",SUM(I460:S460))</f>
        <v/>
      </c>
      <c r="U460" t="inlineStr"/>
    </row>
    <row r="461">
      <c r="A461" t="inlineStr">
        <is>
          <t>연두어린이집</t>
        </is>
      </c>
      <c r="B461" t="inlineStr">
        <is>
          <t>어린이집</t>
        </is>
      </c>
      <c r="C461" t="inlineStr">
        <is>
          <t>가정</t>
        </is>
      </c>
      <c r="D461" t="inlineStr">
        <is>
          <t>동래구</t>
        </is>
      </c>
      <c r="E461" t="inlineStr">
        <is>
          <t>부산광역시 동래구 쇠미로119번길 34 (사직2동)</t>
        </is>
      </c>
      <c r="F461" t="inlineStr"/>
      <c r="G461" t="inlineStr">
        <is>
          <t>051-506-1132</t>
        </is>
      </c>
      <c r="H461" s="15" t="n">
        <v>19</v>
      </c>
      <c r="I461" s="15" t="n">
        <v>2</v>
      </c>
      <c r="J461" s="15" t="n">
        <v>4</v>
      </c>
      <c r="K461" s="15" t="n">
        <v>7</v>
      </c>
      <c r="L461" s="15" t="n">
        <v>0</v>
      </c>
      <c r="M461" s="15" t="n">
        <v>0</v>
      </c>
      <c r="N461" s="15" t="n">
        <v>0</v>
      </c>
      <c r="O461" s="15" t="n">
        <v>0</v>
      </c>
      <c r="P461" s="15" t="n">
        <v>0</v>
      </c>
      <c r="Q461" s="15" t="n">
        <v>0</v>
      </c>
      <c r="R461" s="15" t="n">
        <v>0</v>
      </c>
      <c r="S461" s="15" t="n">
        <v>3</v>
      </c>
      <c r="T461" s="14">
        <f>IF(COUNT(I461:S461)=0,"",SUM(I461:S461))</f>
        <v/>
      </c>
      <c r="U461" t="inlineStr"/>
    </row>
    <row r="462">
      <c r="A462" t="inlineStr">
        <is>
          <t>예능어린이집</t>
        </is>
      </c>
      <c r="B462" t="inlineStr">
        <is>
          <t>어린이집</t>
        </is>
      </c>
      <c r="C462" t="inlineStr">
        <is>
          <t>민간</t>
        </is>
      </c>
      <c r="D462" t="inlineStr">
        <is>
          <t>동래구</t>
        </is>
      </c>
      <c r="E462" t="inlineStr">
        <is>
          <t>부산광역시 동래구 동래로 139 (복산동)</t>
        </is>
      </c>
      <c r="F462" t="inlineStr"/>
      <c r="G462" t="inlineStr">
        <is>
          <t>051-554-4671</t>
        </is>
      </c>
      <c r="H462" s="15" t="n">
        <v>249</v>
      </c>
      <c r="I462" s="15" t="n">
        <v>9</v>
      </c>
      <c r="J462" s="15" t="n">
        <v>37</v>
      </c>
      <c r="K462" s="15" t="n">
        <v>39</v>
      </c>
      <c r="L462" s="15" t="n">
        <v>36</v>
      </c>
      <c r="M462" s="15" t="n">
        <v>30</v>
      </c>
      <c r="N462" s="15" t="n">
        <v>28</v>
      </c>
      <c r="O462" s="15" t="n">
        <v>0</v>
      </c>
      <c r="P462" s="15" t="n">
        <v>0</v>
      </c>
      <c r="Q462" s="15" t="n">
        <v>0</v>
      </c>
      <c r="R462" s="15" t="n">
        <v>0</v>
      </c>
      <c r="S462" s="15" t="n">
        <v>20</v>
      </c>
      <c r="T462" s="14">
        <f>IF(COUNT(I462:S462)=0,"",SUM(I462:S462))</f>
        <v/>
      </c>
      <c r="U462" t="inlineStr"/>
    </row>
    <row r="463">
      <c r="A463" t="inlineStr">
        <is>
          <t>예솔어린이집</t>
        </is>
      </c>
      <c r="B463" t="inlineStr">
        <is>
          <t>어린이집</t>
        </is>
      </c>
      <c r="C463" t="inlineStr">
        <is>
          <t>사회복지법인</t>
        </is>
      </c>
      <c r="D463" t="inlineStr">
        <is>
          <t>동래구</t>
        </is>
      </c>
      <c r="E463" t="inlineStr">
        <is>
          <t>부산광역시 동래구 안락로 95-3 (안락2동)</t>
        </is>
      </c>
      <c r="F463" t="inlineStr"/>
      <c r="G463" t="inlineStr">
        <is>
          <t>051-532-0636</t>
        </is>
      </c>
      <c r="H463" s="15" t="n">
        <v>46</v>
      </c>
      <c r="I463" s="15" t="n">
        <v>0</v>
      </c>
      <c r="J463" s="15" t="n">
        <v>0</v>
      </c>
      <c r="K463" s="15" t="n">
        <v>0</v>
      </c>
      <c r="L463" s="15" t="n">
        <v>0</v>
      </c>
      <c r="M463" s="15" t="n">
        <v>0</v>
      </c>
      <c r="N463" s="15" t="n">
        <v>0</v>
      </c>
      <c r="O463" s="15" t="n">
        <v>6</v>
      </c>
      <c r="P463" s="15" t="n">
        <v>5</v>
      </c>
      <c r="Q463" s="15" t="n">
        <v>0</v>
      </c>
      <c r="R463" s="15" t="n">
        <v>0</v>
      </c>
      <c r="S463" s="15" t="n">
        <v>0</v>
      </c>
      <c r="T463" s="14">
        <f>IF(COUNT(I463:S463)=0,"",SUM(I463:S463))</f>
        <v/>
      </c>
      <c r="U463" t="inlineStr"/>
    </row>
    <row r="464">
      <c r="A464" t="inlineStr">
        <is>
          <t>예원어린이집</t>
        </is>
      </c>
      <c r="B464" t="inlineStr">
        <is>
          <t>어린이집</t>
        </is>
      </c>
      <c r="C464" t="inlineStr">
        <is>
          <t>국공립</t>
        </is>
      </c>
      <c r="D464" t="inlineStr">
        <is>
          <t>동래구</t>
        </is>
      </c>
      <c r="E464" t="inlineStr">
        <is>
          <t>부산광역시 동래구 사직로 80 (사직2동)</t>
        </is>
      </c>
      <c r="F464" t="inlineStr"/>
      <c r="G464" t="inlineStr">
        <is>
          <t>051-501-4321</t>
        </is>
      </c>
      <c r="H464" s="15" t="n">
        <v>65</v>
      </c>
      <c r="I464" s="15" t="n">
        <v>0</v>
      </c>
      <c r="J464" s="15" t="n">
        <v>22</v>
      </c>
      <c r="K464" s="15" t="n">
        <v>24</v>
      </c>
      <c r="L464" s="15" t="n">
        <v>0</v>
      </c>
      <c r="M464" s="15" t="n">
        <v>0</v>
      </c>
      <c r="N464" s="15" t="n">
        <v>0</v>
      </c>
      <c r="O464" s="15" t="n">
        <v>0</v>
      </c>
      <c r="P464" s="15" t="n">
        <v>4</v>
      </c>
      <c r="Q464" s="15" t="n">
        <v>0</v>
      </c>
      <c r="R464" s="15" t="n">
        <v>3</v>
      </c>
      <c r="S464" s="15" t="n">
        <v>5</v>
      </c>
      <c r="T464" s="14">
        <f>IF(COUNT(I464:S464)=0,"",SUM(I464:S464))</f>
        <v/>
      </c>
      <c r="U464" t="inlineStr"/>
    </row>
    <row r="465">
      <c r="A465" t="inlineStr">
        <is>
          <t>예지어린이집</t>
        </is>
      </c>
      <c r="B465" t="inlineStr">
        <is>
          <t>어린이집</t>
        </is>
      </c>
      <c r="C465" t="inlineStr">
        <is>
          <t>민간</t>
        </is>
      </c>
      <c r="D465" t="inlineStr">
        <is>
          <t>동래구</t>
        </is>
      </c>
      <c r="E465" t="inlineStr">
        <is>
          <t>부산광역시 동래구 충렬대로100번길 117 10동(온천3동,대가하이츠)</t>
        </is>
      </c>
      <c r="F465" t="inlineStr"/>
      <c r="G465" t="inlineStr">
        <is>
          <t>051-507-5550</t>
        </is>
      </c>
      <c r="H465" s="15" t="n">
        <v>68</v>
      </c>
      <c r="I465" s="15" t="n">
        <v>6</v>
      </c>
      <c r="J465" s="15" t="n">
        <v>14</v>
      </c>
      <c r="K465" s="15" t="n">
        <v>12</v>
      </c>
      <c r="L465" s="15" t="n">
        <v>8</v>
      </c>
      <c r="M465" s="15" t="n">
        <v>0</v>
      </c>
      <c r="N465" s="15" t="n">
        <v>0</v>
      </c>
      <c r="O465" s="15" t="n">
        <v>0</v>
      </c>
      <c r="P465" s="15" t="n">
        <v>12</v>
      </c>
      <c r="Q465" s="15" t="n">
        <v>0</v>
      </c>
      <c r="R465" s="15" t="n">
        <v>0</v>
      </c>
      <c r="S465" s="15" t="n">
        <v>3</v>
      </c>
      <c r="T465" s="14">
        <f>IF(COUNT(I465:S465)=0,"",SUM(I465:S465))</f>
        <v/>
      </c>
      <c r="U465" t="inlineStr"/>
    </row>
    <row r="466">
      <c r="A466" t="inlineStr">
        <is>
          <t>온천3동어린이집</t>
        </is>
      </c>
      <c r="B466" t="inlineStr">
        <is>
          <t>어린이집</t>
        </is>
      </c>
      <c r="C466" t="inlineStr">
        <is>
          <t>국공립</t>
        </is>
      </c>
      <c r="D466" t="inlineStr">
        <is>
          <t>동래구</t>
        </is>
      </c>
      <c r="E466" t="inlineStr">
        <is>
          <t>부산광역시 동래구 아시아드대로220번길 34 (온천3동)</t>
        </is>
      </c>
      <c r="F466" t="inlineStr"/>
      <c r="G466" t="inlineStr">
        <is>
          <t>051-502-3085</t>
        </is>
      </c>
      <c r="H466" s="15" t="n">
        <v>79</v>
      </c>
      <c r="I466" s="15" t="n">
        <v>0</v>
      </c>
      <c r="J466" s="15" t="n">
        <v>15</v>
      </c>
      <c r="K466" s="15" t="n">
        <v>20</v>
      </c>
      <c r="L466" s="15" t="n">
        <v>11</v>
      </c>
      <c r="M466" s="15" t="n">
        <v>0</v>
      </c>
      <c r="N466" s="15" t="n">
        <v>0</v>
      </c>
      <c r="O466" s="15" t="n">
        <v>5</v>
      </c>
      <c r="P466" s="15" t="n">
        <v>12</v>
      </c>
      <c r="Q466" s="15" t="n">
        <v>0</v>
      </c>
      <c r="R466" s="15" t="n">
        <v>3</v>
      </c>
      <c r="S466" s="15" t="n">
        <v>17</v>
      </c>
      <c r="T466" s="14">
        <f>IF(COUNT(I466:S466)=0,"",SUM(I466:S466))</f>
        <v/>
      </c>
      <c r="U466" t="inlineStr"/>
    </row>
    <row r="467">
      <c r="A467" t="inlineStr">
        <is>
          <t>온천보라어린이집</t>
        </is>
      </c>
      <c r="B467" t="inlineStr">
        <is>
          <t>어린이집</t>
        </is>
      </c>
      <c r="C467" t="inlineStr">
        <is>
          <t>국공립</t>
        </is>
      </c>
      <c r="D467" t="inlineStr">
        <is>
          <t>동래구</t>
        </is>
      </c>
      <c r="E467" t="inlineStr">
        <is>
          <t>부산광역시 동래구 우장춘로 174 (온천1동)</t>
        </is>
      </c>
      <c r="F467" t="inlineStr"/>
      <c r="G467" t="inlineStr">
        <is>
          <t>051-552-1310</t>
        </is>
      </c>
      <c r="H467" s="15" t="n">
        <v>85</v>
      </c>
      <c r="I467" s="15" t="n">
        <v>0</v>
      </c>
      <c r="J467" s="15" t="n">
        <v>15</v>
      </c>
      <c r="K467" s="15" t="n">
        <v>13</v>
      </c>
      <c r="L467" s="15" t="n">
        <v>14</v>
      </c>
      <c r="M467" s="15" t="n">
        <v>15</v>
      </c>
      <c r="N467" s="15" t="n">
        <v>17</v>
      </c>
      <c r="O467" s="15" t="n">
        <v>0</v>
      </c>
      <c r="P467" s="15" t="n">
        <v>0</v>
      </c>
      <c r="Q467" s="15" t="n">
        <v>0</v>
      </c>
      <c r="R467" s="15" t="n">
        <v>7</v>
      </c>
      <c r="S467" s="15" t="n">
        <v>20</v>
      </c>
      <c r="T467" s="14">
        <f>IF(COUNT(I467:S467)=0,"",SUM(I467:S467))</f>
        <v/>
      </c>
      <c r="U467" t="inlineStr"/>
    </row>
    <row r="468">
      <c r="A468" t="inlineStr">
        <is>
          <t>온천삼정더베스트어린이집</t>
        </is>
      </c>
      <c r="B468" t="inlineStr">
        <is>
          <t>어린이집</t>
        </is>
      </c>
      <c r="C468" t="inlineStr">
        <is>
          <t>국공립</t>
        </is>
      </c>
      <c r="D468" t="inlineStr">
        <is>
          <t>동래구</t>
        </is>
      </c>
      <c r="E468" t="inlineStr">
        <is>
          <t>부산광역시 동래구 중앙대로1493번길 16 온천더베스트어린이집 103동 1층</t>
        </is>
      </c>
      <c r="F468" t="inlineStr"/>
      <c r="G468" t="inlineStr">
        <is>
          <t>051-993-5004</t>
        </is>
      </c>
      <c r="H468" s="15" t="n">
        <v>30</v>
      </c>
      <c r="I468" s="15" t="n">
        <v>2</v>
      </c>
      <c r="J468" s="15" t="n">
        <v>14</v>
      </c>
      <c r="K468" s="15" t="n">
        <v>14</v>
      </c>
      <c r="L468" s="15" t="n">
        <v>0</v>
      </c>
      <c r="M468" s="15" t="n">
        <v>0</v>
      </c>
      <c r="N468" s="15" t="n">
        <v>0</v>
      </c>
      <c r="O468" s="15" t="n">
        <v>0</v>
      </c>
      <c r="P468" s="15" t="n">
        <v>0</v>
      </c>
      <c r="Q468" s="15" t="n">
        <v>0</v>
      </c>
      <c r="R468" s="15" t="n">
        <v>0</v>
      </c>
      <c r="S468" s="15" t="n">
        <v>7</v>
      </c>
      <c r="T468" s="14">
        <f>IF(COUNT(I468:S468)=0,"",SUM(I468:S468))</f>
        <v/>
      </c>
      <c r="U468" t="inlineStr"/>
    </row>
    <row r="469">
      <c r="A469" t="inlineStr">
        <is>
          <t>온천천경동리인어린이집</t>
        </is>
      </c>
      <c r="B469" t="inlineStr">
        <is>
          <t>어린이집</t>
        </is>
      </c>
      <c r="C469" t="inlineStr">
        <is>
          <t>국공립</t>
        </is>
      </c>
      <c r="D469" t="inlineStr">
        <is>
          <t>동래구</t>
        </is>
      </c>
      <c r="E469" t="inlineStr">
        <is>
          <t>부산광역시 동래구 수안로8번길 62 1층(낙민동, 온천천경동리인아파트)</t>
        </is>
      </c>
      <c r="F469" t="inlineStr"/>
      <c r="G469" t="inlineStr">
        <is>
          <t>051-555-5990</t>
        </is>
      </c>
      <c r="H469" s="15" t="n">
        <v>28</v>
      </c>
      <c r="I469" s="15" t="n">
        <v>6</v>
      </c>
      <c r="J469" s="15" t="n">
        <v>9</v>
      </c>
      <c r="K469" s="15" t="n">
        <v>13</v>
      </c>
      <c r="L469" s="15" t="n">
        <v>0</v>
      </c>
      <c r="M469" s="15" t="n">
        <v>0</v>
      </c>
      <c r="N469" s="15" t="n">
        <v>0</v>
      </c>
      <c r="O469" s="15" t="n">
        <v>0</v>
      </c>
      <c r="P469" s="15" t="n">
        <v>0</v>
      </c>
      <c r="Q469" s="15" t="n">
        <v>0</v>
      </c>
      <c r="R469" s="15" t="n">
        <v>0</v>
      </c>
      <c r="S469" s="15" t="n">
        <v>5</v>
      </c>
      <c r="T469" s="14">
        <f>IF(COUNT(I469:S469)=0,"",SUM(I469:S469))</f>
        <v/>
      </c>
      <c r="U469" t="inlineStr"/>
    </row>
    <row r="470">
      <c r="A470" t="inlineStr">
        <is>
          <t>우리들어린이집</t>
        </is>
      </c>
      <c r="B470" t="inlineStr">
        <is>
          <t>어린이집</t>
        </is>
      </c>
      <c r="C470" t="inlineStr">
        <is>
          <t>민간</t>
        </is>
      </c>
      <c r="D470" t="inlineStr">
        <is>
          <t>동래구</t>
        </is>
      </c>
      <c r="E470" t="inlineStr">
        <is>
          <t>부산광역시 동래구 충렬대로 411 (안락1동)</t>
        </is>
      </c>
      <c r="F470" s="11" t="inlineStr">
        <is>
          <t>http://wooridlehappy.co.kr/</t>
        </is>
      </c>
      <c r="G470" t="inlineStr">
        <is>
          <t>051-524-6868</t>
        </is>
      </c>
      <c r="H470" s="15" t="n">
        <v>197</v>
      </c>
      <c r="I470" s="15" t="n">
        <v>0</v>
      </c>
      <c r="J470" s="15" t="n">
        <v>0</v>
      </c>
      <c r="K470" s="15" t="n">
        <v>14</v>
      </c>
      <c r="L470" s="15" t="n">
        <v>40</v>
      </c>
      <c r="M470" s="15" t="n">
        <v>52</v>
      </c>
      <c r="N470" s="15" t="n">
        <v>52</v>
      </c>
      <c r="O470" s="15" t="n">
        <v>0</v>
      </c>
      <c r="P470" s="15" t="n">
        <v>0</v>
      </c>
      <c r="Q470" s="15" t="n">
        <v>0</v>
      </c>
      <c r="R470" s="15" t="n">
        <v>0</v>
      </c>
      <c r="S470" s="15" t="n">
        <v>33</v>
      </c>
      <c r="T470" s="14">
        <f>IF(COUNT(I470:S470)=0,"",SUM(I470:S470))</f>
        <v/>
      </c>
      <c r="U470" t="inlineStr"/>
    </row>
    <row r="471">
      <c r="A471" t="inlineStr">
        <is>
          <t>우리또래어린이집</t>
        </is>
      </c>
      <c r="B471" t="inlineStr">
        <is>
          <t>어린이집</t>
        </is>
      </c>
      <c r="C471" t="inlineStr">
        <is>
          <t>가정</t>
        </is>
      </c>
      <c r="D471" t="inlineStr">
        <is>
          <t>동래구</t>
        </is>
      </c>
      <c r="E471" t="inlineStr">
        <is>
          <t>부산광역시 동래구 석사북로 16-1 (사직1동)</t>
        </is>
      </c>
      <c r="F471" t="inlineStr"/>
      <c r="G471" t="inlineStr">
        <is>
          <t>051-501-6523</t>
        </is>
      </c>
      <c r="H471" s="15" t="n">
        <v>20</v>
      </c>
      <c r="I471" s="15" t="n">
        <v>4</v>
      </c>
      <c r="J471" s="15" t="n">
        <v>10</v>
      </c>
      <c r="K471" s="15" t="n">
        <v>6</v>
      </c>
      <c r="L471" s="15" t="n">
        <v>0</v>
      </c>
      <c r="M471" s="15" t="n">
        <v>0</v>
      </c>
      <c r="N471" s="15" t="n">
        <v>0</v>
      </c>
      <c r="O471" s="15" t="n">
        <v>0</v>
      </c>
      <c r="P471" s="15" t="n">
        <v>0</v>
      </c>
      <c r="Q471" s="15" t="n">
        <v>0</v>
      </c>
      <c r="R471" s="15" t="n">
        <v>0</v>
      </c>
      <c r="S471" s="15" t="n">
        <v>3</v>
      </c>
      <c r="T471" s="14">
        <f>IF(COUNT(I471:S471)=0,"",SUM(I471:S471))</f>
        <v/>
      </c>
      <c r="U471" t="inlineStr"/>
    </row>
    <row r="472">
      <c r="A472" t="inlineStr">
        <is>
          <t>우리어린이집</t>
        </is>
      </c>
      <c r="B472" t="inlineStr">
        <is>
          <t>어린이집</t>
        </is>
      </c>
      <c r="C472" t="inlineStr">
        <is>
          <t>사회복지법인</t>
        </is>
      </c>
      <c r="D472" t="inlineStr">
        <is>
          <t>동래구</t>
        </is>
      </c>
      <c r="E472" t="inlineStr">
        <is>
          <t>부산광역시 동래구 충렬대로457번길 30-8 (안락2동)</t>
        </is>
      </c>
      <c r="F472" s="11" t="inlineStr">
        <is>
          <t>http://cafe.daum.net/woori-kids</t>
        </is>
      </c>
      <c r="G472" t="inlineStr">
        <is>
          <t>051-532-7777</t>
        </is>
      </c>
      <c r="H472" s="15" t="n">
        <v>49</v>
      </c>
      <c r="I472" s="15" t="n">
        <v>5</v>
      </c>
      <c r="J472" s="15" t="n">
        <v>12</v>
      </c>
      <c r="K472" s="15" t="n">
        <v>16</v>
      </c>
      <c r="L472" s="15" t="n">
        <v>7</v>
      </c>
      <c r="M472" s="15" t="n">
        <v>0</v>
      </c>
      <c r="N472" s="15" t="n">
        <v>0</v>
      </c>
      <c r="O472" s="15" t="n">
        <v>0</v>
      </c>
      <c r="P472" s="15" t="n">
        <v>0</v>
      </c>
      <c r="Q472" s="15" t="n">
        <v>0</v>
      </c>
      <c r="R472" s="15" t="n">
        <v>0</v>
      </c>
      <c r="S472" s="15" t="n">
        <v>5</v>
      </c>
      <c r="T472" s="14">
        <f>IF(COUNT(I472:S472)=0,"",SUM(I472:S472))</f>
        <v/>
      </c>
      <c r="U472" t="inlineStr"/>
    </row>
    <row r="473">
      <c r="A473" t="inlineStr">
        <is>
          <t>우성어린이집</t>
        </is>
      </c>
      <c r="B473" t="inlineStr">
        <is>
          <t>어린이집</t>
        </is>
      </c>
      <c r="C473" t="inlineStr">
        <is>
          <t>가정</t>
        </is>
      </c>
      <c r="D473" t="inlineStr">
        <is>
          <t>동래구</t>
        </is>
      </c>
      <c r="E473" t="inlineStr">
        <is>
          <t>부산광역시 동래구 안남로 9 102-101 (수민동, 동래우성아파트)</t>
        </is>
      </c>
      <c r="F473" t="inlineStr"/>
      <c r="G473" t="inlineStr">
        <is>
          <t>051-524-2340</t>
        </is>
      </c>
      <c r="H473" s="15" t="n">
        <v>20</v>
      </c>
      <c r="I473" s="15" t="n">
        <v>3</v>
      </c>
      <c r="J473" s="15" t="n">
        <v>3</v>
      </c>
      <c r="K473" s="15" t="n">
        <v>0</v>
      </c>
      <c r="L473" s="15" t="n">
        <v>0</v>
      </c>
      <c r="M473" s="15" t="n">
        <v>0</v>
      </c>
      <c r="N473" s="15" t="n">
        <v>0</v>
      </c>
      <c r="O473" s="15" t="n">
        <v>0</v>
      </c>
      <c r="P473" s="15" t="n">
        <v>0</v>
      </c>
      <c r="Q473" s="15" t="n">
        <v>0</v>
      </c>
      <c r="R473" s="15" t="n">
        <v>0</v>
      </c>
      <c r="S473" s="15" t="n">
        <v>2</v>
      </c>
      <c r="T473" s="14">
        <f>IF(COUNT(I473:S473)=0,"",SUM(I473:S473))</f>
        <v/>
      </c>
      <c r="U473" t="inlineStr"/>
    </row>
    <row r="474">
      <c r="A474" t="inlineStr">
        <is>
          <t>웰키즈어린이집</t>
        </is>
      </c>
      <c r="B474" t="inlineStr">
        <is>
          <t>어린이집</t>
        </is>
      </c>
      <c r="C474" t="inlineStr">
        <is>
          <t>가정</t>
        </is>
      </c>
      <c r="D474" t="inlineStr">
        <is>
          <t>동래구</t>
        </is>
      </c>
      <c r="E474" t="inlineStr">
        <is>
          <t>부산광역시 동래구 충렬대로 487 107동 107호(안락2동, 안락에스케이아파트)</t>
        </is>
      </c>
      <c r="F474" t="inlineStr"/>
      <c r="G474" t="inlineStr">
        <is>
          <t>051-532-4616</t>
        </is>
      </c>
      <c r="H474" s="15" t="n">
        <v>20</v>
      </c>
      <c r="I474" s="15" t="n">
        <v>7</v>
      </c>
      <c r="J474" s="15" t="n">
        <v>3</v>
      </c>
      <c r="K474" s="15" t="n">
        <v>0</v>
      </c>
      <c r="L474" s="15" t="n">
        <v>0</v>
      </c>
      <c r="M474" s="15" t="n">
        <v>0</v>
      </c>
      <c r="N474" s="15" t="n">
        <v>0</v>
      </c>
      <c r="O474" s="15" t="n">
        <v>0</v>
      </c>
      <c r="P474" s="15" t="n">
        <v>0</v>
      </c>
      <c r="Q474" s="15" t="n">
        <v>0</v>
      </c>
      <c r="R474" s="15" t="n">
        <v>0</v>
      </c>
      <c r="S474" s="15" t="n">
        <v>4</v>
      </c>
      <c r="T474" s="14">
        <f>IF(COUNT(I474:S474)=0,"",SUM(I474:S474))</f>
        <v/>
      </c>
      <c r="U474" t="inlineStr"/>
    </row>
    <row r="475">
      <c r="A475" t="inlineStr">
        <is>
          <t>유앤아이어린이집</t>
        </is>
      </c>
      <c r="B475" t="inlineStr">
        <is>
          <t>어린이집</t>
        </is>
      </c>
      <c r="C475" t="inlineStr">
        <is>
          <t>국공립</t>
        </is>
      </c>
      <c r="D475" t="inlineStr">
        <is>
          <t>동래구</t>
        </is>
      </c>
      <c r="E475" t="inlineStr">
        <is>
          <t>부산광역시 동래구 온천천로339번길 28</t>
        </is>
      </c>
      <c r="F475" t="inlineStr"/>
      <c r="G475" t="inlineStr">
        <is>
          <t>051-996-2004</t>
        </is>
      </c>
      <c r="H475" s="15" t="n">
        <v>35</v>
      </c>
      <c r="I475" s="15" t="n">
        <v>5</v>
      </c>
      <c r="J475" s="15" t="n">
        <v>15</v>
      </c>
      <c r="K475" s="15" t="n">
        <v>14</v>
      </c>
      <c r="L475" s="15" t="n">
        <v>0</v>
      </c>
      <c r="M475" s="15" t="n">
        <v>0</v>
      </c>
      <c r="N475" s="15" t="n">
        <v>0</v>
      </c>
      <c r="O475" s="15" t="n">
        <v>0</v>
      </c>
      <c r="P475" s="15" t="n">
        <v>0</v>
      </c>
      <c r="Q475" s="15" t="n">
        <v>0</v>
      </c>
      <c r="R475" s="15" t="n">
        <v>0</v>
      </c>
      <c r="S475" s="15" t="n">
        <v>5</v>
      </c>
      <c r="T475" s="14">
        <f>IF(COUNT(I475:S475)=0,"",SUM(I475:S475))</f>
        <v/>
      </c>
      <c r="U475" t="inlineStr"/>
    </row>
    <row r="476">
      <c r="A476" t="inlineStr">
        <is>
          <t>으뜸어린이집</t>
        </is>
      </c>
      <c r="B476" t="inlineStr">
        <is>
          <t>어린이집</t>
        </is>
      </c>
      <c r="C476" t="inlineStr">
        <is>
          <t>가정</t>
        </is>
      </c>
      <c r="D476" t="inlineStr">
        <is>
          <t>동래구</t>
        </is>
      </c>
      <c r="E476" t="inlineStr">
        <is>
          <t>부산광역시 동래구 명륜로 170 112동101호(명륜동,명륜아이파크)</t>
        </is>
      </c>
      <c r="F476" t="inlineStr"/>
      <c r="G476" t="inlineStr">
        <is>
          <t>051-557-2720</t>
        </is>
      </c>
      <c r="H476" s="15" t="n">
        <v>18</v>
      </c>
      <c r="I476" s="15" t="n">
        <v>3</v>
      </c>
      <c r="J476" s="15" t="n">
        <v>5</v>
      </c>
      <c r="K476" s="15" t="n">
        <v>7</v>
      </c>
      <c r="L476" s="15" t="n">
        <v>0</v>
      </c>
      <c r="M476" s="15" t="n">
        <v>0</v>
      </c>
      <c r="N476" s="15" t="n">
        <v>0</v>
      </c>
      <c r="O476" s="15" t="n">
        <v>3</v>
      </c>
      <c r="P476" s="15" t="n">
        <v>0</v>
      </c>
      <c r="Q476" s="15" t="n">
        <v>0</v>
      </c>
      <c r="R476" s="15" t="n">
        <v>0</v>
      </c>
      <c r="S476" s="15" t="n">
        <v>3</v>
      </c>
      <c r="T476" s="14">
        <f>IF(COUNT(I476:S476)=0,"",SUM(I476:S476))</f>
        <v/>
      </c>
      <c r="U476" t="inlineStr"/>
    </row>
    <row r="477">
      <c r="A477" t="inlineStr">
        <is>
          <t>이편한세상동래온천어린이집</t>
        </is>
      </c>
      <c r="B477" t="inlineStr">
        <is>
          <t>어린이집</t>
        </is>
      </c>
      <c r="C477" t="inlineStr">
        <is>
          <t>국공립</t>
        </is>
      </c>
      <c r="D477" t="inlineStr">
        <is>
          <t>동래구</t>
        </is>
      </c>
      <c r="E477" t="inlineStr">
        <is>
          <t>부산광역시 동래구 아시아드대로 202 e편한세상 동래아시아드아파트</t>
        </is>
      </c>
      <c r="F477" s="11" t="inlineStr">
        <is>
          <t>http://www.youtube.com/@김엄지척</t>
        </is>
      </c>
      <c r="G477" t="inlineStr">
        <is>
          <t>051-991-5004</t>
        </is>
      </c>
      <c r="H477" s="15" t="n">
        <v>71</v>
      </c>
      <c r="I477" s="15" t="n">
        <v>8</v>
      </c>
      <c r="J477" s="15" t="n">
        <v>25</v>
      </c>
      <c r="K477" s="15" t="n">
        <v>25</v>
      </c>
      <c r="L477" s="15" t="n">
        <v>6</v>
      </c>
      <c r="M477" s="15" t="n">
        <v>0</v>
      </c>
      <c r="N477" s="15" t="n">
        <v>0</v>
      </c>
      <c r="O477" s="15" t="n">
        <v>0</v>
      </c>
      <c r="P477" s="15" t="n">
        <v>0</v>
      </c>
      <c r="Q477" s="15" t="n">
        <v>0</v>
      </c>
      <c r="R477" s="15" t="n">
        <v>0</v>
      </c>
      <c r="S477" s="15" t="n">
        <v>5</v>
      </c>
      <c r="T477" s="14">
        <f>IF(COUNT(I477:S477)=0,"",SUM(I477:S477))</f>
        <v/>
      </c>
      <c r="U477" t="inlineStr"/>
    </row>
    <row r="478">
      <c r="A478" t="inlineStr">
        <is>
          <t>작은샘어린이집</t>
        </is>
      </c>
      <c r="B478" t="inlineStr">
        <is>
          <t>어린이집</t>
        </is>
      </c>
      <c r="C478" t="inlineStr">
        <is>
          <t>민간</t>
        </is>
      </c>
      <c r="D478" t="inlineStr">
        <is>
          <t>동래구</t>
        </is>
      </c>
      <c r="E478" t="inlineStr">
        <is>
          <t>부산광역시 동래구 명서로 153-4 (명장2동)</t>
        </is>
      </c>
      <c r="F478" s="11" t="inlineStr">
        <is>
          <t>http://dotmfkdls@hanmail.net</t>
        </is>
      </c>
      <c r="G478" t="inlineStr">
        <is>
          <t>051-528-3233</t>
        </is>
      </c>
      <c r="H478" s="15" t="n">
        <v>39</v>
      </c>
      <c r="I478" s="15" t="n">
        <v>0</v>
      </c>
      <c r="J478" s="15" t="n">
        <v>0</v>
      </c>
      <c r="K478" s="15" t="n">
        <v>0</v>
      </c>
      <c r="L478" s="15" t="n">
        <v>0</v>
      </c>
      <c r="M478" s="15" t="n">
        <v>0</v>
      </c>
      <c r="N478" s="15" t="n">
        <v>0</v>
      </c>
      <c r="O478" s="15" t="n">
        <v>7</v>
      </c>
      <c r="P478" s="15" t="n">
        <v>5</v>
      </c>
      <c r="Q478" s="15" t="n">
        <v>0</v>
      </c>
      <c r="R478" s="15" t="n">
        <v>0</v>
      </c>
      <c r="S478" s="15" t="n">
        <v>3</v>
      </c>
      <c r="T478" s="14">
        <f>IF(COUNT(I478:S478)=0,"",SUM(I478:S478))</f>
        <v/>
      </c>
      <c r="U478" t="inlineStr"/>
    </row>
    <row r="479">
      <c r="A479" t="inlineStr">
        <is>
          <t>정다운어린이집</t>
        </is>
      </c>
      <c r="B479" t="inlineStr">
        <is>
          <t>어린이집</t>
        </is>
      </c>
      <c r="C479" t="inlineStr">
        <is>
          <t>국공립</t>
        </is>
      </c>
      <c r="D479" t="inlineStr">
        <is>
          <t>동래구</t>
        </is>
      </c>
      <c r="E479" t="inlineStr">
        <is>
          <t>부산광역시 동래구 석사북로 42</t>
        </is>
      </c>
      <c r="F479" t="inlineStr"/>
      <c r="G479" t="inlineStr">
        <is>
          <t>051-507-2005</t>
        </is>
      </c>
      <c r="H479" s="15" t="n">
        <v>82</v>
      </c>
      <c r="I479" s="15" t="n">
        <v>4</v>
      </c>
      <c r="J479" s="15" t="n">
        <v>10</v>
      </c>
      <c r="K479" s="15" t="n">
        <v>16</v>
      </c>
      <c r="L479" s="15" t="n">
        <v>14</v>
      </c>
      <c r="M479" s="15" t="n">
        <v>9</v>
      </c>
      <c r="N479" s="15" t="n">
        <v>0</v>
      </c>
      <c r="O479" s="15" t="n">
        <v>0</v>
      </c>
      <c r="P479" s="15" t="n">
        <v>9</v>
      </c>
      <c r="Q479" s="15" t="n">
        <v>0</v>
      </c>
      <c r="R479" s="15" t="n">
        <v>0</v>
      </c>
      <c r="S479" s="15" t="n">
        <v>5</v>
      </c>
      <c r="T479" s="14">
        <f>IF(COUNT(I479:S479)=0,"",SUM(I479:S479))</f>
        <v/>
      </c>
      <c r="U479" t="inlineStr"/>
    </row>
    <row r="480">
      <c r="A480" t="inlineStr">
        <is>
          <t>주영어린이집</t>
        </is>
      </c>
      <c r="B480" t="inlineStr">
        <is>
          <t>어린이집</t>
        </is>
      </c>
      <c r="C480" t="inlineStr">
        <is>
          <t>민간</t>
        </is>
      </c>
      <c r="D480" t="inlineStr">
        <is>
          <t>동래구</t>
        </is>
      </c>
      <c r="E480" t="inlineStr">
        <is>
          <t>부산광역시 동래구 시실로211번길 51 (명장2동)</t>
        </is>
      </c>
      <c r="F480" t="inlineStr"/>
      <c r="G480" t="inlineStr">
        <is>
          <t>051-523-0666</t>
        </is>
      </c>
      <c r="H480" s="15" t="n">
        <v>127</v>
      </c>
      <c r="I480" s="15" t="n">
        <v>3</v>
      </c>
      <c r="J480" s="15" t="n">
        <v>10</v>
      </c>
      <c r="K480" s="15" t="n">
        <v>6</v>
      </c>
      <c r="L480" s="15" t="n">
        <v>0</v>
      </c>
      <c r="M480" s="15" t="n">
        <v>0</v>
      </c>
      <c r="N480" s="15" t="n">
        <v>14</v>
      </c>
      <c r="O480" s="15" t="n">
        <v>0</v>
      </c>
      <c r="P480" s="15" t="n">
        <v>13</v>
      </c>
      <c r="Q480" s="15" t="n">
        <v>0</v>
      </c>
      <c r="R480" s="15" t="n">
        <v>0</v>
      </c>
      <c r="S480" s="15" t="n">
        <v>11</v>
      </c>
      <c r="T480" s="14">
        <f>IF(COUNT(I480:S480)=0,"",SUM(I480:S480))</f>
        <v/>
      </c>
      <c r="U480" t="inlineStr"/>
    </row>
    <row r="481">
      <c r="A481" t="inlineStr">
        <is>
          <t>지혜어린이집</t>
        </is>
      </c>
      <c r="B481" t="inlineStr">
        <is>
          <t>어린이집</t>
        </is>
      </c>
      <c r="C481" t="inlineStr">
        <is>
          <t>민간</t>
        </is>
      </c>
      <c r="D481" t="inlineStr">
        <is>
          <t>동래구</t>
        </is>
      </c>
      <c r="E481" t="inlineStr">
        <is>
          <t>부산광역시 동래구 명안로71번길 37-4 (명장1동)</t>
        </is>
      </c>
      <c r="F481" t="inlineStr"/>
      <c r="G481" t="inlineStr">
        <is>
          <t>051-522-3057</t>
        </is>
      </c>
      <c r="H481" s="15" t="n">
        <v>39</v>
      </c>
      <c r="I481" s="15" t="n">
        <v>6</v>
      </c>
      <c r="J481" s="15" t="n">
        <v>5</v>
      </c>
      <c r="K481" s="15" t="n">
        <v>7</v>
      </c>
      <c r="L481" s="15" t="n">
        <v>0</v>
      </c>
      <c r="M481" s="15" t="n">
        <v>0</v>
      </c>
      <c r="N481" s="15" t="n">
        <v>0</v>
      </c>
      <c r="O481" s="15" t="n">
        <v>0</v>
      </c>
      <c r="P481" s="15" t="n">
        <v>6</v>
      </c>
      <c r="Q481" s="15" t="n">
        <v>0</v>
      </c>
      <c r="R481" s="15" t="n">
        <v>0</v>
      </c>
      <c r="S481" s="15" t="n">
        <v>5</v>
      </c>
      <c r="T481" s="14">
        <f>IF(COUNT(I481:S481)=0,"",SUM(I481:S481))</f>
        <v/>
      </c>
      <c r="U481" t="inlineStr"/>
    </row>
    <row r="482">
      <c r="A482" t="inlineStr">
        <is>
          <t>참사랑어린이집</t>
        </is>
      </c>
      <c r="B482" t="inlineStr">
        <is>
          <t>어린이집</t>
        </is>
      </c>
      <c r="C482" t="inlineStr">
        <is>
          <t>가정</t>
        </is>
      </c>
      <c r="D482" t="inlineStr">
        <is>
          <t>동래구</t>
        </is>
      </c>
      <c r="E482" t="inlineStr">
        <is>
          <t>부산광역시 동래구 연안로 74 211동 102호(안락2동, 안락뜨란채2단지)</t>
        </is>
      </c>
      <c r="F482" t="inlineStr"/>
      <c r="G482" t="inlineStr">
        <is>
          <t>051-522-2705</t>
        </is>
      </c>
      <c r="H482" s="15" t="n">
        <v>19</v>
      </c>
      <c r="I482" s="15" t="n">
        <v>2</v>
      </c>
      <c r="J482" s="15" t="n">
        <v>5</v>
      </c>
      <c r="K482" s="15" t="n">
        <v>4</v>
      </c>
      <c r="L482" s="15" t="n">
        <v>0</v>
      </c>
      <c r="M482" s="15" t="n">
        <v>0</v>
      </c>
      <c r="N482" s="15" t="n">
        <v>0</v>
      </c>
      <c r="O482" s="15" t="n">
        <v>0</v>
      </c>
      <c r="P482" s="15" t="n">
        <v>0</v>
      </c>
      <c r="Q482" s="15" t="n">
        <v>0</v>
      </c>
      <c r="R482" s="15" t="n">
        <v>0</v>
      </c>
      <c r="S482" s="15" t="n">
        <v>3</v>
      </c>
      <c r="T482" s="14">
        <f>IF(COUNT(I482:S482)=0,"",SUM(I482:S482))</f>
        <v/>
      </c>
      <c r="U482" t="inlineStr"/>
    </row>
    <row r="483">
      <c r="A483" t="inlineStr">
        <is>
          <t>창의영재어린이집</t>
        </is>
      </c>
      <c r="B483" t="inlineStr">
        <is>
          <t>어린이집</t>
        </is>
      </c>
      <c r="C483" t="inlineStr">
        <is>
          <t>가정</t>
        </is>
      </c>
      <c r="D483" t="inlineStr">
        <is>
          <t>동래구</t>
        </is>
      </c>
      <c r="E483" t="inlineStr">
        <is>
          <t>부산광역시 동래구 우장춘로108번길 22</t>
        </is>
      </c>
      <c r="F483" s="11" t="inlineStr">
        <is>
          <t>http://cafe.daum.net/changeuichild</t>
        </is>
      </c>
      <c r="G483" t="inlineStr">
        <is>
          <t>051-555-8818</t>
        </is>
      </c>
      <c r="H483" s="15" t="n">
        <v>19</v>
      </c>
      <c r="I483" s="15" t="n">
        <v>2</v>
      </c>
      <c r="J483" s="15" t="n">
        <v>0</v>
      </c>
      <c r="K483" s="15" t="n">
        <v>0</v>
      </c>
      <c r="L483" s="15" t="n">
        <v>0</v>
      </c>
      <c r="M483" s="15" t="n">
        <v>0</v>
      </c>
      <c r="N483" s="15" t="n">
        <v>0</v>
      </c>
      <c r="O483" s="15" t="n">
        <v>3</v>
      </c>
      <c r="P483" s="15" t="n">
        <v>0</v>
      </c>
      <c r="Q483" s="15" t="n">
        <v>0</v>
      </c>
      <c r="R483" s="15" t="n">
        <v>0</v>
      </c>
      <c r="S483" s="15" t="n">
        <v>0</v>
      </c>
      <c r="T483" s="14">
        <f>IF(COUNT(I483:S483)=0,"",SUM(I483:S483))</f>
        <v/>
      </c>
      <c r="U483" t="inlineStr"/>
    </row>
    <row r="484">
      <c r="A484" t="inlineStr">
        <is>
          <t>코끼리자연어린이집</t>
        </is>
      </c>
      <c r="B484" t="inlineStr">
        <is>
          <t>어린이집</t>
        </is>
      </c>
      <c r="C484" t="inlineStr">
        <is>
          <t>민간</t>
        </is>
      </c>
      <c r="D484" t="inlineStr">
        <is>
          <t>동래구</t>
        </is>
      </c>
      <c r="E484" t="inlineStr">
        <is>
          <t>부산광역시 동래구 칠산로 29 (복산동)</t>
        </is>
      </c>
      <c r="F484" t="inlineStr"/>
      <c r="G484" t="inlineStr">
        <is>
          <t>051-553-1112</t>
        </is>
      </c>
      <c r="H484" s="15" t="n">
        <v>65</v>
      </c>
      <c r="I484" s="15" t="n">
        <v>0</v>
      </c>
      <c r="J484" s="15" t="n">
        <v>0</v>
      </c>
      <c r="K484" s="15" t="n">
        <v>0</v>
      </c>
      <c r="L484" s="15" t="n">
        <v>0</v>
      </c>
      <c r="M484" s="15" t="n">
        <v>0</v>
      </c>
      <c r="N484" s="15" t="n">
        <v>0</v>
      </c>
      <c r="O484" s="15" t="n">
        <v>0</v>
      </c>
      <c r="P484" s="15" t="n">
        <v>4</v>
      </c>
      <c r="Q484" s="15" t="n">
        <v>0</v>
      </c>
      <c r="R484" s="15" t="n">
        <v>0</v>
      </c>
      <c r="S484" s="15" t="n">
        <v>0</v>
      </c>
      <c r="T484" s="14">
        <f>IF(COUNT(I484:S484)=0,"",SUM(I484:S484))</f>
        <v/>
      </c>
      <c r="U484" t="inlineStr"/>
    </row>
    <row r="485">
      <c r="A485" t="inlineStr">
        <is>
          <t>큰나무어린이집</t>
        </is>
      </c>
      <c r="B485" t="inlineStr">
        <is>
          <t>어린이집</t>
        </is>
      </c>
      <c r="C485" t="inlineStr">
        <is>
          <t>민간</t>
        </is>
      </c>
      <c r="D485" t="inlineStr">
        <is>
          <t>동래구</t>
        </is>
      </c>
      <c r="E485" t="inlineStr">
        <is>
          <t>부산광역시 동래구 호현길 50 (안락1동)</t>
        </is>
      </c>
      <c r="F485" t="inlineStr"/>
      <c r="G485" t="inlineStr">
        <is>
          <t>051-553-7939</t>
        </is>
      </c>
      <c r="H485" s="15" t="n">
        <v>39</v>
      </c>
      <c r="I485" s="15" t="n">
        <v>0</v>
      </c>
      <c r="J485" s="15" t="n">
        <v>4</v>
      </c>
      <c r="K485" s="15" t="n">
        <v>5</v>
      </c>
      <c r="L485" s="15" t="n">
        <v>0</v>
      </c>
      <c r="M485" s="15" t="n">
        <v>0</v>
      </c>
      <c r="N485" s="15" t="n">
        <v>0</v>
      </c>
      <c r="O485" s="15" t="n">
        <v>0</v>
      </c>
      <c r="P485" s="15" t="n">
        <v>0</v>
      </c>
      <c r="Q485" s="15" t="n">
        <v>0</v>
      </c>
      <c r="R485" s="15" t="n">
        <v>0</v>
      </c>
      <c r="S485" s="15" t="n">
        <v>3</v>
      </c>
      <c r="T485" s="14">
        <f>IF(COUNT(I485:S485)=0,"",SUM(I485:S485))</f>
        <v/>
      </c>
      <c r="U485" t="inlineStr"/>
    </row>
    <row r="486">
      <c r="A486" t="inlineStr">
        <is>
          <t>파랑새어린이집</t>
        </is>
      </c>
      <c r="B486" t="inlineStr">
        <is>
          <t>어린이집</t>
        </is>
      </c>
      <c r="C486" t="inlineStr">
        <is>
          <t>민간</t>
        </is>
      </c>
      <c r="D486" t="inlineStr">
        <is>
          <t>동래구</t>
        </is>
      </c>
      <c r="E486" t="inlineStr">
        <is>
          <t>부산광역시 동래구 온천천로437번길 25-1 (안락1동)</t>
        </is>
      </c>
      <c r="F486" t="inlineStr"/>
      <c r="G486" t="inlineStr">
        <is>
          <t>051-531-7177</t>
        </is>
      </c>
      <c r="H486" s="15" t="n">
        <v>43</v>
      </c>
      <c r="I486" s="15" t="n">
        <v>6</v>
      </c>
      <c r="J486" s="15" t="n">
        <v>9</v>
      </c>
      <c r="K486" s="15" t="n">
        <v>13</v>
      </c>
      <c r="L486" s="15" t="n">
        <v>0</v>
      </c>
      <c r="M486" s="15" t="n">
        <v>0</v>
      </c>
      <c r="N486" s="15" t="n">
        <v>0</v>
      </c>
      <c r="O486" s="15" t="n">
        <v>0</v>
      </c>
      <c r="P486" s="15" t="n">
        <v>0</v>
      </c>
      <c r="Q486" s="15" t="n">
        <v>0</v>
      </c>
      <c r="R486" s="15" t="n">
        <v>0</v>
      </c>
      <c r="S486" s="15" t="n">
        <v>5</v>
      </c>
      <c r="T486" s="14">
        <f>IF(COUNT(I486:S486)=0,"",SUM(I486:S486))</f>
        <v/>
      </c>
      <c r="U486" t="inlineStr"/>
    </row>
    <row r="487">
      <c r="A487" t="inlineStr">
        <is>
          <t>포구나무어린이집</t>
        </is>
      </c>
      <c r="B487" t="inlineStr">
        <is>
          <t>어린이집</t>
        </is>
      </c>
      <c r="C487" t="inlineStr">
        <is>
          <t>협동</t>
        </is>
      </c>
      <c r="D487" t="inlineStr">
        <is>
          <t>동래구</t>
        </is>
      </c>
      <c r="E487" t="inlineStr">
        <is>
          <t>부산광역시 동래구 쇠미로129번길 102-8 (온천3동)</t>
        </is>
      </c>
      <c r="F487" s="11" t="inlineStr">
        <is>
          <t>http://blog.naver.com/pogutree1</t>
        </is>
      </c>
      <c r="G487" t="inlineStr">
        <is>
          <t>051-557-1229</t>
        </is>
      </c>
      <c r="H487" s="15" t="n">
        <v>33</v>
      </c>
      <c r="I487" s="15" t="n">
        <v>0</v>
      </c>
      <c r="J487" s="15" t="n">
        <v>0</v>
      </c>
      <c r="K487" s="15" t="n">
        <v>0</v>
      </c>
      <c r="L487" s="15" t="n">
        <v>0</v>
      </c>
      <c r="M487" s="15" t="n">
        <v>0</v>
      </c>
      <c r="N487" s="15" t="n">
        <v>0</v>
      </c>
      <c r="O487" s="15" t="n">
        <v>5</v>
      </c>
      <c r="P487" s="15" t="n">
        <v>10</v>
      </c>
      <c r="Q487" s="15" t="n">
        <v>0</v>
      </c>
      <c r="R487" s="15" t="n">
        <v>0</v>
      </c>
      <c r="S487" s="15" t="n">
        <v>10</v>
      </c>
      <c r="T487" s="14">
        <f>IF(COUNT(I487:S487)=0,"",SUM(I487:S487))</f>
        <v/>
      </c>
      <c r="U487" t="inlineStr"/>
    </row>
    <row r="488">
      <c r="A488" t="inlineStr">
        <is>
          <t>하늘샘어린이집</t>
        </is>
      </c>
      <c r="B488" t="inlineStr">
        <is>
          <t>어린이집</t>
        </is>
      </c>
      <c r="C488" t="inlineStr">
        <is>
          <t>가정</t>
        </is>
      </c>
      <c r="D488" t="inlineStr">
        <is>
          <t>동래구</t>
        </is>
      </c>
      <c r="E488" t="inlineStr">
        <is>
          <t>부산광역시 동래구 금강로 28 온천삼익아파트 2-110(온천2동)</t>
        </is>
      </c>
      <c r="F488" s="11" t="inlineStr">
        <is>
          <t>https://band.naver.com</t>
        </is>
      </c>
      <c r="G488" t="inlineStr">
        <is>
          <t>051-557-1080</t>
        </is>
      </c>
      <c r="H488" s="15" t="n">
        <v>19</v>
      </c>
      <c r="I488" s="15" t="n">
        <v>7</v>
      </c>
      <c r="J488" s="15" t="n">
        <v>5</v>
      </c>
      <c r="K488" s="15" t="n">
        <v>5</v>
      </c>
      <c r="L488" s="15" t="n">
        <v>0</v>
      </c>
      <c r="M488" s="15" t="n">
        <v>0</v>
      </c>
      <c r="N488" s="15" t="n">
        <v>0</v>
      </c>
      <c r="O488" s="15" t="n">
        <v>0</v>
      </c>
      <c r="P488" s="15" t="n">
        <v>0</v>
      </c>
      <c r="Q488" s="15" t="n">
        <v>0</v>
      </c>
      <c r="R488" s="15" t="n">
        <v>0</v>
      </c>
      <c r="S488" s="15" t="n">
        <v>3</v>
      </c>
      <c r="T488" s="14">
        <f>IF(COUNT(I488:S488)=0,"",SUM(I488:S488))</f>
        <v/>
      </c>
      <c r="U488" t="inlineStr"/>
    </row>
    <row r="489">
      <c r="A489" t="inlineStr">
        <is>
          <t>하늘숲어린이집</t>
        </is>
      </c>
      <c r="B489" t="inlineStr">
        <is>
          <t>어린이집</t>
        </is>
      </c>
      <c r="C489" t="inlineStr">
        <is>
          <t>민간</t>
        </is>
      </c>
      <c r="D489" t="inlineStr">
        <is>
          <t>동래구</t>
        </is>
      </c>
      <c r="E489" t="inlineStr">
        <is>
          <t>부산광역시 동래구 충렬대로446번나길 27 (안락2동)</t>
        </is>
      </c>
      <c r="F489" t="inlineStr"/>
      <c r="G489" t="inlineStr">
        <is>
          <t>051-526-1353</t>
        </is>
      </c>
      <c r="H489" s="15" t="n">
        <v>49</v>
      </c>
      <c r="I489" s="15" t="n">
        <v>9</v>
      </c>
      <c r="J489" s="15" t="n">
        <v>19</v>
      </c>
      <c r="K489" s="15" t="n">
        <v>15</v>
      </c>
      <c r="L489" s="15" t="n">
        <v>0</v>
      </c>
      <c r="M489" s="15" t="n">
        <v>0</v>
      </c>
      <c r="N489" s="15" t="n">
        <v>0</v>
      </c>
      <c r="O489" s="15" t="n">
        <v>0</v>
      </c>
      <c r="P489" s="15" t="n">
        <v>0</v>
      </c>
      <c r="Q489" s="15" t="n">
        <v>0</v>
      </c>
      <c r="R489" s="15" t="n">
        <v>0</v>
      </c>
      <c r="S489" s="15" t="n">
        <v>3</v>
      </c>
      <c r="T489" s="14">
        <f>IF(COUNT(I489:S489)=0,"",SUM(I489:S489))</f>
        <v/>
      </c>
      <c r="U489" t="inlineStr"/>
    </row>
    <row r="490">
      <c r="A490" t="inlineStr">
        <is>
          <t>하랑어린이집</t>
        </is>
      </c>
      <c r="B490" t="inlineStr">
        <is>
          <t>어린이집</t>
        </is>
      </c>
      <c r="C490" t="inlineStr">
        <is>
          <t>가정</t>
        </is>
      </c>
      <c r="D490" t="inlineStr">
        <is>
          <t>동래구</t>
        </is>
      </c>
      <c r="E490" t="inlineStr">
        <is>
          <t>부산광역시 동래구 충렬대로 487 109동 106호(안락2동, 안락에스케이아파트)</t>
        </is>
      </c>
      <c r="F490" s="11" t="inlineStr">
        <is>
          <t>http://lovsoona@hanmail.net</t>
        </is>
      </c>
      <c r="G490" t="inlineStr">
        <is>
          <t>051-531-5011</t>
        </is>
      </c>
      <c r="H490" s="15" t="n">
        <v>19</v>
      </c>
      <c r="I490" s="15" t="n">
        <v>2</v>
      </c>
      <c r="J490" s="15" t="n">
        <v>6</v>
      </c>
      <c r="K490" s="15" t="n">
        <v>0</v>
      </c>
      <c r="L490" s="15" t="n">
        <v>0</v>
      </c>
      <c r="M490" s="15" t="n">
        <v>0</v>
      </c>
      <c r="N490" s="15" t="n">
        <v>0</v>
      </c>
      <c r="O490" s="15" t="n">
        <v>0</v>
      </c>
      <c r="P490" s="15" t="n">
        <v>0</v>
      </c>
      <c r="Q490" s="15" t="n">
        <v>0</v>
      </c>
      <c r="R490" s="15" t="n">
        <v>0</v>
      </c>
      <c r="S490" s="15" t="n">
        <v>3</v>
      </c>
      <c r="T490" s="14">
        <f>IF(COUNT(I490:S490)=0,"",SUM(I490:S490))</f>
        <v/>
      </c>
      <c r="U490" t="inlineStr"/>
    </row>
    <row r="491">
      <c r="A491" t="inlineStr">
        <is>
          <t>한독온천어린이집</t>
        </is>
      </c>
      <c r="B491" t="inlineStr">
        <is>
          <t>어린이집</t>
        </is>
      </c>
      <c r="C491" t="inlineStr">
        <is>
          <t>민간</t>
        </is>
      </c>
      <c r="D491" t="inlineStr">
        <is>
          <t>동래구</t>
        </is>
      </c>
      <c r="E491" t="inlineStr">
        <is>
          <t>부산광역시 동래구 석사북로95번길 72 (온천3동)</t>
        </is>
      </c>
      <c r="F491" t="inlineStr"/>
      <c r="G491" t="inlineStr">
        <is>
          <t>051-505-5561</t>
        </is>
      </c>
      <c r="H491" s="15" t="n">
        <v>147</v>
      </c>
      <c r="I491" s="15" t="n">
        <v>14</v>
      </c>
      <c r="J491" s="15" t="n">
        <v>15</v>
      </c>
      <c r="K491" s="15" t="n">
        <v>33</v>
      </c>
      <c r="L491" s="15" t="n">
        <v>13</v>
      </c>
      <c r="M491" s="15" t="n">
        <v>15</v>
      </c>
      <c r="N491" s="15" t="n">
        <v>11</v>
      </c>
      <c r="O491" s="15" t="n">
        <v>0</v>
      </c>
      <c r="P491" s="15" t="n">
        <v>0</v>
      </c>
      <c r="Q491" s="15" t="n">
        <v>0</v>
      </c>
      <c r="R491" s="15" t="n">
        <v>0</v>
      </c>
      <c r="S491" s="15" t="n">
        <v>30</v>
      </c>
      <c r="T491" s="14">
        <f>IF(COUNT(I491:S491)=0,"",SUM(I491:S491))</f>
        <v/>
      </c>
      <c r="U491" t="inlineStr"/>
    </row>
    <row r="492">
      <c r="A492" t="inlineStr">
        <is>
          <t>한마음어린이집</t>
        </is>
      </c>
      <c r="B492" t="inlineStr">
        <is>
          <t>어린이집</t>
        </is>
      </c>
      <c r="C492" t="inlineStr">
        <is>
          <t>국공립</t>
        </is>
      </c>
      <c r="D492" t="inlineStr">
        <is>
          <t>동래구</t>
        </is>
      </c>
      <c r="E492" t="inlineStr">
        <is>
          <t>부산광역시 동래구 명안로78번길 9 (명장1동)</t>
        </is>
      </c>
      <c r="F492" t="inlineStr"/>
      <c r="G492" t="inlineStr">
        <is>
          <t>051-524-0014</t>
        </is>
      </c>
      <c r="H492" s="15" t="n">
        <v>83</v>
      </c>
      <c r="I492" s="15" t="n">
        <v>5</v>
      </c>
      <c r="J492" s="15" t="n">
        <v>9</v>
      </c>
      <c r="K492" s="15" t="n">
        <v>14</v>
      </c>
      <c r="L492" s="15" t="n">
        <v>3</v>
      </c>
      <c r="M492" s="15" t="n">
        <v>0</v>
      </c>
      <c r="N492" s="15" t="n">
        <v>0</v>
      </c>
      <c r="O492" s="15" t="n">
        <v>0</v>
      </c>
      <c r="P492" s="15" t="n">
        <v>9</v>
      </c>
      <c r="Q492" s="15" t="n">
        <v>0</v>
      </c>
      <c r="R492" s="15" t="n">
        <v>5</v>
      </c>
      <c r="S492" s="15" t="n">
        <v>5</v>
      </c>
      <c r="T492" s="14">
        <f>IF(COUNT(I492:S492)=0,"",SUM(I492:S492))</f>
        <v/>
      </c>
      <c r="U492" t="inlineStr"/>
    </row>
    <row r="493">
      <c r="A493" t="inlineStr">
        <is>
          <t>한빛어린이집</t>
        </is>
      </c>
      <c r="B493" t="inlineStr">
        <is>
          <t>어린이집</t>
        </is>
      </c>
      <c r="C493" t="inlineStr">
        <is>
          <t>민간</t>
        </is>
      </c>
      <c r="D493" t="inlineStr">
        <is>
          <t>동래구</t>
        </is>
      </c>
      <c r="E493" t="inlineStr">
        <is>
          <t>부산광역시 동래구 명안로45번길 19 (안락1동)</t>
        </is>
      </c>
      <c r="F493" t="inlineStr"/>
      <c r="G493" t="inlineStr">
        <is>
          <t>051-522-6877</t>
        </is>
      </c>
      <c r="H493" s="15" t="n">
        <v>49</v>
      </c>
      <c r="I493" s="15" t="n">
        <v>0</v>
      </c>
      <c r="J493" s="15" t="n">
        <v>0</v>
      </c>
      <c r="K493" s="15" t="n">
        <v>4</v>
      </c>
      <c r="L493" s="15" t="n">
        <v>0</v>
      </c>
      <c r="M493" s="15" t="n">
        <v>0</v>
      </c>
      <c r="N493" s="15" t="n">
        <v>0</v>
      </c>
      <c r="O493" s="15" t="n">
        <v>6</v>
      </c>
      <c r="P493" s="15" t="n">
        <v>13</v>
      </c>
      <c r="Q493" s="15" t="n">
        <v>0</v>
      </c>
      <c r="R493" s="15" t="n">
        <v>0</v>
      </c>
      <c r="S493" s="15" t="n">
        <v>8</v>
      </c>
      <c r="T493" s="14">
        <f>IF(COUNT(I493:S493)=0,"",SUM(I493:S493))</f>
        <v/>
      </c>
      <c r="U493" t="inlineStr"/>
    </row>
    <row r="494">
      <c r="A494" t="inlineStr">
        <is>
          <t>한아름어린이집</t>
        </is>
      </c>
      <c r="B494" t="inlineStr">
        <is>
          <t>어린이집</t>
        </is>
      </c>
      <c r="C494" t="inlineStr">
        <is>
          <t>가정</t>
        </is>
      </c>
      <c r="D494" t="inlineStr">
        <is>
          <t>동래구</t>
        </is>
      </c>
      <c r="E494" t="inlineStr">
        <is>
          <t>부산광역시 동래구 우장춘로74번길 17 동우빌 102호 (온천2동)</t>
        </is>
      </c>
      <c r="F494" s="11" t="inlineStr">
        <is>
          <t>http://hana5361@hammail.net</t>
        </is>
      </c>
      <c r="G494" t="inlineStr">
        <is>
          <t>051-555-5361</t>
        </is>
      </c>
      <c r="H494" s="15" t="n">
        <v>20</v>
      </c>
      <c r="I494" s="15" t="n">
        <v>5</v>
      </c>
      <c r="J494" s="15" t="n">
        <v>3</v>
      </c>
      <c r="K494" s="15" t="n">
        <v>10</v>
      </c>
      <c r="L494" s="15" t="n">
        <v>0</v>
      </c>
      <c r="M494" s="15" t="n">
        <v>0</v>
      </c>
      <c r="N494" s="15" t="n">
        <v>0</v>
      </c>
      <c r="O494" s="15" t="n">
        <v>0</v>
      </c>
      <c r="P494" s="15" t="n">
        <v>0</v>
      </c>
      <c r="Q494" s="15" t="n">
        <v>0</v>
      </c>
      <c r="R494" s="15" t="n">
        <v>0</v>
      </c>
      <c r="S494" s="15" t="n">
        <v>5</v>
      </c>
      <c r="T494" s="14">
        <f>IF(COUNT(I494:S494)=0,"",SUM(I494:S494))</f>
        <v/>
      </c>
      <c r="U494" t="inlineStr"/>
    </row>
    <row r="495">
      <c r="A495" t="inlineStr">
        <is>
          <t>한진어린이집</t>
        </is>
      </c>
      <c r="B495" t="inlineStr">
        <is>
          <t>어린이집</t>
        </is>
      </c>
      <c r="C495" t="inlineStr">
        <is>
          <t>가정</t>
        </is>
      </c>
      <c r="D495" t="inlineStr">
        <is>
          <t>동래구</t>
        </is>
      </c>
      <c r="E495" t="inlineStr">
        <is>
          <t>부산광역시 동래구 충렬대로200번길 25 한진아파트 관리동 1층(수안동)</t>
        </is>
      </c>
      <c r="F495" t="inlineStr"/>
      <c r="G495" t="inlineStr">
        <is>
          <t>051-552-4728</t>
        </is>
      </c>
      <c r="H495" s="15" t="n">
        <v>17</v>
      </c>
      <c r="I495" s="15" t="n">
        <v>3</v>
      </c>
      <c r="J495" s="15" t="n">
        <v>3</v>
      </c>
      <c r="K495" s="15" t="n">
        <v>0</v>
      </c>
      <c r="L495" s="15" t="n">
        <v>0</v>
      </c>
      <c r="M495" s="15" t="n">
        <v>0</v>
      </c>
      <c r="N495" s="15" t="n">
        <v>0</v>
      </c>
      <c r="O495" s="15" t="n">
        <v>0</v>
      </c>
      <c r="P495" s="15" t="n">
        <v>0</v>
      </c>
      <c r="Q495" s="15" t="n">
        <v>0</v>
      </c>
      <c r="R495" s="15" t="n">
        <v>0</v>
      </c>
      <c r="S495" s="15" t="n">
        <v>3</v>
      </c>
      <c r="T495" s="14">
        <f>IF(COUNT(I495:S495)=0,"",SUM(I495:S495))</f>
        <v/>
      </c>
      <c r="U495" t="inlineStr"/>
    </row>
    <row r="496">
      <c r="A496" t="inlineStr">
        <is>
          <t>해맑은어린이집</t>
        </is>
      </c>
      <c r="B496" t="inlineStr">
        <is>
          <t>어린이집</t>
        </is>
      </c>
      <c r="C496" t="inlineStr">
        <is>
          <t>민간</t>
        </is>
      </c>
      <c r="D496" t="inlineStr">
        <is>
          <t>동래구</t>
        </is>
      </c>
      <c r="E496" t="inlineStr">
        <is>
          <t>부산광역시 동래구 온천천로399번길 14 107동 101호(낙민동, 동원아파트)</t>
        </is>
      </c>
      <c r="F496" t="inlineStr"/>
      <c r="G496" t="inlineStr">
        <is>
          <t>051-522-2966</t>
        </is>
      </c>
      <c r="H496" s="15" t="n">
        <v>37</v>
      </c>
      <c r="I496" s="15" t="n">
        <v>6</v>
      </c>
      <c r="J496" s="15" t="n">
        <v>8</v>
      </c>
      <c r="K496" s="15" t="n">
        <v>8</v>
      </c>
      <c r="L496" s="15" t="n">
        <v>0</v>
      </c>
      <c r="M496" s="15" t="n">
        <v>0</v>
      </c>
      <c r="N496" s="15" t="n">
        <v>0</v>
      </c>
      <c r="O496" s="15" t="n">
        <v>0</v>
      </c>
      <c r="P496" s="15" t="n">
        <v>0</v>
      </c>
      <c r="Q496" s="15" t="n">
        <v>0</v>
      </c>
      <c r="R496" s="15" t="n">
        <v>0</v>
      </c>
      <c r="S496" s="15" t="n">
        <v>5</v>
      </c>
      <c r="T496" s="14">
        <f>IF(COUNT(I496:S496)=0,"",SUM(I496:S496))</f>
        <v/>
      </c>
      <c r="U496" t="inlineStr"/>
    </row>
    <row r="497">
      <c r="A497" t="inlineStr">
        <is>
          <t>햇살어린이집</t>
        </is>
      </c>
      <c r="B497" t="inlineStr">
        <is>
          <t>어린이집</t>
        </is>
      </c>
      <c r="C497" t="inlineStr">
        <is>
          <t>국공립</t>
        </is>
      </c>
      <c r="D497" t="inlineStr">
        <is>
          <t>동래구</t>
        </is>
      </c>
      <c r="E497" t="inlineStr">
        <is>
          <t>부산광역시 동래구 여고로91번길 77-10</t>
        </is>
      </c>
      <c r="F497" t="inlineStr"/>
      <c r="G497" t="inlineStr">
        <is>
          <t>051-507-7070</t>
        </is>
      </c>
      <c r="H497" s="15" t="n">
        <v>66</v>
      </c>
      <c r="I497" s="15" t="n">
        <v>12</v>
      </c>
      <c r="J497" s="15" t="n">
        <v>9</v>
      </c>
      <c r="K497" s="15" t="n">
        <v>13</v>
      </c>
      <c r="L497" s="15" t="n">
        <v>0</v>
      </c>
      <c r="M497" s="15" t="n">
        <v>0</v>
      </c>
      <c r="N497" s="15" t="n">
        <v>11</v>
      </c>
      <c r="O497" s="15" t="n">
        <v>0</v>
      </c>
      <c r="P497" s="15" t="n">
        <v>11</v>
      </c>
      <c r="Q497" s="15" t="n">
        <v>0</v>
      </c>
      <c r="R497" s="15" t="n">
        <v>0</v>
      </c>
      <c r="S497" s="15" t="n">
        <v>8</v>
      </c>
      <c r="T497" s="14">
        <f>IF(COUNT(I497:S497)=0,"",SUM(I497:S497))</f>
        <v/>
      </c>
      <c r="U497" t="inlineStr"/>
    </row>
    <row r="498">
      <c r="A498" t="inlineStr">
        <is>
          <t>행복한어린이집</t>
        </is>
      </c>
      <c r="B498" t="inlineStr">
        <is>
          <t>어린이집</t>
        </is>
      </c>
      <c r="C498" t="inlineStr">
        <is>
          <t>가정</t>
        </is>
      </c>
      <c r="D498" t="inlineStr">
        <is>
          <t>동래구</t>
        </is>
      </c>
      <c r="E498" t="inlineStr">
        <is>
          <t>부산광역시 동래구 아시아드대로 234 관리동 107동 1층(온천3동,반도보라스카이뷰)</t>
        </is>
      </c>
      <c r="F498" t="inlineStr"/>
      <c r="G498" t="inlineStr">
        <is>
          <t>051-507-0915</t>
        </is>
      </c>
      <c r="H498" s="15" t="n">
        <v>20</v>
      </c>
      <c r="I498" s="15" t="n">
        <v>6</v>
      </c>
      <c r="J498" s="15" t="n">
        <v>0</v>
      </c>
      <c r="K498" s="15" t="n">
        <v>0</v>
      </c>
      <c r="L498" s="15" t="n">
        <v>0</v>
      </c>
      <c r="M498" s="15" t="n">
        <v>0</v>
      </c>
      <c r="N498" s="15" t="n">
        <v>0</v>
      </c>
      <c r="O498" s="15" t="n">
        <v>5</v>
      </c>
      <c r="P498" s="15" t="n">
        <v>0</v>
      </c>
      <c r="Q498" s="15" t="n">
        <v>0</v>
      </c>
      <c r="R498" s="15" t="n">
        <v>0</v>
      </c>
      <c r="S498" s="15" t="n">
        <v>0</v>
      </c>
      <c r="T498" s="14">
        <f>IF(COUNT(I498:S498)=0,"",SUM(I498:S498))</f>
        <v/>
      </c>
      <c r="U498" t="inlineStr"/>
    </row>
    <row r="499">
      <c r="A499" t="inlineStr">
        <is>
          <t>혜화어린이집</t>
        </is>
      </c>
      <c r="B499" t="inlineStr">
        <is>
          <t>어린이집</t>
        </is>
      </c>
      <c r="C499" t="inlineStr">
        <is>
          <t>민간</t>
        </is>
      </c>
      <c r="D499" t="inlineStr">
        <is>
          <t>동래구</t>
        </is>
      </c>
      <c r="E499" t="inlineStr">
        <is>
          <t>부산광역시 동래구 명장로99번길 25  -1 (명장1동)</t>
        </is>
      </c>
      <c r="F499" s="11" t="inlineStr">
        <is>
          <t>http://www.hye-hwa.com</t>
        </is>
      </c>
      <c r="G499" t="inlineStr">
        <is>
          <t>051-523-0054</t>
        </is>
      </c>
      <c r="H499" s="15" t="n">
        <v>300</v>
      </c>
      <c r="I499" s="15" t="n">
        <v>0</v>
      </c>
      <c r="J499" s="15" t="n">
        <v>14</v>
      </c>
      <c r="K499" s="15" t="n">
        <v>26</v>
      </c>
      <c r="L499" s="15" t="n">
        <v>37</v>
      </c>
      <c r="M499" s="15" t="n">
        <v>36</v>
      </c>
      <c r="N499" s="15" t="n">
        <v>20</v>
      </c>
      <c r="O499" s="15" t="n">
        <v>0</v>
      </c>
      <c r="P499" s="15" t="n">
        <v>0</v>
      </c>
      <c r="Q499" s="15" t="n">
        <v>0</v>
      </c>
      <c r="R499" s="15" t="n">
        <v>0</v>
      </c>
      <c r="S499" s="15" t="n">
        <v>29</v>
      </c>
      <c r="T499" s="14">
        <f>IF(COUNT(I499:S499)=0,"",SUM(I499:S499))</f>
        <v/>
      </c>
      <c r="U499" t="inlineStr"/>
    </row>
    <row r="500">
      <c r="A500" t="inlineStr">
        <is>
          <t>휴먼시아어린이집</t>
        </is>
      </c>
      <c r="B500" t="inlineStr">
        <is>
          <t>어린이집</t>
        </is>
      </c>
      <c r="C500" t="inlineStr">
        <is>
          <t>국공립</t>
        </is>
      </c>
      <c r="D500" t="inlineStr">
        <is>
          <t>동래구</t>
        </is>
      </c>
      <c r="E500" t="inlineStr">
        <is>
          <t>부산광역시 동래구 충렬대로447번길 38 (안락2동)</t>
        </is>
      </c>
      <c r="F500" s="11" t="inlineStr">
        <is>
          <t>http://cafe.daum.net/inhumansia</t>
        </is>
      </c>
      <c r="G500" t="inlineStr">
        <is>
          <t>051-522-7970</t>
        </is>
      </c>
      <c r="H500" s="15" t="n">
        <v>38</v>
      </c>
      <c r="I500" s="15" t="n">
        <v>3</v>
      </c>
      <c r="J500" s="15" t="n">
        <v>10</v>
      </c>
      <c r="K500" s="15" t="n">
        <v>14</v>
      </c>
      <c r="L500" s="15" t="n">
        <v>0</v>
      </c>
      <c r="M500" s="15" t="n">
        <v>0</v>
      </c>
      <c r="N500" s="15" t="n">
        <v>0</v>
      </c>
      <c r="O500" s="15" t="n">
        <v>2</v>
      </c>
      <c r="P500" s="15" t="n">
        <v>0</v>
      </c>
      <c r="Q500" s="15" t="n">
        <v>0</v>
      </c>
      <c r="R500" s="15" t="n">
        <v>0</v>
      </c>
      <c r="S500" s="15" t="n">
        <v>5</v>
      </c>
      <c r="T500" s="14">
        <f>IF(COUNT(I500:S500)=0,"",SUM(I500:S500))</f>
        <v/>
      </c>
      <c r="U500" t="inlineStr"/>
    </row>
    <row r="501">
      <c r="A501" t="inlineStr">
        <is>
          <t>힐스테이트 명륜 어린이집</t>
        </is>
      </c>
      <c r="B501" t="inlineStr">
        <is>
          <t>어린이집</t>
        </is>
      </c>
      <c r="C501" t="inlineStr">
        <is>
          <t>국공립</t>
        </is>
      </c>
      <c r="D501" t="inlineStr">
        <is>
          <t>동래구</t>
        </is>
      </c>
      <c r="E501" t="inlineStr">
        <is>
          <t>부산광역시 동래구 명륜로 222</t>
        </is>
      </c>
      <c r="F501" s="11" t="inlineStr">
        <is>
          <t>http://cafe.daum.net/hillstatemyeongyun</t>
        </is>
      </c>
      <c r="G501" t="inlineStr">
        <is>
          <t>051-558-5153</t>
        </is>
      </c>
      <c r="H501" s="15" t="n">
        <v>47</v>
      </c>
      <c r="I501" s="15" t="n">
        <v>6</v>
      </c>
      <c r="J501" s="15" t="n">
        <v>20</v>
      </c>
      <c r="K501" s="15" t="n">
        <v>21</v>
      </c>
      <c r="L501" s="15" t="n">
        <v>0</v>
      </c>
      <c r="M501" s="15" t="n">
        <v>0</v>
      </c>
      <c r="N501" s="15" t="n">
        <v>0</v>
      </c>
      <c r="O501" s="15" t="n">
        <v>0</v>
      </c>
      <c r="P501" s="15" t="n">
        <v>0</v>
      </c>
      <c r="Q501" s="15" t="n">
        <v>0</v>
      </c>
      <c r="R501" s="15" t="n">
        <v>0</v>
      </c>
      <c r="S501" s="15" t="n">
        <v>5</v>
      </c>
      <c r="T501" s="14">
        <f>IF(COUNT(I501:S501)=0,"",SUM(I501:S501))</f>
        <v/>
      </c>
      <c r="U501" t="inlineStr"/>
    </row>
    <row r="502">
      <c r="A502" t="inlineStr">
        <is>
          <t>힐스테이트명륜트라디움어린이집</t>
        </is>
      </c>
      <c r="B502" t="inlineStr">
        <is>
          <t>어린이집</t>
        </is>
      </c>
      <c r="C502" t="inlineStr">
        <is>
          <t>국공립</t>
        </is>
      </c>
      <c r="D502" t="inlineStr">
        <is>
          <t>동래구</t>
        </is>
      </c>
      <c r="E502" t="inlineStr">
        <is>
          <t>부산광역시 동래구 동래로57번길 94</t>
        </is>
      </c>
      <c r="F502" t="inlineStr"/>
      <c r="G502" t="inlineStr">
        <is>
          <t>051-557-5004</t>
        </is>
      </c>
      <c r="H502" s="15" t="n">
        <v>67</v>
      </c>
      <c r="I502" s="15" t="n">
        <v>0</v>
      </c>
      <c r="J502" s="15" t="n">
        <v>22</v>
      </c>
      <c r="K502" s="15" t="n">
        <v>33</v>
      </c>
      <c r="L502" s="15" t="n">
        <v>0</v>
      </c>
      <c r="M502" s="15" t="n">
        <v>0</v>
      </c>
      <c r="N502" s="15" t="n">
        <v>0</v>
      </c>
      <c r="O502" s="15" t="n">
        <v>0</v>
      </c>
      <c r="P502" s="15" t="n">
        <v>0</v>
      </c>
      <c r="Q502" s="15" t="n">
        <v>0</v>
      </c>
      <c r="R502" s="15" t="n">
        <v>2</v>
      </c>
      <c r="S502" s="15" t="n">
        <v>21</v>
      </c>
      <c r="T502" s="14">
        <f>IF(COUNT(I502:S502)=0,"",SUM(I502:S502))</f>
        <v/>
      </c>
      <c r="U502" t="inlineStr"/>
    </row>
    <row r="503">
      <c r="A503" t="inlineStr">
        <is>
          <t>BNK전포동어린이집</t>
        </is>
      </c>
      <c r="B503" t="inlineStr">
        <is>
          <t>어린이집</t>
        </is>
      </c>
      <c r="C503" t="inlineStr">
        <is>
          <t>직장</t>
        </is>
      </c>
      <c r="D503" t="inlineStr">
        <is>
          <t>부산진구</t>
        </is>
      </c>
      <c r="E503" t="inlineStr">
        <is>
          <t>부산광역시 부산진구 중앙대로 807 부산은행 전포동지점 1층내 (부전동)</t>
        </is>
      </c>
      <c r="F503" t="inlineStr"/>
      <c r="G503" t="inlineStr">
        <is>
          <t>051-819-9413</t>
        </is>
      </c>
      <c r="H503" s="15" t="n">
        <v>49</v>
      </c>
      <c r="I503" s="15" t="n">
        <v>0</v>
      </c>
      <c r="J503" s="15" t="n">
        <v>9</v>
      </c>
      <c r="K503" s="15" t="n">
        <v>9</v>
      </c>
      <c r="L503" s="15" t="n">
        <v>0</v>
      </c>
      <c r="M503" s="15" t="n">
        <v>0</v>
      </c>
      <c r="N503" s="15" t="n">
        <v>6</v>
      </c>
      <c r="O503" s="15" t="n">
        <v>0</v>
      </c>
      <c r="P503" s="15" t="n">
        <v>10</v>
      </c>
      <c r="Q503" s="15" t="n">
        <v>0</v>
      </c>
      <c r="R503" s="15" t="n">
        <v>0</v>
      </c>
      <c r="S503" s="15" t="n">
        <v>23</v>
      </c>
      <c r="T503" s="14">
        <f>IF(COUNT(I503:S503)=0,"",SUM(I503:S503))</f>
        <v/>
      </c>
      <c r="U503" t="inlineStr"/>
    </row>
    <row r="504">
      <c r="A504" t="inlineStr">
        <is>
          <t>가야2동로사어린이집</t>
        </is>
      </c>
      <c r="B504" t="inlineStr">
        <is>
          <t>어린이집</t>
        </is>
      </c>
      <c r="C504" t="inlineStr">
        <is>
          <t>국공립</t>
        </is>
      </c>
      <c r="D504" t="inlineStr">
        <is>
          <t>부산진구</t>
        </is>
      </c>
      <c r="E504" t="inlineStr">
        <is>
          <t>부산광역시 부산진구 엄광로 68 117동 104호</t>
        </is>
      </c>
      <c r="F504" t="inlineStr"/>
      <c r="G504" t="inlineStr">
        <is>
          <t>051-894-1222</t>
        </is>
      </c>
      <c r="H504" s="15" t="n">
        <v>20</v>
      </c>
      <c r="I504" s="15" t="n">
        <v>5</v>
      </c>
      <c r="J504" s="15" t="n">
        <v>5</v>
      </c>
      <c r="K504" s="15" t="n">
        <v>7</v>
      </c>
      <c r="L504" s="15" t="n">
        <v>0</v>
      </c>
      <c r="M504" s="15" t="n">
        <v>0</v>
      </c>
      <c r="N504" s="15" t="n">
        <v>0</v>
      </c>
      <c r="O504" s="15" t="n">
        <v>2</v>
      </c>
      <c r="P504" s="15" t="n">
        <v>0</v>
      </c>
      <c r="Q504" s="15" t="n">
        <v>0</v>
      </c>
      <c r="R504" s="15" t="n">
        <v>0</v>
      </c>
      <c r="S504" s="15" t="n">
        <v>4</v>
      </c>
      <c r="T504" s="14">
        <f>IF(COUNT(I504:S504)=0,"",SUM(I504:S504))</f>
        <v/>
      </c>
      <c r="U504" t="inlineStr"/>
    </row>
    <row r="505">
      <c r="A505" t="inlineStr">
        <is>
          <t>가야센트레빌어린이집</t>
        </is>
      </c>
      <c r="B505" t="inlineStr">
        <is>
          <t>어린이집</t>
        </is>
      </c>
      <c r="C505" t="inlineStr">
        <is>
          <t>국공립</t>
        </is>
      </c>
      <c r="D505" t="inlineStr">
        <is>
          <t>부산진구</t>
        </is>
      </c>
      <c r="E505" t="inlineStr">
        <is>
          <t>부산광역시 부산진구 가야공원로 6 가야센트레빌</t>
        </is>
      </c>
      <c r="F505" t="inlineStr"/>
      <c r="G505" t="inlineStr">
        <is>
          <t>051-927-0810</t>
        </is>
      </c>
      <c r="H505" s="15" t="n">
        <v>25</v>
      </c>
      <c r="I505" s="15" t="n">
        <v>5</v>
      </c>
      <c r="J505" s="15" t="n">
        <v>6</v>
      </c>
      <c r="K505" s="15" t="n">
        <v>10</v>
      </c>
      <c r="L505" s="15" t="n">
        <v>0</v>
      </c>
      <c r="M505" s="15" t="n">
        <v>0</v>
      </c>
      <c r="N505" s="15" t="n">
        <v>0</v>
      </c>
      <c r="O505" s="15" t="n">
        <v>0</v>
      </c>
      <c r="P505" s="15" t="n">
        <v>0</v>
      </c>
      <c r="Q505" s="15" t="n">
        <v>0</v>
      </c>
      <c r="R505" s="15" t="n">
        <v>0</v>
      </c>
      <c r="S505" s="15" t="n">
        <v>3</v>
      </c>
      <c r="T505" s="14">
        <f>IF(COUNT(I505:S505)=0,"",SUM(I505:S505))</f>
        <v/>
      </c>
      <c r="U505" t="inlineStr"/>
    </row>
    <row r="506">
      <c r="A506" t="inlineStr">
        <is>
          <t>가야송림어린이집</t>
        </is>
      </c>
      <c r="B506" t="inlineStr">
        <is>
          <t>어린이집</t>
        </is>
      </c>
      <c r="C506" t="inlineStr">
        <is>
          <t>국공립</t>
        </is>
      </c>
      <c r="D506" t="inlineStr">
        <is>
          <t>부산진구</t>
        </is>
      </c>
      <c r="E506" t="inlineStr">
        <is>
          <t>부산광역시 부산진구 대학로36번길 12  (가야동)</t>
        </is>
      </c>
      <c r="F506" t="inlineStr"/>
      <c r="G506" t="inlineStr">
        <is>
          <t>051-896-0078</t>
        </is>
      </c>
      <c r="H506" s="15" t="n">
        <v>75</v>
      </c>
      <c r="I506" s="15" t="n">
        <v>0</v>
      </c>
      <c r="J506" s="15" t="n">
        <v>10</v>
      </c>
      <c r="K506" s="15" t="n">
        <v>14</v>
      </c>
      <c r="L506" s="15" t="n">
        <v>8</v>
      </c>
      <c r="M506" s="15" t="n">
        <v>0</v>
      </c>
      <c r="N506" s="15" t="n">
        <v>0</v>
      </c>
      <c r="O506" s="15" t="n">
        <v>0</v>
      </c>
      <c r="P506" s="15" t="n">
        <v>17</v>
      </c>
      <c r="Q506" s="15" t="n">
        <v>0</v>
      </c>
      <c r="R506" s="15" t="n">
        <v>0</v>
      </c>
      <c r="S506" s="15" t="n">
        <v>0</v>
      </c>
      <c r="T506" s="14">
        <f>IF(COUNT(I506:S506)=0,"",SUM(I506:S506))</f>
        <v/>
      </c>
      <c r="U506" t="inlineStr"/>
    </row>
    <row r="507">
      <c r="A507" t="inlineStr">
        <is>
          <t>개금2동예슬어린이집</t>
        </is>
      </c>
      <c r="B507" t="inlineStr">
        <is>
          <t>어린이집</t>
        </is>
      </c>
      <c r="C507" t="inlineStr">
        <is>
          <t>국공립</t>
        </is>
      </c>
      <c r="D507" t="inlineStr">
        <is>
          <t>부산진구</t>
        </is>
      </c>
      <c r="E507" t="inlineStr">
        <is>
          <t>부산광역시 부산진구 진사로48번길 37 (개금동)</t>
        </is>
      </c>
      <c r="F507" t="inlineStr"/>
      <c r="G507" t="inlineStr">
        <is>
          <t>051-893-5500</t>
        </is>
      </c>
      <c r="H507" s="15" t="n">
        <v>60</v>
      </c>
      <c r="I507" s="15" t="n">
        <v>3</v>
      </c>
      <c r="J507" s="15" t="n">
        <v>0</v>
      </c>
      <c r="K507" s="15" t="n">
        <v>6</v>
      </c>
      <c r="L507" s="15" t="n">
        <v>0</v>
      </c>
      <c r="M507" s="15" t="n">
        <v>0</v>
      </c>
      <c r="N507" s="15" t="n">
        <v>0</v>
      </c>
      <c r="O507" s="15" t="n">
        <v>8</v>
      </c>
      <c r="P507" s="15" t="n">
        <v>0</v>
      </c>
      <c r="Q507" s="15" t="n">
        <v>0</v>
      </c>
      <c r="R507" s="15" t="n">
        <v>0</v>
      </c>
      <c r="S507" s="15" t="n">
        <v>5</v>
      </c>
      <c r="T507" s="14">
        <f>IF(COUNT(I507:S507)=0,"",SUM(I507:S507))</f>
        <v/>
      </c>
      <c r="U507" t="inlineStr"/>
    </row>
    <row r="508">
      <c r="A508" t="inlineStr">
        <is>
          <t>개금3동한다솜어린이집</t>
        </is>
      </c>
      <c r="B508" t="inlineStr">
        <is>
          <t>어린이집</t>
        </is>
      </c>
      <c r="C508" t="inlineStr">
        <is>
          <t>국공립</t>
        </is>
      </c>
      <c r="D508" t="inlineStr">
        <is>
          <t>부산진구</t>
        </is>
      </c>
      <c r="E508" t="inlineStr">
        <is>
          <t>부산광역시 부산진구 백양대로300번길 19 관리동(개금동, 신개금엘지아파트)</t>
        </is>
      </c>
      <c r="F508" t="inlineStr"/>
      <c r="G508" t="inlineStr">
        <is>
          <t>051-893-7343</t>
        </is>
      </c>
      <c r="H508" s="15" t="n">
        <v>30</v>
      </c>
      <c r="I508" s="15" t="n">
        <v>0</v>
      </c>
      <c r="J508" s="15" t="n">
        <v>11</v>
      </c>
      <c r="K508" s="15" t="n">
        <v>14</v>
      </c>
      <c r="L508" s="15" t="n">
        <v>0</v>
      </c>
      <c r="M508" s="15" t="n">
        <v>0</v>
      </c>
      <c r="N508" s="15" t="n">
        <v>0</v>
      </c>
      <c r="O508" s="15" t="n">
        <v>0</v>
      </c>
      <c r="P508" s="15" t="n">
        <v>0</v>
      </c>
      <c r="Q508" s="15" t="n">
        <v>0</v>
      </c>
      <c r="R508" s="15" t="n">
        <v>0</v>
      </c>
      <c r="S508" s="15" t="n">
        <v>0</v>
      </c>
      <c r="T508" s="14">
        <f>IF(COUNT(I508:S508)=0,"",SUM(I508:S508))</f>
        <v/>
      </c>
      <c r="U508" t="inlineStr"/>
    </row>
    <row r="509">
      <c r="A509" t="inlineStr">
        <is>
          <t>개금천사어린이집</t>
        </is>
      </c>
      <c r="B509" t="inlineStr">
        <is>
          <t>어린이집</t>
        </is>
      </c>
      <c r="C509" t="inlineStr">
        <is>
          <t>국공립</t>
        </is>
      </c>
      <c r="D509" t="inlineStr">
        <is>
          <t>부산진구</t>
        </is>
      </c>
      <c r="E509" t="inlineStr">
        <is>
          <t>부산광역시 부산진구 냉정로161번길 6  (개금동)</t>
        </is>
      </c>
      <c r="F509" t="inlineStr"/>
      <c r="G509" t="inlineStr">
        <is>
          <t>051-892-3003</t>
        </is>
      </c>
      <c r="H509" s="15" t="n">
        <v>80</v>
      </c>
      <c r="I509" s="15" t="n">
        <v>0</v>
      </c>
      <c r="J509" s="15" t="n">
        <v>13</v>
      </c>
      <c r="K509" s="15" t="n">
        <v>19</v>
      </c>
      <c r="L509" s="15" t="n">
        <v>14</v>
      </c>
      <c r="M509" s="15" t="n">
        <v>17</v>
      </c>
      <c r="N509" s="15" t="n">
        <v>17</v>
      </c>
      <c r="O509" s="15" t="n">
        <v>0</v>
      </c>
      <c r="P509" s="15" t="n">
        <v>0</v>
      </c>
      <c r="Q509" s="15" t="n">
        <v>0</v>
      </c>
      <c r="R509" s="15" t="n">
        <v>0</v>
      </c>
      <c r="S509" s="15" t="n">
        <v>19</v>
      </c>
      <c r="T509" s="14">
        <f>IF(COUNT(I509:S509)=0,"",SUM(I509:S509))</f>
        <v/>
      </c>
      <c r="U509" t="inlineStr"/>
    </row>
    <row r="510">
      <c r="A510" t="inlineStr">
        <is>
          <t>개원어린이집</t>
        </is>
      </c>
      <c r="B510" t="inlineStr">
        <is>
          <t>어린이집</t>
        </is>
      </c>
      <c r="C510" t="inlineStr">
        <is>
          <t>민간</t>
        </is>
      </c>
      <c r="D510" t="inlineStr">
        <is>
          <t>부산진구</t>
        </is>
      </c>
      <c r="E510" t="inlineStr">
        <is>
          <t>부산광역시 부산진구 백양관문로77번길 33 (개금동)</t>
        </is>
      </c>
      <c r="F510" t="inlineStr"/>
      <c r="G510" t="inlineStr">
        <is>
          <t>051-896-6677</t>
        </is>
      </c>
      <c r="H510" s="15" t="n">
        <v>127</v>
      </c>
      <c r="I510" s="15" t="n">
        <v>3</v>
      </c>
      <c r="J510" s="15" t="n">
        <v>5</v>
      </c>
      <c r="K510" s="15" t="n">
        <v>7</v>
      </c>
      <c r="L510" s="15" t="n">
        <v>12</v>
      </c>
      <c r="M510" s="15" t="n">
        <v>8</v>
      </c>
      <c r="N510" s="15" t="n">
        <v>15</v>
      </c>
      <c r="O510" s="15" t="n">
        <v>0</v>
      </c>
      <c r="P510" s="15" t="n">
        <v>0</v>
      </c>
      <c r="Q510" s="15" t="n">
        <v>0</v>
      </c>
      <c r="R510" s="15" t="n">
        <v>0</v>
      </c>
      <c r="S510" s="15" t="n">
        <v>19</v>
      </c>
      <c r="T510" s="14">
        <f>IF(COUNT(I510:S510)=0,"",SUM(I510:S510))</f>
        <v/>
      </c>
      <c r="U510" t="inlineStr"/>
    </row>
    <row r="511">
      <c r="A511" t="inlineStr">
        <is>
          <t>경남어린이집</t>
        </is>
      </c>
      <c r="B511" t="inlineStr">
        <is>
          <t>어린이집</t>
        </is>
      </c>
      <c r="C511" t="inlineStr">
        <is>
          <t>민간</t>
        </is>
      </c>
      <c r="D511" t="inlineStr">
        <is>
          <t>부산진구</t>
        </is>
      </c>
      <c r="E511" t="inlineStr">
        <is>
          <t>부산광역시 부산진구 신암로 32 (범천동, 범천경남아파트 내)</t>
        </is>
      </c>
      <c r="F511" t="inlineStr"/>
      <c r="G511" t="inlineStr">
        <is>
          <t>051-633-7053</t>
        </is>
      </c>
      <c r="H511" s="15" t="n">
        <v>26</v>
      </c>
      <c r="I511" s="15" t="n">
        <v>8</v>
      </c>
      <c r="J511" s="15" t="n">
        <v>13</v>
      </c>
      <c r="K511" s="15" t="n">
        <v>5</v>
      </c>
      <c r="L511" s="15" t="n">
        <v>0</v>
      </c>
      <c r="M511" s="15" t="n">
        <v>0</v>
      </c>
      <c r="N511" s="15" t="n">
        <v>0</v>
      </c>
      <c r="O511" s="15" t="n">
        <v>0</v>
      </c>
      <c r="P511" s="15" t="n">
        <v>0</v>
      </c>
      <c r="Q511" s="15" t="n">
        <v>0</v>
      </c>
      <c r="R511" s="15" t="n">
        <v>0</v>
      </c>
      <c r="S511" s="15" t="n">
        <v>3</v>
      </c>
      <c r="T511" s="14">
        <f>IF(COUNT(I511:S511)=0,"",SUM(I511:S511))</f>
        <v/>
      </c>
      <c r="U511" t="inlineStr"/>
    </row>
    <row r="512">
      <c r="A512" t="inlineStr">
        <is>
          <t>곤지곤지어린이집</t>
        </is>
      </c>
      <c r="B512" t="inlineStr">
        <is>
          <t>어린이집</t>
        </is>
      </c>
      <c r="C512" t="inlineStr">
        <is>
          <t>국공립</t>
        </is>
      </c>
      <c r="D512" t="inlineStr">
        <is>
          <t>부산진구</t>
        </is>
      </c>
      <c r="E512" t="inlineStr">
        <is>
          <t>부산광역시 부산진구 동평로 352 109동 102호</t>
        </is>
      </c>
      <c r="F512" t="inlineStr"/>
      <c r="G512" t="inlineStr">
        <is>
          <t>051-864-8295</t>
        </is>
      </c>
      <c r="H512" s="15" t="n">
        <v>20</v>
      </c>
      <c r="I512" s="15" t="n">
        <v>2</v>
      </c>
      <c r="J512" s="15" t="n">
        <v>8</v>
      </c>
      <c r="K512" s="15" t="n">
        <v>7</v>
      </c>
      <c r="L512" s="15" t="n">
        <v>0</v>
      </c>
      <c r="M512" s="15" t="n">
        <v>0</v>
      </c>
      <c r="N512" s="15" t="n">
        <v>0</v>
      </c>
      <c r="O512" s="15" t="n">
        <v>0</v>
      </c>
      <c r="P512" s="15" t="n">
        <v>0</v>
      </c>
      <c r="Q512" s="15" t="n">
        <v>0</v>
      </c>
      <c r="R512" s="15" t="n">
        <v>0</v>
      </c>
      <c r="S512" s="15" t="n">
        <v>5</v>
      </c>
      <c r="T512" s="14">
        <f>IF(COUNT(I512:S512)=0,"",SUM(I512:S512))</f>
        <v/>
      </c>
      <c r="U512" t="inlineStr"/>
    </row>
    <row r="513">
      <c r="A513" t="inlineStr">
        <is>
          <t>굿모닝어린이집</t>
        </is>
      </c>
      <c r="B513" t="inlineStr">
        <is>
          <t>어린이집</t>
        </is>
      </c>
      <c r="C513" t="inlineStr">
        <is>
          <t>민간</t>
        </is>
      </c>
      <c r="D513" t="inlineStr">
        <is>
          <t>부산진구</t>
        </is>
      </c>
      <c r="E513" t="inlineStr">
        <is>
          <t>부산광역시 부산진구 신천대로220번길 65 관리동(부암동, 서면동문굿모닝힐)</t>
        </is>
      </c>
      <c r="F513" t="inlineStr"/>
      <c r="G513" t="inlineStr">
        <is>
          <t>051-909-3704</t>
        </is>
      </c>
      <c r="H513" s="15" t="n">
        <v>32</v>
      </c>
      <c r="I513" s="15" t="n">
        <v>4</v>
      </c>
      <c r="J513" s="15" t="n">
        <v>5</v>
      </c>
      <c r="K513" s="15" t="n">
        <v>7</v>
      </c>
      <c r="L513" s="15" t="n">
        <v>0</v>
      </c>
      <c r="M513" s="15" t="n">
        <v>0</v>
      </c>
      <c r="N513" s="15" t="n">
        <v>0</v>
      </c>
      <c r="O513" s="15" t="n">
        <v>5</v>
      </c>
      <c r="P513" s="15" t="n">
        <v>0</v>
      </c>
      <c r="Q513" s="15" t="n">
        <v>0</v>
      </c>
      <c r="R513" s="15" t="n">
        <v>0</v>
      </c>
      <c r="S513" s="15" t="n">
        <v>10</v>
      </c>
      <c r="T513" s="14">
        <f>IF(COUNT(I513:S513)=0,"",SUM(I513:S513))</f>
        <v/>
      </c>
      <c r="U513" t="inlineStr"/>
    </row>
    <row r="514">
      <c r="A514" t="inlineStr">
        <is>
          <t>금강펜테리움어린이집</t>
        </is>
      </c>
      <c r="B514" t="inlineStr">
        <is>
          <t>어린이집</t>
        </is>
      </c>
      <c r="C514" t="inlineStr">
        <is>
          <t>국공립</t>
        </is>
      </c>
      <c r="D514" t="inlineStr">
        <is>
          <t>부산진구</t>
        </is>
      </c>
      <c r="E514" t="inlineStr">
        <is>
          <t>부산광역시 부산진구 가야대로 450 (개금동, 금강펜테리움더스퀘어아파트)</t>
        </is>
      </c>
      <c r="F514" t="inlineStr"/>
      <c r="G514" t="inlineStr">
        <is>
          <t>051-897-8882</t>
        </is>
      </c>
      <c r="H514" s="15" t="n">
        <v>49</v>
      </c>
      <c r="I514" s="15" t="n">
        <v>8</v>
      </c>
      <c r="J514" s="15" t="n">
        <v>22</v>
      </c>
      <c r="K514" s="15" t="n">
        <v>15</v>
      </c>
      <c r="L514" s="15" t="n">
        <v>0</v>
      </c>
      <c r="M514" s="15" t="n">
        <v>0</v>
      </c>
      <c r="N514" s="15" t="n">
        <v>0</v>
      </c>
      <c r="O514" s="15" t="n">
        <v>0</v>
      </c>
      <c r="P514" s="15" t="n">
        <v>0</v>
      </c>
      <c r="Q514" s="15" t="n">
        <v>0</v>
      </c>
      <c r="R514" s="15" t="n">
        <v>0</v>
      </c>
      <c r="S514" s="15" t="n">
        <v>15</v>
      </c>
      <c r="T514" s="14">
        <f>IF(COUNT(I514:S514)=0,"",SUM(I514:S514))</f>
        <v/>
      </c>
      <c r="U514" t="inlineStr"/>
    </row>
    <row r="515">
      <c r="A515" t="inlineStr">
        <is>
          <t>꼬마동산어린이집</t>
        </is>
      </c>
      <c r="B515" t="inlineStr">
        <is>
          <t>어린이집</t>
        </is>
      </c>
      <c r="C515" t="inlineStr">
        <is>
          <t>국공립</t>
        </is>
      </c>
      <c r="D515" t="inlineStr">
        <is>
          <t>부산진구</t>
        </is>
      </c>
      <c r="E515" t="inlineStr">
        <is>
          <t>부산광역시 부산진구 가야공원로 41 110동 105호</t>
        </is>
      </c>
      <c r="F515" t="inlineStr"/>
      <c r="G515" t="inlineStr">
        <is>
          <t>051-896-5857</t>
        </is>
      </c>
      <c r="H515" s="15" t="n">
        <v>20</v>
      </c>
      <c r="I515" s="15" t="n">
        <v>4</v>
      </c>
      <c r="J515" s="15" t="n">
        <v>8</v>
      </c>
      <c r="K515" s="15" t="n">
        <v>5</v>
      </c>
      <c r="L515" s="15" t="n">
        <v>0</v>
      </c>
      <c r="M515" s="15" t="n">
        <v>0</v>
      </c>
      <c r="N515" s="15" t="n">
        <v>0</v>
      </c>
      <c r="O515" s="15" t="n">
        <v>0</v>
      </c>
      <c r="P515" s="15" t="n">
        <v>0</v>
      </c>
      <c r="Q515" s="15" t="n">
        <v>0</v>
      </c>
      <c r="R515" s="15" t="n">
        <v>0</v>
      </c>
      <c r="S515" s="15" t="n">
        <v>5</v>
      </c>
      <c r="T515" s="14">
        <f>IF(COUNT(I515:S515)=0,"",SUM(I515:S515))</f>
        <v/>
      </c>
      <c r="U515" t="inlineStr"/>
    </row>
    <row r="516">
      <c r="A516" t="inlineStr">
        <is>
          <t>꼬마차원 어린이집</t>
        </is>
      </c>
      <c r="B516" t="inlineStr">
        <is>
          <t>어린이집</t>
        </is>
      </c>
      <c r="C516" t="inlineStr">
        <is>
          <t>가정</t>
        </is>
      </c>
      <c r="D516" t="inlineStr">
        <is>
          <t>부산진구</t>
        </is>
      </c>
      <c r="E516" t="inlineStr">
        <is>
          <t>부산광역시 부산진구 동평로 218 103동 203호 (부암동, 일동미라주아파트)</t>
        </is>
      </c>
      <c r="F516" t="inlineStr"/>
      <c r="G516" t="inlineStr">
        <is>
          <t>051-808-4766</t>
        </is>
      </c>
      <c r="H516" s="15" t="n">
        <v>20</v>
      </c>
      <c r="I516" s="15" t="n">
        <v>3</v>
      </c>
      <c r="J516" s="15" t="n">
        <v>10</v>
      </c>
      <c r="K516" s="15" t="n">
        <v>5</v>
      </c>
      <c r="L516" s="15" t="n">
        <v>0</v>
      </c>
      <c r="M516" s="15" t="n">
        <v>0</v>
      </c>
      <c r="N516" s="15" t="n">
        <v>0</v>
      </c>
      <c r="O516" s="15" t="n">
        <v>0</v>
      </c>
      <c r="P516" s="15" t="n">
        <v>0</v>
      </c>
      <c r="Q516" s="15" t="n">
        <v>0</v>
      </c>
      <c r="R516" s="15" t="n">
        <v>0</v>
      </c>
      <c r="S516" s="15" t="n">
        <v>5</v>
      </c>
      <c r="T516" s="14">
        <f>IF(COUNT(I516:S516)=0,"",SUM(I516:S516))</f>
        <v/>
      </c>
      <c r="U516" t="inlineStr"/>
    </row>
    <row r="517">
      <c r="A517" t="inlineStr">
        <is>
          <t>꿈나래어린이집</t>
        </is>
      </c>
      <c r="B517" t="inlineStr">
        <is>
          <t>어린이집</t>
        </is>
      </c>
      <c r="C517" t="inlineStr">
        <is>
          <t>민간</t>
        </is>
      </c>
      <c r="D517" t="inlineStr">
        <is>
          <t>부산진구</t>
        </is>
      </c>
      <c r="E517" t="inlineStr">
        <is>
          <t>부산광역시 부산진구 동평로223번길 85 (연지동)</t>
        </is>
      </c>
      <c r="F517" t="inlineStr"/>
      <c r="G517" t="inlineStr">
        <is>
          <t>051-818-1723</t>
        </is>
      </c>
      <c r="H517" s="15" t="n">
        <v>49</v>
      </c>
      <c r="I517" s="15" t="n">
        <v>12</v>
      </c>
      <c r="J517" s="15" t="n">
        <v>16</v>
      </c>
      <c r="K517" s="15" t="n">
        <v>21</v>
      </c>
      <c r="L517" s="15" t="n">
        <v>0</v>
      </c>
      <c r="M517" s="15" t="n">
        <v>0</v>
      </c>
      <c r="N517" s="15" t="n">
        <v>0</v>
      </c>
      <c r="O517" s="15" t="n">
        <v>0</v>
      </c>
      <c r="P517" s="15" t="n">
        <v>0</v>
      </c>
      <c r="Q517" s="15" t="n">
        <v>0</v>
      </c>
      <c r="R517" s="15" t="n">
        <v>0</v>
      </c>
      <c r="S517" s="15" t="n">
        <v>5</v>
      </c>
      <c r="T517" s="14">
        <f>IF(COUNT(I517:S517)=0,"",SUM(I517:S517))</f>
        <v/>
      </c>
      <c r="U517" t="inlineStr"/>
    </row>
    <row r="518">
      <c r="A518" t="inlineStr">
        <is>
          <t>꿈샘어린이집</t>
        </is>
      </c>
      <c r="B518" t="inlineStr">
        <is>
          <t>어린이집</t>
        </is>
      </c>
      <c r="C518" t="inlineStr">
        <is>
          <t>국공립</t>
        </is>
      </c>
      <c r="D518" t="inlineStr">
        <is>
          <t>부산진구</t>
        </is>
      </c>
      <c r="E518" t="inlineStr">
        <is>
          <t>부산광역시 부산진구 백양대로 160 (당감동,부산진구여성가족문화센터)</t>
        </is>
      </c>
      <c r="F518" t="inlineStr"/>
      <c r="G518" t="inlineStr">
        <is>
          <t>051-893-0234</t>
        </is>
      </c>
      <c r="H518" s="15" t="n">
        <v>34</v>
      </c>
      <c r="I518" s="15" t="n">
        <v>6</v>
      </c>
      <c r="J518" s="15" t="n">
        <v>8</v>
      </c>
      <c r="K518" s="15" t="n">
        <v>11</v>
      </c>
      <c r="L518" s="15" t="n">
        <v>0</v>
      </c>
      <c r="M518" s="15" t="n">
        <v>0</v>
      </c>
      <c r="N518" s="15" t="n">
        <v>0</v>
      </c>
      <c r="O518" s="15" t="n">
        <v>3</v>
      </c>
      <c r="P518" s="15" t="n">
        <v>0</v>
      </c>
      <c r="Q518" s="15" t="n">
        <v>0</v>
      </c>
      <c r="R518" s="15" t="n">
        <v>0</v>
      </c>
      <c r="S518" s="15" t="n">
        <v>5</v>
      </c>
      <c r="T518" s="14">
        <f>IF(COUNT(I518:S518)=0,"",SUM(I518:S518))</f>
        <v/>
      </c>
      <c r="U518" t="inlineStr"/>
    </row>
    <row r="519">
      <c r="A519" t="inlineStr">
        <is>
          <t>꿈초롱어린이집</t>
        </is>
      </c>
      <c r="B519" t="inlineStr">
        <is>
          <t>어린이집</t>
        </is>
      </c>
      <c r="C519" t="inlineStr">
        <is>
          <t>가정</t>
        </is>
      </c>
      <c r="D519" t="inlineStr">
        <is>
          <t>부산진구</t>
        </is>
      </c>
      <c r="E519" t="inlineStr">
        <is>
          <t>부산광역시 부산진구 동성로 82 106동 101호(전포동, 부산전포사랑으로부영)</t>
        </is>
      </c>
      <c r="F519" t="inlineStr"/>
      <c r="G519" t="inlineStr">
        <is>
          <t>051-805-0454</t>
        </is>
      </c>
      <c r="H519" s="15" t="n">
        <v>19</v>
      </c>
      <c r="I519" s="15" t="n">
        <v>10</v>
      </c>
      <c r="J519" s="15" t="n">
        <v>5</v>
      </c>
      <c r="K519" s="15" t="n">
        <v>4</v>
      </c>
      <c r="L519" s="15" t="n">
        <v>0</v>
      </c>
      <c r="M519" s="15" t="n">
        <v>0</v>
      </c>
      <c r="N519" s="15" t="n">
        <v>0</v>
      </c>
      <c r="O519" s="15" t="n">
        <v>0</v>
      </c>
      <c r="P519" s="15" t="n">
        <v>0</v>
      </c>
      <c r="Q519" s="15" t="n">
        <v>0</v>
      </c>
      <c r="R519" s="15" t="n">
        <v>0</v>
      </c>
      <c r="S519" s="15" t="n">
        <v>6</v>
      </c>
      <c r="T519" s="14">
        <f>IF(COUNT(I519:S519)=0,"",SUM(I519:S519))</f>
        <v/>
      </c>
      <c r="U519" t="inlineStr"/>
    </row>
    <row r="520">
      <c r="A520" t="inlineStr">
        <is>
          <t>느티나무어린이집</t>
        </is>
      </c>
      <c r="B520" t="inlineStr">
        <is>
          <t>어린이집</t>
        </is>
      </c>
      <c r="C520" t="inlineStr">
        <is>
          <t>가정</t>
        </is>
      </c>
      <c r="D520" t="inlineStr">
        <is>
          <t>부산진구</t>
        </is>
      </c>
      <c r="E520" t="inlineStr">
        <is>
          <t>부산광역시 부산진구 전포대로 294 103동105호(전포동 서면한신아파트)</t>
        </is>
      </c>
      <c r="F520" t="inlineStr"/>
      <c r="G520" t="inlineStr">
        <is>
          <t>051-807-3024</t>
        </is>
      </c>
      <c r="H520" s="15" t="n">
        <v>19</v>
      </c>
      <c r="I520" s="15" t="n">
        <v>0</v>
      </c>
      <c r="J520" s="15" t="n">
        <v>10</v>
      </c>
      <c r="K520" s="15" t="n">
        <v>6</v>
      </c>
      <c r="L520" s="15" t="n">
        <v>0</v>
      </c>
      <c r="M520" s="15" t="n">
        <v>0</v>
      </c>
      <c r="N520" s="15" t="n">
        <v>0</v>
      </c>
      <c r="O520" s="15" t="n">
        <v>0</v>
      </c>
      <c r="P520" s="15" t="n">
        <v>0</v>
      </c>
      <c r="Q520" s="15" t="n">
        <v>0</v>
      </c>
      <c r="R520" s="15" t="n">
        <v>0</v>
      </c>
      <c r="S520" s="15" t="n">
        <v>5</v>
      </c>
      <c r="T520" s="14">
        <f>IF(COUNT(I520:S520)=0,"",SUM(I520:S520))</f>
        <v/>
      </c>
      <c r="U520" t="inlineStr"/>
    </row>
    <row r="521">
      <c r="A521" t="inlineStr">
        <is>
          <t>늘봄어린이집</t>
        </is>
      </c>
      <c r="B521" t="inlineStr">
        <is>
          <t>어린이집</t>
        </is>
      </c>
      <c r="C521" t="inlineStr">
        <is>
          <t>국공립</t>
        </is>
      </c>
      <c r="D521" t="inlineStr">
        <is>
          <t>부산진구</t>
        </is>
      </c>
      <c r="E521" t="inlineStr">
        <is>
          <t>부산광역시 부산진구 가야대로454번길 63 (개금동)</t>
        </is>
      </c>
      <c r="F521" t="inlineStr"/>
      <c r="G521" t="inlineStr">
        <is>
          <t>051-893-9627</t>
        </is>
      </c>
      <c r="H521" s="15" t="n">
        <v>49</v>
      </c>
      <c r="I521" s="15" t="n">
        <v>12</v>
      </c>
      <c r="J521" s="15" t="n">
        <v>13</v>
      </c>
      <c r="K521" s="15" t="n">
        <v>7</v>
      </c>
      <c r="L521" s="15" t="n">
        <v>0</v>
      </c>
      <c r="M521" s="15" t="n">
        <v>0</v>
      </c>
      <c r="N521" s="15" t="n">
        <v>0</v>
      </c>
      <c r="O521" s="15" t="n">
        <v>5</v>
      </c>
      <c r="P521" s="15" t="n">
        <v>0</v>
      </c>
      <c r="Q521" s="15" t="n">
        <v>0</v>
      </c>
      <c r="R521" s="15" t="n">
        <v>0</v>
      </c>
      <c r="S521" s="15" t="n">
        <v>5</v>
      </c>
      <c r="T521" s="14">
        <f>IF(COUNT(I521:S521)=0,"",SUM(I521:S521))</f>
        <v/>
      </c>
      <c r="U521" t="inlineStr"/>
    </row>
    <row r="522">
      <c r="A522" t="inlineStr">
        <is>
          <t>다사랑어린이집</t>
        </is>
      </c>
      <c r="B522" t="inlineStr">
        <is>
          <t>어린이집</t>
        </is>
      </c>
      <c r="C522" t="inlineStr">
        <is>
          <t>민간</t>
        </is>
      </c>
      <c r="D522" t="inlineStr">
        <is>
          <t>부산진구</t>
        </is>
      </c>
      <c r="E522" t="inlineStr">
        <is>
          <t>부산광역시 부산진구 백양순환로28번길 13-8 (당감동)</t>
        </is>
      </c>
      <c r="F522" s="11" t="inlineStr">
        <is>
          <t>http://cafe.daum.net/dasarangkids</t>
        </is>
      </c>
      <c r="G522" t="inlineStr">
        <is>
          <t>051-897-4081</t>
        </is>
      </c>
      <c r="H522" s="15" t="n">
        <v>65</v>
      </c>
      <c r="I522" s="15" t="n">
        <v>6</v>
      </c>
      <c r="J522" s="15" t="n">
        <v>10</v>
      </c>
      <c r="K522" s="15" t="n">
        <v>20</v>
      </c>
      <c r="L522" s="15" t="n">
        <v>9</v>
      </c>
      <c r="M522" s="15" t="n">
        <v>0</v>
      </c>
      <c r="N522" s="15" t="n">
        <v>0</v>
      </c>
      <c r="O522" s="15" t="n">
        <v>0</v>
      </c>
      <c r="P522" s="15" t="n">
        <v>19</v>
      </c>
      <c r="Q522" s="15" t="n">
        <v>0</v>
      </c>
      <c r="R522" s="15" t="n">
        <v>0</v>
      </c>
      <c r="S522" s="15" t="n">
        <v>29</v>
      </c>
      <c r="T522" s="14">
        <f>IF(COUNT(I522:S522)=0,"",SUM(I522:S522))</f>
        <v/>
      </c>
      <c r="U522" t="inlineStr"/>
    </row>
    <row r="523">
      <c r="A523" t="inlineStr">
        <is>
          <t>다원어린이집</t>
        </is>
      </c>
      <c r="B523" t="inlineStr">
        <is>
          <t>어린이집</t>
        </is>
      </c>
      <c r="C523" t="inlineStr">
        <is>
          <t>민간</t>
        </is>
      </c>
      <c r="D523" t="inlineStr">
        <is>
          <t>부산진구</t>
        </is>
      </c>
      <c r="E523" t="inlineStr">
        <is>
          <t>부산광역시 부산진구 성지로74번나길 60-8 (초읍동)</t>
        </is>
      </c>
      <c r="F523" s="11" t="inlineStr">
        <is>
          <t>https://cafe.naver.com/dawon8097335</t>
        </is>
      </c>
      <c r="G523" t="inlineStr">
        <is>
          <t>051-817-7334</t>
        </is>
      </c>
      <c r="H523" s="15" t="n">
        <v>49</v>
      </c>
      <c r="I523" s="15" t="n">
        <v>0</v>
      </c>
      <c r="J523" s="15" t="n">
        <v>20</v>
      </c>
      <c r="K523" s="15" t="n">
        <v>14</v>
      </c>
      <c r="L523" s="15" t="n">
        <v>0</v>
      </c>
      <c r="M523" s="15" t="n">
        <v>0</v>
      </c>
      <c r="N523" s="15" t="n">
        <v>0</v>
      </c>
      <c r="O523" s="15" t="n">
        <v>4</v>
      </c>
      <c r="P523" s="15" t="n">
        <v>0</v>
      </c>
      <c r="Q523" s="15" t="n">
        <v>0</v>
      </c>
      <c r="R523" s="15" t="n">
        <v>0</v>
      </c>
      <c r="S523" s="15" t="n">
        <v>5</v>
      </c>
      <c r="T523" s="14">
        <f>IF(COUNT(I523:S523)=0,"",SUM(I523:S523))</f>
        <v/>
      </c>
      <c r="U523" t="inlineStr"/>
    </row>
    <row r="524">
      <c r="A524" t="inlineStr">
        <is>
          <t>당감복지관나리어린이집</t>
        </is>
      </c>
      <c r="B524" t="inlineStr">
        <is>
          <t>어린이집</t>
        </is>
      </c>
      <c r="C524" t="inlineStr">
        <is>
          <t>국공립</t>
        </is>
      </c>
      <c r="D524" t="inlineStr">
        <is>
          <t>부산진구</t>
        </is>
      </c>
      <c r="E524" t="inlineStr">
        <is>
          <t>부산광역시 부산진구 당감서로 16 (당감동,당감종합사회복지관)</t>
        </is>
      </c>
      <c r="F524" s="11" t="inlineStr">
        <is>
          <t>http://cafe.naver.com/dgnari</t>
        </is>
      </c>
      <c r="G524" t="inlineStr">
        <is>
          <t>051-897-8028</t>
        </is>
      </c>
      <c r="H524" s="15" t="n">
        <v>72</v>
      </c>
      <c r="I524" s="15" t="n">
        <v>0</v>
      </c>
      <c r="J524" s="15" t="n">
        <v>0</v>
      </c>
      <c r="K524" s="15" t="n">
        <v>0</v>
      </c>
      <c r="L524" s="15" t="n">
        <v>8</v>
      </c>
      <c r="M524" s="15" t="n">
        <v>0</v>
      </c>
      <c r="N524" s="15" t="n">
        <v>0</v>
      </c>
      <c r="O524" s="15" t="n">
        <v>5</v>
      </c>
      <c r="P524" s="15" t="n">
        <v>13</v>
      </c>
      <c r="Q524" s="15" t="n">
        <v>0</v>
      </c>
      <c r="R524" s="15" t="n">
        <v>9</v>
      </c>
      <c r="S524" s="15" t="n">
        <v>14</v>
      </c>
      <c r="T524" s="14">
        <f>IF(COUNT(I524:S524)=0,"",SUM(I524:S524))</f>
        <v/>
      </c>
      <c r="U524" t="inlineStr"/>
    </row>
    <row r="525">
      <c r="A525" t="inlineStr">
        <is>
          <t>도담도담 어린이집</t>
        </is>
      </c>
      <c r="B525" t="inlineStr">
        <is>
          <t>어린이집</t>
        </is>
      </c>
      <c r="C525" t="inlineStr">
        <is>
          <t>가정</t>
        </is>
      </c>
      <c r="D525" t="inlineStr">
        <is>
          <t>부산진구</t>
        </is>
      </c>
      <c r="E525" t="inlineStr">
        <is>
          <t>부산광역시 부산진구 당감로 79 6동 101호(부암동, 화승삼성아파트)</t>
        </is>
      </c>
      <c r="F525" t="inlineStr"/>
      <c r="G525" t="inlineStr">
        <is>
          <t>051-804-0621</t>
        </is>
      </c>
      <c r="H525" s="15" t="n">
        <v>20</v>
      </c>
      <c r="I525" s="15" t="n">
        <v>8</v>
      </c>
      <c r="J525" s="15" t="n">
        <v>5</v>
      </c>
      <c r="K525" s="15" t="n">
        <v>0</v>
      </c>
      <c r="L525" s="15" t="n">
        <v>0</v>
      </c>
      <c r="M525" s="15" t="n">
        <v>0</v>
      </c>
      <c r="N525" s="15" t="n">
        <v>0</v>
      </c>
      <c r="O525" s="15" t="n">
        <v>7</v>
      </c>
      <c r="P525" s="15" t="n">
        <v>0</v>
      </c>
      <c r="Q525" s="15" t="n">
        <v>0</v>
      </c>
      <c r="R525" s="15" t="n">
        <v>0</v>
      </c>
      <c r="S525" s="15" t="n">
        <v>5</v>
      </c>
      <c r="T525" s="14">
        <f>IF(COUNT(I525:S525)=0,"",SUM(I525:S525))</f>
        <v/>
      </c>
      <c r="U525" t="inlineStr"/>
    </row>
    <row r="526">
      <c r="A526" t="inlineStr">
        <is>
          <t>동의대학교부속동의어린이집</t>
        </is>
      </c>
      <c r="B526" t="inlineStr">
        <is>
          <t>어린이집</t>
        </is>
      </c>
      <c r="C526" t="inlineStr">
        <is>
          <t>직장</t>
        </is>
      </c>
      <c r="D526" t="inlineStr">
        <is>
          <t>부산진구</t>
        </is>
      </c>
      <c r="E526" t="inlineStr">
        <is>
          <t>부산광역시 부산진구 엄광로 176  (가야동)</t>
        </is>
      </c>
      <c r="F526" s="11" t="inlineStr">
        <is>
          <t>https://www.deu.ac.kr/www/deu-preschool.do</t>
        </is>
      </c>
      <c r="G526" t="inlineStr">
        <is>
          <t>051-890-2981</t>
        </is>
      </c>
      <c r="H526" s="15" t="n">
        <v>134</v>
      </c>
      <c r="I526" s="15" t="n">
        <v>0</v>
      </c>
      <c r="J526" s="15" t="n">
        <v>15</v>
      </c>
      <c r="K526" s="15" t="n">
        <v>20</v>
      </c>
      <c r="L526" s="15" t="n">
        <v>26</v>
      </c>
      <c r="M526" s="15" t="n">
        <v>24</v>
      </c>
      <c r="N526" s="15" t="n">
        <v>27</v>
      </c>
      <c r="O526" s="15" t="n">
        <v>0</v>
      </c>
      <c r="P526" s="15" t="n">
        <v>0</v>
      </c>
      <c r="Q526" s="15" t="n">
        <v>0</v>
      </c>
      <c r="R526" s="15" t="n">
        <v>0</v>
      </c>
      <c r="S526" s="15" t="n">
        <v>15</v>
      </c>
      <c r="T526" s="14">
        <f>IF(COUNT(I526:S526)=0,"",SUM(I526:S526))</f>
        <v/>
      </c>
      <c r="U526" t="inlineStr"/>
    </row>
    <row r="527">
      <c r="A527" t="inlineStr">
        <is>
          <t>동일어린이집</t>
        </is>
      </c>
      <c r="B527" t="inlineStr">
        <is>
          <t>어린이집</t>
        </is>
      </c>
      <c r="C527" t="inlineStr">
        <is>
          <t>민간</t>
        </is>
      </c>
      <c r="D527" t="inlineStr">
        <is>
          <t>부산진구</t>
        </is>
      </c>
      <c r="E527" t="inlineStr">
        <is>
          <t>부산광역시 부산진구 백양관문로 115 당감동일스위트관리동 (당감동)</t>
        </is>
      </c>
      <c r="F527" s="11" t="inlineStr">
        <is>
          <t>http://http;//cafe.daum.net/dong-il</t>
        </is>
      </c>
      <c r="G527" t="inlineStr">
        <is>
          <t>051-896-7100</t>
        </is>
      </c>
      <c r="H527" s="15" t="n">
        <v>79</v>
      </c>
      <c r="I527" s="15" t="n">
        <v>0</v>
      </c>
      <c r="J527" s="15" t="n">
        <v>9</v>
      </c>
      <c r="K527" s="15" t="n">
        <v>22</v>
      </c>
      <c r="L527" s="15" t="n">
        <v>9</v>
      </c>
      <c r="M527" s="15" t="n">
        <v>0</v>
      </c>
      <c r="N527" s="15" t="n">
        <v>0</v>
      </c>
      <c r="O527" s="15" t="n">
        <v>9</v>
      </c>
      <c r="P527" s="15" t="n">
        <v>14</v>
      </c>
      <c r="Q527" s="15" t="n">
        <v>0</v>
      </c>
      <c r="R527" s="15" t="n">
        <v>0</v>
      </c>
      <c r="S527" s="15" t="n">
        <v>8</v>
      </c>
      <c r="T527" s="14">
        <f>IF(COUNT(I527:S527)=0,"",SUM(I527:S527))</f>
        <v/>
      </c>
      <c r="U527" t="inlineStr"/>
    </row>
    <row r="528">
      <c r="A528" t="inlineStr">
        <is>
          <t>동일파크어린이집</t>
        </is>
      </c>
      <c r="B528" t="inlineStr">
        <is>
          <t>어린이집</t>
        </is>
      </c>
      <c r="C528" t="inlineStr">
        <is>
          <t>민간</t>
        </is>
      </c>
      <c r="D528" t="inlineStr">
        <is>
          <t>부산진구</t>
        </is>
      </c>
      <c r="E528" t="inlineStr">
        <is>
          <t>부산광역시 부산진구 동평로150번길 14 서면동일파크스위트1차 아파트 관리동(부암동)</t>
        </is>
      </c>
      <c r="F528" t="inlineStr"/>
      <c r="G528" t="inlineStr">
        <is>
          <t>051-806-2230</t>
        </is>
      </c>
      <c r="H528" s="15" t="n">
        <v>44</v>
      </c>
      <c r="I528" s="15" t="n">
        <v>9</v>
      </c>
      <c r="J528" s="15" t="n">
        <v>15</v>
      </c>
      <c r="K528" s="15" t="n">
        <v>14</v>
      </c>
      <c r="L528" s="15" t="n">
        <v>0</v>
      </c>
      <c r="M528" s="15" t="n">
        <v>0</v>
      </c>
      <c r="N528" s="15" t="n">
        <v>0</v>
      </c>
      <c r="O528" s="15" t="n">
        <v>0</v>
      </c>
      <c r="P528" s="15" t="n">
        <v>0</v>
      </c>
      <c r="Q528" s="15" t="n">
        <v>0</v>
      </c>
      <c r="R528" s="15" t="n">
        <v>0</v>
      </c>
      <c r="S528" s="15" t="n">
        <v>4</v>
      </c>
      <c r="T528" s="14">
        <f>IF(COUNT(I528:S528)=0,"",SUM(I528:S528))</f>
        <v/>
      </c>
      <c r="U528" t="inlineStr"/>
    </row>
    <row r="529">
      <c r="A529" t="inlineStr">
        <is>
          <t>동화나라어린이집</t>
        </is>
      </c>
      <c r="B529" t="inlineStr">
        <is>
          <t>어린이집</t>
        </is>
      </c>
      <c r="C529" t="inlineStr">
        <is>
          <t>가정</t>
        </is>
      </c>
      <c r="D529" t="inlineStr">
        <is>
          <t>부산진구</t>
        </is>
      </c>
      <c r="E529" t="inlineStr">
        <is>
          <t>부산광역시 부산진구 엄광로238번길 5 101동111호(가야동, 가야삼정그린코아아파트)</t>
        </is>
      </c>
      <c r="F529" t="inlineStr"/>
      <c r="G529" t="inlineStr">
        <is>
          <t>051-893-4559</t>
        </is>
      </c>
      <c r="H529" s="15" t="n">
        <v>19</v>
      </c>
      <c r="I529" s="15" t="n">
        <v>2</v>
      </c>
      <c r="J529" s="15" t="n">
        <v>3</v>
      </c>
      <c r="K529" s="15" t="n">
        <v>0</v>
      </c>
      <c r="L529" s="15" t="n">
        <v>0</v>
      </c>
      <c r="M529" s="15" t="n">
        <v>0</v>
      </c>
      <c r="N529" s="15" t="n">
        <v>0</v>
      </c>
      <c r="O529" s="15" t="n">
        <v>6</v>
      </c>
      <c r="P529" s="15" t="n">
        <v>0</v>
      </c>
      <c r="Q529" s="15" t="n">
        <v>0</v>
      </c>
      <c r="R529" s="15" t="n">
        <v>0</v>
      </c>
      <c r="S529" s="15" t="n">
        <v>3</v>
      </c>
      <c r="T529" s="14">
        <f>IF(COUNT(I529:S529)=0,"",SUM(I529:S529))</f>
        <v/>
      </c>
      <c r="U529" t="inlineStr"/>
    </row>
    <row r="530">
      <c r="A530" t="inlineStr">
        <is>
          <t>동화속어린이집</t>
        </is>
      </c>
      <c r="B530" t="inlineStr">
        <is>
          <t>어린이집</t>
        </is>
      </c>
      <c r="C530" t="inlineStr">
        <is>
          <t>가정</t>
        </is>
      </c>
      <c r="D530" t="inlineStr">
        <is>
          <t>부산진구</t>
        </is>
      </c>
      <c r="E530" t="inlineStr">
        <is>
          <t>부산광역시 부산진구 가야대로 635-20 104동 101호 (당감동, 태화현대 1차아파트)</t>
        </is>
      </c>
      <c r="F530" t="inlineStr"/>
      <c r="G530" t="inlineStr">
        <is>
          <t>051-891-7741</t>
        </is>
      </c>
      <c r="H530" s="15" t="n">
        <v>19</v>
      </c>
      <c r="I530" s="15" t="n">
        <v>6</v>
      </c>
      <c r="J530" s="15" t="n">
        <v>5</v>
      </c>
      <c r="K530" s="15" t="n">
        <v>7</v>
      </c>
      <c r="L530" s="15" t="n">
        <v>0</v>
      </c>
      <c r="M530" s="15" t="n">
        <v>0</v>
      </c>
      <c r="N530" s="15" t="n">
        <v>0</v>
      </c>
      <c r="O530" s="15" t="n">
        <v>0</v>
      </c>
      <c r="P530" s="15" t="n">
        <v>0</v>
      </c>
      <c r="Q530" s="15" t="n">
        <v>0</v>
      </c>
      <c r="R530" s="15" t="n">
        <v>0</v>
      </c>
      <c r="S530" s="15" t="n">
        <v>5</v>
      </c>
      <c r="T530" s="14">
        <f>IF(COUNT(I530:S530)=0,"",SUM(I530:S530))</f>
        <v/>
      </c>
      <c r="U530" t="inlineStr"/>
    </row>
    <row r="531">
      <c r="A531" t="inlineStr">
        <is>
          <t>두드림어린이집</t>
        </is>
      </c>
      <c r="B531" t="inlineStr">
        <is>
          <t>어린이집</t>
        </is>
      </c>
      <c r="C531" t="inlineStr">
        <is>
          <t>가정</t>
        </is>
      </c>
      <c r="D531" t="inlineStr">
        <is>
          <t>부산진구</t>
        </is>
      </c>
      <c r="E531" t="inlineStr">
        <is>
          <t>부산광역시 부산진구 백양관문로 104 7-104(당감동, 국제백양)</t>
        </is>
      </c>
      <c r="F531" t="inlineStr"/>
      <c r="G531" t="inlineStr">
        <is>
          <t>051-896-7977</t>
        </is>
      </c>
      <c r="H531" s="15" t="n">
        <v>19</v>
      </c>
      <c r="I531" s="15" t="n">
        <v>0</v>
      </c>
      <c r="J531" s="15" t="n">
        <v>0</v>
      </c>
      <c r="K531" s="15" t="n">
        <v>4</v>
      </c>
      <c r="L531" s="15" t="n">
        <v>0</v>
      </c>
      <c r="M531" s="15" t="n">
        <v>0</v>
      </c>
      <c r="N531" s="15" t="n">
        <v>0</v>
      </c>
      <c r="O531" s="15" t="n">
        <v>2</v>
      </c>
      <c r="P531" s="15" t="n">
        <v>0</v>
      </c>
      <c r="Q531" s="15" t="n">
        <v>0</v>
      </c>
      <c r="R531" s="15" t="n">
        <v>0</v>
      </c>
      <c r="S531" s="15" t="n">
        <v>7</v>
      </c>
      <c r="T531" s="14">
        <f>IF(COUNT(I531:S531)=0,"",SUM(I531:S531))</f>
        <v/>
      </c>
      <c r="U531" t="inlineStr"/>
    </row>
    <row r="532">
      <c r="A532" t="inlineStr">
        <is>
          <t>둘리어린이집</t>
        </is>
      </c>
      <c r="B532" t="inlineStr">
        <is>
          <t>어린이집</t>
        </is>
      </c>
      <c r="C532" t="inlineStr">
        <is>
          <t>가정</t>
        </is>
      </c>
      <c r="D532" t="inlineStr">
        <is>
          <t>부산진구</t>
        </is>
      </c>
      <c r="E532" t="inlineStr">
        <is>
          <t>부산광역시 부산진구 성지로114번길 14 101호 (초읍동, 한일하나로아파트)</t>
        </is>
      </c>
      <c r="F532" t="inlineStr"/>
      <c r="G532" t="inlineStr">
        <is>
          <t>051-806-4941</t>
        </is>
      </c>
      <c r="H532" s="15" t="n">
        <v>19</v>
      </c>
      <c r="I532" s="15" t="n">
        <v>5</v>
      </c>
      <c r="J532" s="15" t="n">
        <v>5</v>
      </c>
      <c r="K532" s="15" t="n">
        <v>7</v>
      </c>
      <c r="L532" s="15" t="n">
        <v>0</v>
      </c>
      <c r="M532" s="15" t="n">
        <v>0</v>
      </c>
      <c r="N532" s="15" t="n">
        <v>0</v>
      </c>
      <c r="O532" s="15" t="n">
        <v>0</v>
      </c>
      <c r="P532" s="15" t="n">
        <v>0</v>
      </c>
      <c r="Q532" s="15" t="n">
        <v>0</v>
      </c>
      <c r="R532" s="15" t="n">
        <v>0</v>
      </c>
      <c r="S532" s="15" t="n">
        <v>3</v>
      </c>
      <c r="T532" s="14">
        <f>IF(COUNT(I532:S532)=0,"",SUM(I532:S532))</f>
        <v/>
      </c>
      <c r="U532" t="inlineStr"/>
    </row>
    <row r="533">
      <c r="A533" t="inlineStr">
        <is>
          <t>라인예능어린이집</t>
        </is>
      </c>
      <c r="B533" t="inlineStr">
        <is>
          <t>어린이집</t>
        </is>
      </c>
      <c r="C533" t="inlineStr">
        <is>
          <t>가정</t>
        </is>
      </c>
      <c r="D533" t="inlineStr">
        <is>
          <t>부산진구</t>
        </is>
      </c>
      <c r="E533" t="inlineStr">
        <is>
          <t>부산광역시 부산진구 시민공원로19번길 32-14  (부암동)</t>
        </is>
      </c>
      <c r="F533" t="inlineStr"/>
      <c r="G533" t="inlineStr">
        <is>
          <t>051-805-4593</t>
        </is>
      </c>
      <c r="H533" s="15" t="n">
        <v>20</v>
      </c>
      <c r="I533" s="15" t="n">
        <v>2</v>
      </c>
      <c r="J533" s="15" t="n">
        <v>0</v>
      </c>
      <c r="K533" s="15" t="n">
        <v>7</v>
      </c>
      <c r="L533" s="15" t="n">
        <v>0</v>
      </c>
      <c r="M533" s="15" t="n">
        <v>0</v>
      </c>
      <c r="N533" s="15" t="n">
        <v>0</v>
      </c>
      <c r="O533" s="15" t="n">
        <v>5</v>
      </c>
      <c r="P533" s="15" t="n">
        <v>0</v>
      </c>
      <c r="Q533" s="15" t="n">
        <v>0</v>
      </c>
      <c r="R533" s="15" t="n">
        <v>0</v>
      </c>
      <c r="S533" s="15" t="n">
        <v>3</v>
      </c>
      <c r="T533" s="14">
        <f>IF(COUNT(I533:S533)=0,"",SUM(I533:S533))</f>
        <v/>
      </c>
      <c r="U533" t="inlineStr"/>
    </row>
    <row r="534">
      <c r="A534" t="inlineStr">
        <is>
          <t>래미안어반파크어린이집</t>
        </is>
      </c>
      <c r="B534" t="inlineStr">
        <is>
          <t>어린이집</t>
        </is>
      </c>
      <c r="C534" t="inlineStr">
        <is>
          <t>국공립</t>
        </is>
      </c>
      <c r="D534" t="inlineStr">
        <is>
          <t>부산진구</t>
        </is>
      </c>
      <c r="E534" t="inlineStr">
        <is>
          <t>부산광역시 부산진구 성지로 37 래미안어반파크아파트</t>
        </is>
      </c>
      <c r="F534" t="inlineStr"/>
      <c r="G534" t="inlineStr">
        <is>
          <t>051-805-3588</t>
        </is>
      </c>
      <c r="H534" s="15" t="n">
        <v>85</v>
      </c>
      <c r="I534" s="15" t="n">
        <v>0</v>
      </c>
      <c r="J534" s="15" t="n">
        <v>18</v>
      </c>
      <c r="K534" s="15" t="n">
        <v>18</v>
      </c>
      <c r="L534" s="15" t="n">
        <v>11</v>
      </c>
      <c r="M534" s="15" t="n">
        <v>13</v>
      </c>
      <c r="N534" s="15" t="n">
        <v>16</v>
      </c>
      <c r="O534" s="15" t="n">
        <v>0</v>
      </c>
      <c r="P534" s="15" t="n">
        <v>0</v>
      </c>
      <c r="Q534" s="15" t="n">
        <v>0</v>
      </c>
      <c r="R534" s="15" t="n">
        <v>2</v>
      </c>
      <c r="S534" s="15" t="n">
        <v>23</v>
      </c>
      <c r="T534" s="14">
        <f>IF(COUNT(I534:S534)=0,"",SUM(I534:S534))</f>
        <v/>
      </c>
      <c r="U534" t="inlineStr"/>
    </row>
    <row r="535">
      <c r="A535" t="inlineStr">
        <is>
          <t>롯데캐슬골드아너어린이집</t>
        </is>
      </c>
      <c r="B535" t="inlineStr">
        <is>
          <t>어린이집</t>
        </is>
      </c>
      <c r="C535" t="inlineStr">
        <is>
          <t>국공립</t>
        </is>
      </c>
      <c r="D535" t="inlineStr">
        <is>
          <t>부산진구</t>
        </is>
      </c>
      <c r="E535" t="inlineStr">
        <is>
          <t>부산광역시 부산진구 가야대로 538 가야롯데캐슬골드아너</t>
        </is>
      </c>
      <c r="F535" t="inlineStr"/>
      <c r="G535" t="inlineStr">
        <is>
          <t>051-891-9075</t>
        </is>
      </c>
      <c r="H535" s="15" t="n">
        <v>49</v>
      </c>
      <c r="I535" s="15" t="n">
        <v>8</v>
      </c>
      <c r="J535" s="15" t="n">
        <v>20</v>
      </c>
      <c r="K535" s="15" t="n">
        <v>17</v>
      </c>
      <c r="L535" s="15" t="n">
        <v>0</v>
      </c>
      <c r="M535" s="15" t="n">
        <v>0</v>
      </c>
      <c r="N535" s="15" t="n">
        <v>0</v>
      </c>
      <c r="O535" s="15" t="n">
        <v>0</v>
      </c>
      <c r="P535" s="15" t="n">
        <v>0</v>
      </c>
      <c r="Q535" s="15" t="n">
        <v>0</v>
      </c>
      <c r="R535" s="15" t="n">
        <v>0</v>
      </c>
      <c r="S535" s="15" t="n">
        <v>10</v>
      </c>
      <c r="T535" s="14">
        <f>IF(COUNT(I535:S535)=0,"",SUM(I535:S535))</f>
        <v/>
      </c>
      <c r="U535" t="inlineStr"/>
    </row>
    <row r="536">
      <c r="A536" t="inlineStr">
        <is>
          <t>롯데캐슬라센트어린이집</t>
        </is>
      </c>
      <c r="B536" t="inlineStr">
        <is>
          <t>어린이집</t>
        </is>
      </c>
      <c r="C536" t="inlineStr">
        <is>
          <t>국공립</t>
        </is>
      </c>
      <c r="D536" t="inlineStr">
        <is>
          <t>부산진구</t>
        </is>
      </c>
      <c r="E536" t="inlineStr">
        <is>
          <t>부산광역시 부산진구 백양순환로 75 백양산롯데캐슬골드센트럴아파트</t>
        </is>
      </c>
      <c r="F536" t="inlineStr"/>
      <c r="G536" t="inlineStr">
        <is>
          <t>051-791-0901</t>
        </is>
      </c>
      <c r="H536" s="15" t="n">
        <v>85</v>
      </c>
      <c r="I536" s="15" t="n">
        <v>5</v>
      </c>
      <c r="J536" s="15" t="n">
        <v>21</v>
      </c>
      <c r="K536" s="15" t="n">
        <v>27</v>
      </c>
      <c r="L536" s="15" t="n">
        <v>6</v>
      </c>
      <c r="M536" s="15" t="n">
        <v>0</v>
      </c>
      <c r="N536" s="15" t="n">
        <v>0</v>
      </c>
      <c r="O536" s="15" t="n">
        <v>0</v>
      </c>
      <c r="P536" s="15" t="n">
        <v>0</v>
      </c>
      <c r="Q536" s="15" t="n">
        <v>0</v>
      </c>
      <c r="R536" s="15" t="n">
        <v>0</v>
      </c>
      <c r="S536" s="15" t="n">
        <v>24</v>
      </c>
      <c r="T536" s="14">
        <f>IF(COUNT(I536:S536)=0,"",SUM(I536:S536))</f>
        <v/>
      </c>
      <c r="U536" t="inlineStr"/>
    </row>
    <row r="537">
      <c r="A537" t="inlineStr">
        <is>
          <t>롯데캐슬어린이집</t>
        </is>
      </c>
      <c r="B537" t="inlineStr">
        <is>
          <t>어린이집</t>
        </is>
      </c>
      <c r="C537" t="inlineStr">
        <is>
          <t>민간</t>
        </is>
      </c>
      <c r="D537" t="inlineStr">
        <is>
          <t>부산진구</t>
        </is>
      </c>
      <c r="E537" t="inlineStr">
        <is>
          <t>부산광역시 부산진구 전포대로275번길 20 101동 롯데캐슬스카이아파트 (전포동)</t>
        </is>
      </c>
      <c r="F537" t="inlineStr"/>
      <c r="G537" t="inlineStr">
        <is>
          <t>051-818-7039</t>
        </is>
      </c>
      <c r="H537" s="15" t="n">
        <v>35</v>
      </c>
      <c r="I537" s="15" t="n">
        <v>6</v>
      </c>
      <c r="J537" s="15" t="n">
        <v>3</v>
      </c>
      <c r="K537" s="15" t="n">
        <v>14</v>
      </c>
      <c r="L537" s="15" t="n">
        <v>0</v>
      </c>
      <c r="M537" s="15" t="n">
        <v>0</v>
      </c>
      <c r="N537" s="15" t="n">
        <v>0</v>
      </c>
      <c r="O537" s="15" t="n">
        <v>10</v>
      </c>
      <c r="P537" s="15" t="n">
        <v>0</v>
      </c>
      <c r="Q537" s="15" t="n">
        <v>0</v>
      </c>
      <c r="R537" s="15" t="n">
        <v>0</v>
      </c>
      <c r="S537" s="15" t="n">
        <v>5</v>
      </c>
      <c r="T537" s="14">
        <f>IF(COUNT(I537:S537)=0,"",SUM(I537:S537))</f>
        <v/>
      </c>
      <c r="U537" t="inlineStr"/>
    </row>
    <row r="538">
      <c r="A538" t="inlineStr">
        <is>
          <t>민지어린이집</t>
        </is>
      </c>
      <c r="B538" t="inlineStr">
        <is>
          <t>어린이집</t>
        </is>
      </c>
      <c r="C538" t="inlineStr">
        <is>
          <t>가정</t>
        </is>
      </c>
      <c r="D538" t="inlineStr">
        <is>
          <t>부산진구</t>
        </is>
      </c>
      <c r="E538" t="inlineStr">
        <is>
          <t>부산광역시 부산진구 동평로291번길 30-17 101동 104호 (연지동, 연지2차청구아파트)</t>
        </is>
      </c>
      <c r="F538" t="inlineStr"/>
      <c r="G538" t="inlineStr">
        <is>
          <t>051-817-9535</t>
        </is>
      </c>
      <c r="H538" s="15" t="n">
        <v>19</v>
      </c>
      <c r="I538" s="15" t="n">
        <v>6</v>
      </c>
      <c r="J538" s="15" t="n">
        <v>5</v>
      </c>
      <c r="K538" s="15" t="n">
        <v>7</v>
      </c>
      <c r="L538" s="15" t="n">
        <v>0</v>
      </c>
      <c r="M538" s="15" t="n">
        <v>0</v>
      </c>
      <c r="N538" s="15" t="n">
        <v>0</v>
      </c>
      <c r="O538" s="15" t="n">
        <v>0</v>
      </c>
      <c r="P538" s="15" t="n">
        <v>0</v>
      </c>
      <c r="Q538" s="15" t="n">
        <v>0</v>
      </c>
      <c r="R538" s="15" t="n">
        <v>0</v>
      </c>
      <c r="S538" s="15" t="n">
        <v>20</v>
      </c>
      <c r="T538" s="14">
        <f>IF(COUNT(I538:S538)=0,"",SUM(I538:S538))</f>
        <v/>
      </c>
      <c r="U538" t="inlineStr"/>
    </row>
    <row r="539">
      <c r="A539" t="inlineStr">
        <is>
          <t>백양산서희스타힐스1단지어린이집</t>
        </is>
      </c>
      <c r="B539" t="inlineStr">
        <is>
          <t>어린이집</t>
        </is>
      </c>
      <c r="C539" t="inlineStr">
        <is>
          <t>국공립</t>
        </is>
      </c>
      <c r="D539" t="inlineStr">
        <is>
          <t>부산진구</t>
        </is>
      </c>
      <c r="E539" t="inlineStr">
        <is>
          <t>부산광역시 부산진구 백양산로 22 백양산서희스타힐스 1단지</t>
        </is>
      </c>
      <c r="F539" t="inlineStr"/>
      <c r="G539" t="inlineStr">
        <is>
          <t>051-818-0666</t>
        </is>
      </c>
      <c r="H539" s="15" t="n">
        <v>35</v>
      </c>
      <c r="I539" s="15" t="n">
        <v>6</v>
      </c>
      <c r="J539" s="15" t="n">
        <v>15</v>
      </c>
      <c r="K539" s="15" t="n">
        <v>12</v>
      </c>
      <c r="L539" s="15" t="n">
        <v>0</v>
      </c>
      <c r="M539" s="15" t="n">
        <v>0</v>
      </c>
      <c r="N539" s="15" t="n">
        <v>0</v>
      </c>
      <c r="O539" s="15" t="n">
        <v>0</v>
      </c>
      <c r="P539" s="15" t="n">
        <v>0</v>
      </c>
      <c r="Q539" s="15" t="n">
        <v>0</v>
      </c>
      <c r="R539" s="15" t="n">
        <v>0</v>
      </c>
      <c r="S539" s="15" t="n">
        <v>12</v>
      </c>
      <c r="T539" s="14">
        <f>IF(COUNT(I539:S539)=0,"",SUM(I539:S539))</f>
        <v/>
      </c>
      <c r="U539" t="inlineStr"/>
    </row>
    <row r="540">
      <c r="A540" t="inlineStr">
        <is>
          <t>백양산서희스타힐스2단지어린이집</t>
        </is>
      </c>
      <c r="B540" t="inlineStr">
        <is>
          <t>어린이집</t>
        </is>
      </c>
      <c r="C540" t="inlineStr">
        <is>
          <t>국공립</t>
        </is>
      </c>
      <c r="D540" t="inlineStr">
        <is>
          <t>부산진구</t>
        </is>
      </c>
      <c r="E540" t="inlineStr">
        <is>
          <t>부산광역시 부산진구 백양산로 22 백양산서희스타힐스 2단지</t>
        </is>
      </c>
      <c r="F540" t="inlineStr"/>
      <c r="G540" t="inlineStr">
        <is>
          <t>051-808-1020</t>
        </is>
      </c>
      <c r="H540" s="15" t="n">
        <v>21</v>
      </c>
      <c r="I540" s="15" t="n">
        <v>4</v>
      </c>
      <c r="J540" s="15" t="n">
        <v>4</v>
      </c>
      <c r="K540" s="15" t="n">
        <v>5</v>
      </c>
      <c r="L540" s="15" t="n">
        <v>0</v>
      </c>
      <c r="M540" s="15" t="n">
        <v>0</v>
      </c>
      <c r="N540" s="15" t="n">
        <v>0</v>
      </c>
      <c r="O540" s="15" t="n">
        <v>8</v>
      </c>
      <c r="P540" s="15" t="n">
        <v>0</v>
      </c>
      <c r="Q540" s="15" t="n">
        <v>0</v>
      </c>
      <c r="R540" s="15" t="n">
        <v>0</v>
      </c>
      <c r="S540" s="15" t="n">
        <v>7</v>
      </c>
      <c r="T540" s="14">
        <f>IF(COUNT(I540:S540)=0,"",SUM(I540:S540))</f>
        <v/>
      </c>
      <c r="U540" t="inlineStr"/>
    </row>
    <row r="541">
      <c r="A541" t="inlineStr">
        <is>
          <t>범천2동꿈터어린이집</t>
        </is>
      </c>
      <c r="B541" t="inlineStr">
        <is>
          <t>어린이집</t>
        </is>
      </c>
      <c r="C541" t="inlineStr">
        <is>
          <t>국공립</t>
        </is>
      </c>
      <c r="D541" t="inlineStr">
        <is>
          <t>부산진구</t>
        </is>
      </c>
      <c r="E541" t="inlineStr">
        <is>
          <t>부산광역시 부산진구 엄광로514번길 13  (범천동)</t>
        </is>
      </c>
      <c r="F541" t="inlineStr"/>
      <c r="G541" t="inlineStr">
        <is>
          <t>051-646-2218</t>
        </is>
      </c>
      <c r="H541" s="15" t="n">
        <v>49</v>
      </c>
      <c r="I541" s="15" t="n">
        <v>3</v>
      </c>
      <c r="J541" s="15" t="n">
        <v>0</v>
      </c>
      <c r="K541" s="15" t="n">
        <v>7</v>
      </c>
      <c r="L541" s="15" t="n">
        <v>0</v>
      </c>
      <c r="M541" s="15" t="n">
        <v>0</v>
      </c>
      <c r="N541" s="15" t="n">
        <v>0</v>
      </c>
      <c r="O541" s="15" t="n">
        <v>3</v>
      </c>
      <c r="P541" s="15" t="n">
        <v>0</v>
      </c>
      <c r="Q541" s="15" t="n">
        <v>0</v>
      </c>
      <c r="R541" s="15" t="n">
        <v>0</v>
      </c>
      <c r="S541" s="15" t="n">
        <v>0</v>
      </c>
      <c r="T541" s="14">
        <f>IF(COUNT(I541:S541)=0,"",SUM(I541:S541))</f>
        <v/>
      </c>
      <c r="U541" t="inlineStr"/>
    </row>
    <row r="542">
      <c r="A542" t="inlineStr">
        <is>
          <t>범천착한어린이집</t>
        </is>
      </c>
      <c r="B542" t="inlineStr">
        <is>
          <t>어린이집</t>
        </is>
      </c>
      <c r="C542" t="inlineStr">
        <is>
          <t>국공립</t>
        </is>
      </c>
      <c r="D542" t="inlineStr">
        <is>
          <t>부산진구</t>
        </is>
      </c>
      <c r="E542" t="inlineStr">
        <is>
          <t>부산광역시 부산진구 신암로 66 (범천동,범천엘에이치아파트)</t>
        </is>
      </c>
      <c r="F542" t="inlineStr"/>
      <c r="G542" t="inlineStr">
        <is>
          <t>051-633-0022</t>
        </is>
      </c>
      <c r="H542" s="15" t="n">
        <v>52</v>
      </c>
      <c r="I542" s="15" t="n">
        <v>6</v>
      </c>
      <c r="J542" s="15" t="n">
        <v>19</v>
      </c>
      <c r="K542" s="15" t="n">
        <v>19</v>
      </c>
      <c r="L542" s="15" t="n">
        <v>0</v>
      </c>
      <c r="M542" s="15" t="n">
        <v>0</v>
      </c>
      <c r="N542" s="15" t="n">
        <v>0</v>
      </c>
      <c r="O542" s="15" t="n">
        <v>0</v>
      </c>
      <c r="P542" s="15" t="n">
        <v>0</v>
      </c>
      <c r="Q542" s="15" t="n">
        <v>0</v>
      </c>
      <c r="R542" s="15" t="n">
        <v>0</v>
      </c>
      <c r="S542" s="15" t="n">
        <v>5</v>
      </c>
      <c r="T542" s="14">
        <f>IF(COUNT(I542:S542)=0,"",SUM(I542:S542))</f>
        <v/>
      </c>
      <c r="U542" t="inlineStr"/>
    </row>
    <row r="543">
      <c r="A543" t="inlineStr">
        <is>
          <t>별나라어린이집</t>
        </is>
      </c>
      <c r="B543" t="inlineStr">
        <is>
          <t>어린이집</t>
        </is>
      </c>
      <c r="C543" t="inlineStr">
        <is>
          <t>가정</t>
        </is>
      </c>
      <c r="D543" t="inlineStr">
        <is>
          <t>부산진구</t>
        </is>
      </c>
      <c r="E543" t="inlineStr">
        <is>
          <t>부산광역시 부산진구 가야대로 635-13 206동 101호 (당감동, 태화현대2차아파트)</t>
        </is>
      </c>
      <c r="F543" s="11" t="inlineStr">
        <is>
          <t>http://cafe.daum.net/Beulnara</t>
        </is>
      </c>
      <c r="G543" t="inlineStr">
        <is>
          <t>051-897-5545</t>
        </is>
      </c>
      <c r="H543" s="15" t="n">
        <v>19</v>
      </c>
      <c r="I543" s="15" t="n">
        <v>8</v>
      </c>
      <c r="J543" s="15" t="n">
        <v>5</v>
      </c>
      <c r="K543" s="15" t="n">
        <v>0</v>
      </c>
      <c r="L543" s="15" t="n">
        <v>0</v>
      </c>
      <c r="M543" s="15" t="n">
        <v>0</v>
      </c>
      <c r="N543" s="15" t="n">
        <v>0</v>
      </c>
      <c r="O543" s="15" t="n">
        <v>5</v>
      </c>
      <c r="P543" s="15" t="n">
        <v>0</v>
      </c>
      <c r="Q543" s="15" t="n">
        <v>0</v>
      </c>
      <c r="R543" s="15" t="n">
        <v>0</v>
      </c>
      <c r="S543" s="15" t="n">
        <v>5</v>
      </c>
      <c r="T543" s="14">
        <f>IF(COUNT(I543:S543)=0,"",SUM(I543:S543))</f>
        <v/>
      </c>
      <c r="U543" t="inlineStr"/>
    </row>
    <row r="544">
      <c r="A544" t="inlineStr">
        <is>
          <t>보라빌어린이집</t>
        </is>
      </c>
      <c r="B544" t="inlineStr">
        <is>
          <t>어린이집</t>
        </is>
      </c>
      <c r="C544" t="inlineStr">
        <is>
          <t>민간</t>
        </is>
      </c>
      <c r="D544" t="inlineStr">
        <is>
          <t>부산진구</t>
        </is>
      </c>
      <c r="E544" t="inlineStr">
        <is>
          <t>부산광역시 부산진구 가야공원로 41 반도보라빌아파트관리동 (가야동)</t>
        </is>
      </c>
      <c r="F544" t="inlineStr"/>
      <c r="G544" t="inlineStr">
        <is>
          <t>051-893-3966</t>
        </is>
      </c>
      <c r="H544" s="15" t="n">
        <v>37</v>
      </c>
      <c r="I544" s="15" t="n">
        <v>12</v>
      </c>
      <c r="J544" s="15" t="n">
        <v>4</v>
      </c>
      <c r="K544" s="15" t="n">
        <v>7</v>
      </c>
      <c r="L544" s="15" t="n">
        <v>0</v>
      </c>
      <c r="M544" s="15" t="n">
        <v>0</v>
      </c>
      <c r="N544" s="15" t="n">
        <v>0</v>
      </c>
      <c r="O544" s="15" t="n">
        <v>0</v>
      </c>
      <c r="P544" s="15" t="n">
        <v>0</v>
      </c>
      <c r="Q544" s="15" t="n">
        <v>0</v>
      </c>
      <c r="R544" s="15" t="n">
        <v>0</v>
      </c>
      <c r="S544" s="15" t="n">
        <v>6</v>
      </c>
      <c r="T544" s="14">
        <f>IF(COUNT(I544:S544)=0,"",SUM(I544:S544))</f>
        <v/>
      </c>
      <c r="U544" t="inlineStr"/>
    </row>
    <row r="545">
      <c r="A545" t="inlineStr">
        <is>
          <t>봄여름가을겨울어린이집</t>
        </is>
      </c>
      <c r="B545" t="inlineStr">
        <is>
          <t>어린이집</t>
        </is>
      </c>
      <c r="C545" t="inlineStr">
        <is>
          <t>민간</t>
        </is>
      </c>
      <c r="D545" t="inlineStr">
        <is>
          <t>부산진구</t>
        </is>
      </c>
      <c r="E545" t="inlineStr">
        <is>
          <t>부산광역시 부산진구 신천대로197번길 15 102-203(당감동, 서면2차봄여름가을겨울)</t>
        </is>
      </c>
      <c r="F545" t="inlineStr"/>
      <c r="G545" t="inlineStr">
        <is>
          <t>051-893-3592</t>
        </is>
      </c>
      <c r="H545" s="15" t="n">
        <v>47</v>
      </c>
      <c r="I545" s="15" t="n">
        <v>6</v>
      </c>
      <c r="J545" s="15" t="n">
        <v>20</v>
      </c>
      <c r="K545" s="15" t="n">
        <v>20</v>
      </c>
      <c r="L545" s="15" t="n">
        <v>0</v>
      </c>
      <c r="M545" s="15" t="n">
        <v>0</v>
      </c>
      <c r="N545" s="15" t="n">
        <v>0</v>
      </c>
      <c r="O545" s="15" t="n">
        <v>0</v>
      </c>
      <c r="P545" s="15" t="n">
        <v>0</v>
      </c>
      <c r="Q545" s="15" t="n">
        <v>0</v>
      </c>
      <c r="R545" s="15" t="n">
        <v>0</v>
      </c>
      <c r="S545" s="15" t="n">
        <v>4</v>
      </c>
      <c r="T545" s="14">
        <f>IF(COUNT(I545:S545)=0,"",SUM(I545:S545))</f>
        <v/>
      </c>
      <c r="U545" t="inlineStr"/>
    </row>
    <row r="546">
      <c r="A546" t="inlineStr">
        <is>
          <t>부산광역시청어린이집</t>
        </is>
      </c>
      <c r="B546" t="inlineStr">
        <is>
          <t>어린이집</t>
        </is>
      </c>
      <c r="C546" t="inlineStr">
        <is>
          <t>직장</t>
        </is>
      </c>
      <c r="D546" t="inlineStr">
        <is>
          <t>부산진구</t>
        </is>
      </c>
      <c r="E546" t="inlineStr">
        <is>
          <t>부산광역시 부산진구 거제천로40번길 31 (양정동)</t>
        </is>
      </c>
      <c r="F546" s="11" t="inlineStr">
        <is>
          <t>http://www.bskidult.co.kr</t>
        </is>
      </c>
      <c r="G546" t="inlineStr">
        <is>
          <t>051-866-2918</t>
        </is>
      </c>
      <c r="H546" s="15" t="n">
        <v>131</v>
      </c>
      <c r="I546" s="15" t="n">
        <v>0</v>
      </c>
      <c r="J546" s="15" t="n">
        <v>15</v>
      </c>
      <c r="K546" s="15" t="n">
        <v>20</v>
      </c>
      <c r="L546" s="15" t="n">
        <v>29</v>
      </c>
      <c r="M546" s="15" t="n">
        <v>28</v>
      </c>
      <c r="N546" s="15" t="n">
        <v>28</v>
      </c>
      <c r="O546" s="15" t="n">
        <v>9</v>
      </c>
      <c r="P546" s="15" t="n">
        <v>0</v>
      </c>
      <c r="Q546" s="15" t="n">
        <v>0</v>
      </c>
      <c r="R546" s="15" t="n">
        <v>0</v>
      </c>
      <c r="S546" s="15" t="n">
        <v>45</v>
      </c>
      <c r="T546" s="14">
        <f>IF(COUNT(I546:S546)=0,"",SUM(I546:S546))</f>
        <v/>
      </c>
      <c r="U546" t="inlineStr"/>
    </row>
    <row r="547">
      <c r="A547" t="inlineStr">
        <is>
          <t>부산교통공사 휴메트로어린이집</t>
        </is>
      </c>
      <c r="B547" t="inlineStr">
        <is>
          <t>어린이집</t>
        </is>
      </c>
      <c r="C547" t="inlineStr">
        <is>
          <t>직장</t>
        </is>
      </c>
      <c r="D547" t="inlineStr">
        <is>
          <t>부산진구</t>
        </is>
      </c>
      <c r="E547" t="inlineStr">
        <is>
          <t>부산광역시 부산진구 중앙대로644번길 20 부산교통공사</t>
        </is>
      </c>
      <c r="F547" t="inlineStr"/>
      <c r="G547" t="inlineStr">
        <is>
          <t>051-636-0831</t>
        </is>
      </c>
      <c r="H547" s="15" t="n">
        <v>69</v>
      </c>
      <c r="I547" s="15" t="n">
        <v>0</v>
      </c>
      <c r="J547" s="15" t="n">
        <v>4</v>
      </c>
      <c r="K547" s="15" t="n">
        <v>7</v>
      </c>
      <c r="L547" s="15" t="n">
        <v>12</v>
      </c>
      <c r="M547" s="15" t="n">
        <v>0</v>
      </c>
      <c r="N547" s="15" t="n">
        <v>0</v>
      </c>
      <c r="O547" s="15" t="n">
        <v>0</v>
      </c>
      <c r="P547" s="15" t="n">
        <v>11</v>
      </c>
      <c r="Q547" s="15" t="n">
        <v>0</v>
      </c>
      <c r="R547" s="15" t="n">
        <v>0</v>
      </c>
      <c r="S547" s="15" t="n">
        <v>13</v>
      </c>
      <c r="T547" s="14">
        <f>IF(COUNT(I547:S547)=0,"",SUM(I547:S547))</f>
        <v/>
      </c>
      <c r="U547" t="inlineStr"/>
    </row>
    <row r="548">
      <c r="A548" t="inlineStr">
        <is>
          <t>부산백병원어린이집</t>
        </is>
      </c>
      <c r="B548" t="inlineStr">
        <is>
          <t>어린이집</t>
        </is>
      </c>
      <c r="C548" t="inlineStr">
        <is>
          <t>직장</t>
        </is>
      </c>
      <c r="D548" t="inlineStr">
        <is>
          <t>부산진구</t>
        </is>
      </c>
      <c r="E548" t="inlineStr">
        <is>
          <t>부산광역시 부산진구 엄광로 68 102동 103호(개금동, 벽산아파트)</t>
        </is>
      </c>
      <c r="F548" t="inlineStr"/>
      <c r="G548" t="inlineStr">
        <is>
          <t>051-897-6506</t>
        </is>
      </c>
      <c r="H548" s="15" t="n">
        <v>19</v>
      </c>
      <c r="I548" s="15" t="n">
        <v>2</v>
      </c>
      <c r="J548" s="15" t="n">
        <v>4</v>
      </c>
      <c r="K548" s="15" t="n">
        <v>4</v>
      </c>
      <c r="L548" s="15" t="n">
        <v>0</v>
      </c>
      <c r="M548" s="15" t="n">
        <v>0</v>
      </c>
      <c r="N548" s="15" t="n">
        <v>0</v>
      </c>
      <c r="O548" s="15" t="n">
        <v>0</v>
      </c>
      <c r="P548" s="15" t="n">
        <v>0</v>
      </c>
      <c r="Q548" s="15" t="n">
        <v>0</v>
      </c>
      <c r="R548" s="15" t="n">
        <v>0</v>
      </c>
      <c r="S548" s="15" t="n">
        <v>5</v>
      </c>
      <c r="T548" s="14">
        <f>IF(COUNT(I548:S548)=0,"",SUM(I548:S548))</f>
        <v/>
      </c>
      <c r="U548" t="inlineStr"/>
    </row>
    <row r="549">
      <c r="A549" t="inlineStr">
        <is>
          <t>부산전포부영사랑으로어린이집</t>
        </is>
      </c>
      <c r="B549" t="inlineStr">
        <is>
          <t>어린이집</t>
        </is>
      </c>
      <c r="C549" t="inlineStr">
        <is>
          <t>민간</t>
        </is>
      </c>
      <c r="D549" t="inlineStr">
        <is>
          <t>부산진구</t>
        </is>
      </c>
      <c r="E549" t="inlineStr">
        <is>
          <t>부산광역시 부산진구 동성로 82 (전포동, 부영사랑으로 아파트)</t>
        </is>
      </c>
      <c r="F549" t="inlineStr"/>
      <c r="G549" t="inlineStr">
        <is>
          <t>051-925-5364</t>
        </is>
      </c>
      <c r="H549" s="15" t="n">
        <v>38</v>
      </c>
      <c r="I549" s="15" t="n">
        <v>11</v>
      </c>
      <c r="J549" s="15" t="n">
        <v>14</v>
      </c>
      <c r="K549" s="15" t="n">
        <v>12</v>
      </c>
      <c r="L549" s="15" t="n">
        <v>0</v>
      </c>
      <c r="M549" s="15" t="n">
        <v>0</v>
      </c>
      <c r="N549" s="15" t="n">
        <v>0</v>
      </c>
      <c r="O549" s="15" t="n">
        <v>0</v>
      </c>
      <c r="P549" s="15" t="n">
        <v>0</v>
      </c>
      <c r="Q549" s="15" t="n">
        <v>0</v>
      </c>
      <c r="R549" s="15" t="n">
        <v>0</v>
      </c>
      <c r="S549" s="15" t="n">
        <v>8</v>
      </c>
      <c r="T549" s="14">
        <f>IF(COUNT(I549:S549)=0,"",SUM(I549:S549))</f>
        <v/>
      </c>
      <c r="U549" t="inlineStr"/>
    </row>
    <row r="550">
      <c r="A550" t="inlineStr">
        <is>
          <t>부산진구사회복지관어린이집</t>
        </is>
      </c>
      <c r="B550" t="inlineStr">
        <is>
          <t>어린이집</t>
        </is>
      </c>
      <c r="C550" t="inlineStr">
        <is>
          <t>국공립</t>
        </is>
      </c>
      <c r="D550" t="inlineStr">
        <is>
          <t>부산진구</t>
        </is>
      </c>
      <c r="E550" t="inlineStr">
        <is>
          <t>부산광역시 부산진구 복지로 117-12 부산진구사회복지관 내 (개금동)</t>
        </is>
      </c>
      <c r="F550" s="11" t="inlineStr">
        <is>
          <t>https://blog.naver.com/ywcajingu</t>
        </is>
      </c>
      <c r="G550" t="inlineStr">
        <is>
          <t>051-894-8487</t>
        </is>
      </c>
      <c r="H550" s="15" t="n">
        <v>80</v>
      </c>
      <c r="I550" s="15" t="n">
        <v>6</v>
      </c>
      <c r="J550" s="15" t="n">
        <v>19</v>
      </c>
      <c r="K550" s="15" t="n">
        <v>12</v>
      </c>
      <c r="L550" s="15" t="n">
        <v>12</v>
      </c>
      <c r="M550" s="15" t="n">
        <v>0</v>
      </c>
      <c r="N550" s="15" t="n">
        <v>0</v>
      </c>
      <c r="O550" s="15" t="n">
        <v>0</v>
      </c>
      <c r="P550" s="15" t="n">
        <v>19</v>
      </c>
      <c r="Q550" s="15" t="n">
        <v>0</v>
      </c>
      <c r="R550" s="15" t="n">
        <v>9</v>
      </c>
      <c r="S550" s="15" t="n">
        <v>16</v>
      </c>
      <c r="T550" s="14">
        <f>IF(COUNT(I550:S550)=0,"",SUM(I550:S550))</f>
        <v/>
      </c>
      <c r="U550" t="inlineStr"/>
    </row>
    <row r="551">
      <c r="A551" t="inlineStr">
        <is>
          <t>부산진구청어린이집</t>
        </is>
      </c>
      <c r="B551" t="inlineStr">
        <is>
          <t>어린이집</t>
        </is>
      </c>
      <c r="C551" t="inlineStr">
        <is>
          <t>직장</t>
        </is>
      </c>
      <c r="D551" t="inlineStr">
        <is>
          <t>부산진구</t>
        </is>
      </c>
      <c r="E551" t="inlineStr">
        <is>
          <t>부산광역시 부산진구 시민공원로 30 부산진구청내 보육시설</t>
        </is>
      </c>
      <c r="F551" t="inlineStr"/>
      <c r="G551" t="inlineStr">
        <is>
          <t>051-802-4858</t>
        </is>
      </c>
      <c r="H551" s="15" t="n">
        <v>60</v>
      </c>
      <c r="I551" s="15" t="n">
        <v>6</v>
      </c>
      <c r="J551" s="15" t="n">
        <v>6</v>
      </c>
      <c r="K551" s="15" t="n">
        <v>13</v>
      </c>
      <c r="L551" s="15" t="n">
        <v>9</v>
      </c>
      <c r="M551" s="15" t="n">
        <v>0</v>
      </c>
      <c r="N551" s="15" t="n">
        <v>0</v>
      </c>
      <c r="O551" s="15" t="n">
        <v>0</v>
      </c>
      <c r="P551" s="15" t="n">
        <v>20</v>
      </c>
      <c r="Q551" s="15" t="n">
        <v>0</v>
      </c>
      <c r="R551" s="15" t="n">
        <v>0</v>
      </c>
      <c r="S551" s="15" t="n">
        <v>33</v>
      </c>
      <c r="T551" s="14">
        <f>IF(COUNT(I551:S551)=0,"",SUM(I551:S551))</f>
        <v/>
      </c>
      <c r="U551" t="inlineStr"/>
    </row>
    <row r="552">
      <c r="A552" t="inlineStr">
        <is>
          <t>부암제일어린이집</t>
        </is>
      </c>
      <c r="B552" t="inlineStr">
        <is>
          <t>어린이집</t>
        </is>
      </c>
      <c r="C552" t="inlineStr">
        <is>
          <t>법인·단체등</t>
        </is>
      </c>
      <c r="D552" t="inlineStr">
        <is>
          <t>부산진구</t>
        </is>
      </c>
      <c r="E552" t="inlineStr">
        <is>
          <t>부산광역시 부산진구 백양순환로110번길 41  (부암동)</t>
        </is>
      </c>
      <c r="F552" t="inlineStr"/>
      <c r="G552" t="inlineStr">
        <is>
          <t>051-817-2538</t>
        </is>
      </c>
      <c r="H552" s="15" t="n">
        <v>49</v>
      </c>
      <c r="I552" s="15" t="n">
        <v>3</v>
      </c>
      <c r="J552" s="15" t="n">
        <v>5</v>
      </c>
      <c r="K552" s="15" t="n">
        <v>6</v>
      </c>
      <c r="L552" s="15" t="n">
        <v>0</v>
      </c>
      <c r="M552" s="15" t="n">
        <v>0</v>
      </c>
      <c r="N552" s="15" t="n">
        <v>0</v>
      </c>
      <c r="O552" s="15" t="n">
        <v>0</v>
      </c>
      <c r="P552" s="15" t="n">
        <v>11</v>
      </c>
      <c r="Q552" s="15" t="n">
        <v>0</v>
      </c>
      <c r="R552" s="15" t="n">
        <v>0</v>
      </c>
      <c r="S552" s="15" t="n">
        <v>4</v>
      </c>
      <c r="T552" s="14">
        <f>IF(COUNT(I552:S552)=0,"",SUM(I552:S552))</f>
        <v/>
      </c>
      <c r="U552" t="inlineStr"/>
    </row>
    <row r="553">
      <c r="A553" t="inlineStr">
        <is>
          <t>뽀로로어린이집</t>
        </is>
      </c>
      <c r="B553" t="inlineStr">
        <is>
          <t>어린이집</t>
        </is>
      </c>
      <c r="C553" t="inlineStr">
        <is>
          <t>가정</t>
        </is>
      </c>
      <c r="D553" t="inlineStr">
        <is>
          <t>부산진구</t>
        </is>
      </c>
      <c r="E553" t="inlineStr">
        <is>
          <t>부산광역시 부산진구 백양관문로 7 개금주공2단지 215-104호(개금동)</t>
        </is>
      </c>
      <c r="F553" t="inlineStr"/>
      <c r="G553" t="inlineStr">
        <is>
          <t>051-894-4999</t>
        </is>
      </c>
      <c r="H553" s="15" t="n">
        <v>16</v>
      </c>
      <c r="I553" s="15" t="n">
        <v>3</v>
      </c>
      <c r="J553" s="15" t="n">
        <v>0</v>
      </c>
      <c r="K553" s="15" t="n">
        <v>4</v>
      </c>
      <c r="L553" s="15" t="n">
        <v>0</v>
      </c>
      <c r="M553" s="15" t="n">
        <v>0</v>
      </c>
      <c r="N553" s="15" t="n">
        <v>0</v>
      </c>
      <c r="O553" s="15" t="n">
        <v>2</v>
      </c>
      <c r="P553" s="15" t="n">
        <v>0</v>
      </c>
      <c r="Q553" s="15" t="n">
        <v>0</v>
      </c>
      <c r="R553" s="15" t="n">
        <v>0</v>
      </c>
      <c r="S553" s="15" t="n">
        <v>9</v>
      </c>
      <c r="T553" s="14">
        <f>IF(COUNT(I553:S553)=0,"",SUM(I553:S553))</f>
        <v/>
      </c>
      <c r="U553" t="inlineStr"/>
    </row>
    <row r="554">
      <c r="A554" t="inlineStr">
        <is>
          <t>사계절꾸미랑어린이집</t>
        </is>
      </c>
      <c r="B554" t="inlineStr">
        <is>
          <t>어린이집</t>
        </is>
      </c>
      <c r="C554" t="inlineStr">
        <is>
          <t>민간</t>
        </is>
      </c>
      <c r="D554" t="inlineStr">
        <is>
          <t>부산진구</t>
        </is>
      </c>
      <c r="E554" t="inlineStr">
        <is>
          <t>부산광역시 부산진구 가야대로 694 서면3차 봄여름가을겨울</t>
        </is>
      </c>
      <c r="F554" t="inlineStr"/>
      <c r="G554" t="inlineStr">
        <is>
          <t>051-710-6210</t>
        </is>
      </c>
      <c r="H554" s="15" t="n">
        <v>40</v>
      </c>
      <c r="I554" s="15" t="n">
        <v>12</v>
      </c>
      <c r="J554" s="15" t="n">
        <v>15</v>
      </c>
      <c r="K554" s="15" t="n">
        <v>12</v>
      </c>
      <c r="L554" s="15" t="n">
        <v>0</v>
      </c>
      <c r="M554" s="15" t="n">
        <v>0</v>
      </c>
      <c r="N554" s="15" t="n">
        <v>0</v>
      </c>
      <c r="O554" s="15" t="n">
        <v>0</v>
      </c>
      <c r="P554" s="15" t="n">
        <v>0</v>
      </c>
      <c r="Q554" s="15" t="n">
        <v>0</v>
      </c>
      <c r="R554" s="15" t="n">
        <v>0</v>
      </c>
      <c r="S554" s="15" t="n">
        <v>8</v>
      </c>
      <c r="T554" s="14">
        <f>IF(COUNT(I554:S554)=0,"",SUM(I554:S554))</f>
        <v/>
      </c>
      <c r="U554" t="inlineStr"/>
    </row>
    <row r="555">
      <c r="A555" t="inlineStr">
        <is>
          <t>사랑의어린이집</t>
        </is>
      </c>
      <c r="B555" t="inlineStr">
        <is>
          <t>어린이집</t>
        </is>
      </c>
      <c r="C555" t="inlineStr">
        <is>
          <t>민간</t>
        </is>
      </c>
      <c r="D555" t="inlineStr">
        <is>
          <t>부산진구</t>
        </is>
      </c>
      <c r="E555" t="inlineStr">
        <is>
          <t>부산광역시 부산진구 백양산로53번길 125 백양뜨란채 관리동 내(당감동, 백양뜨란채)</t>
        </is>
      </c>
      <c r="F555" t="inlineStr"/>
      <c r="G555" t="inlineStr">
        <is>
          <t>051-893-1802</t>
        </is>
      </c>
      <c r="H555" s="15" t="n">
        <v>27</v>
      </c>
      <c r="I555" s="15" t="n">
        <v>2</v>
      </c>
      <c r="J555" s="15" t="n">
        <v>0</v>
      </c>
      <c r="K555" s="15" t="n">
        <v>0</v>
      </c>
      <c r="L555" s="15" t="n">
        <v>0</v>
      </c>
      <c r="M555" s="15" t="n">
        <v>0</v>
      </c>
      <c r="N555" s="15" t="n">
        <v>0</v>
      </c>
      <c r="O555" s="15" t="n">
        <v>5</v>
      </c>
      <c r="P555" s="15" t="n">
        <v>0</v>
      </c>
      <c r="Q555" s="15" t="n">
        <v>0</v>
      </c>
      <c r="R555" s="15" t="n">
        <v>0</v>
      </c>
      <c r="S555" s="15" t="n">
        <v>7</v>
      </c>
      <c r="T555" s="14">
        <f>IF(COUNT(I555:S555)=0,"",SUM(I555:S555))</f>
        <v/>
      </c>
      <c r="U555" t="inlineStr"/>
    </row>
    <row r="556">
      <c r="A556" t="inlineStr">
        <is>
          <t>삼정어린이집</t>
        </is>
      </c>
      <c r="B556" t="inlineStr">
        <is>
          <t>어린이집</t>
        </is>
      </c>
      <c r="C556" t="inlineStr">
        <is>
          <t>국공립</t>
        </is>
      </c>
      <c r="D556" t="inlineStr">
        <is>
          <t>부산진구</t>
        </is>
      </c>
      <c r="E556" t="inlineStr">
        <is>
          <t>부산광역시 부산진구 엄광로208번길 80-1</t>
        </is>
      </c>
      <c r="F556" s="11" t="inlineStr">
        <is>
          <t>http://cafe.daum.net/sjmkids</t>
        </is>
      </c>
      <c r="G556" t="inlineStr">
        <is>
          <t>051-895-5529</t>
        </is>
      </c>
      <c r="H556" s="15" t="n">
        <v>34</v>
      </c>
      <c r="I556" s="15" t="n">
        <v>3</v>
      </c>
      <c r="J556" s="15" t="n">
        <v>9</v>
      </c>
      <c r="K556" s="15" t="n">
        <v>7</v>
      </c>
      <c r="L556" s="15" t="n">
        <v>0</v>
      </c>
      <c r="M556" s="15" t="n">
        <v>0</v>
      </c>
      <c r="N556" s="15" t="n">
        <v>0</v>
      </c>
      <c r="O556" s="15" t="n">
        <v>0</v>
      </c>
      <c r="P556" s="15" t="n">
        <v>0</v>
      </c>
      <c r="Q556" s="15" t="n">
        <v>0</v>
      </c>
      <c r="R556" s="15" t="n">
        <v>0</v>
      </c>
      <c r="S556" s="15" t="n">
        <v>4</v>
      </c>
      <c r="T556" s="14">
        <f>IF(COUNT(I556:S556)=0,"",SUM(I556:S556))</f>
        <v/>
      </c>
      <c r="U556" t="inlineStr"/>
    </row>
    <row r="557">
      <c r="A557" t="inlineStr">
        <is>
          <t>삼한골든뷰어린이집</t>
        </is>
      </c>
      <c r="B557" t="inlineStr">
        <is>
          <t>어린이집</t>
        </is>
      </c>
      <c r="C557" t="inlineStr">
        <is>
          <t>국공립</t>
        </is>
      </c>
      <c r="D557" t="inlineStr">
        <is>
          <t>부산진구</t>
        </is>
      </c>
      <c r="E557" t="inlineStr">
        <is>
          <t>부산광역시 부산진구 중앙대로 821 삼한골든뷰 센트럴파크</t>
        </is>
      </c>
      <c r="F557" t="inlineStr"/>
      <c r="G557" t="inlineStr">
        <is>
          <t>051-808-7942</t>
        </is>
      </c>
      <c r="H557" s="15" t="n">
        <v>49</v>
      </c>
      <c r="I557" s="15" t="n">
        <v>8</v>
      </c>
      <c r="J557" s="15" t="n">
        <v>19</v>
      </c>
      <c r="K557" s="15" t="n">
        <v>21</v>
      </c>
      <c r="L557" s="15" t="n">
        <v>0</v>
      </c>
      <c r="M557" s="15" t="n">
        <v>0</v>
      </c>
      <c r="N557" s="15" t="n">
        <v>0</v>
      </c>
      <c r="O557" s="15" t="n">
        <v>0</v>
      </c>
      <c r="P557" s="15" t="n">
        <v>0</v>
      </c>
      <c r="Q557" s="15" t="n">
        <v>0</v>
      </c>
      <c r="R557" s="15" t="n">
        <v>0</v>
      </c>
      <c r="S557" s="15" t="n">
        <v>5</v>
      </c>
      <c r="T557" s="14">
        <f>IF(COUNT(I557:S557)=0,"",SUM(I557:S557))</f>
        <v/>
      </c>
      <c r="U557" t="inlineStr"/>
    </row>
    <row r="558">
      <c r="A558" t="inlineStr">
        <is>
          <t>새뜰영재어린이집</t>
        </is>
      </c>
      <c r="B558" t="inlineStr">
        <is>
          <t>어린이집</t>
        </is>
      </c>
      <c r="C558" t="inlineStr">
        <is>
          <t>가정</t>
        </is>
      </c>
      <c r="D558" t="inlineStr">
        <is>
          <t>부산진구</t>
        </is>
      </c>
      <c r="E558" t="inlineStr">
        <is>
          <t>부산광역시 부산진구 백양대로208번길 38-25 102동 103호(개금동, 우성아파트)</t>
        </is>
      </c>
      <c r="F558" s="11" t="inlineStr">
        <is>
          <t>http://yooya1004@hanmail.net</t>
        </is>
      </c>
      <c r="G558" t="inlineStr">
        <is>
          <t>051-896-6931</t>
        </is>
      </c>
      <c r="H558" s="15" t="n">
        <v>20</v>
      </c>
      <c r="I558" s="15" t="n">
        <v>1</v>
      </c>
      <c r="J558" s="15" t="n">
        <v>5</v>
      </c>
      <c r="K558" s="15" t="n">
        <v>7</v>
      </c>
      <c r="L558" s="15" t="n">
        <v>0</v>
      </c>
      <c r="M558" s="15" t="n">
        <v>0</v>
      </c>
      <c r="N558" s="15" t="n">
        <v>0</v>
      </c>
      <c r="O558" s="15" t="n">
        <v>0</v>
      </c>
      <c r="P558" s="15" t="n">
        <v>0</v>
      </c>
      <c r="Q558" s="15" t="n">
        <v>0</v>
      </c>
      <c r="R558" s="15" t="n">
        <v>0</v>
      </c>
      <c r="S558" s="15" t="n">
        <v>5</v>
      </c>
      <c r="T558" s="14">
        <f>IF(COUNT(I558:S558)=0,"",SUM(I558:S558))</f>
        <v/>
      </c>
      <c r="U558" t="inlineStr"/>
    </row>
    <row r="559">
      <c r="A559" t="inlineStr">
        <is>
          <t>새롬비발디어린이집</t>
        </is>
      </c>
      <c r="B559" t="inlineStr">
        <is>
          <t>어린이집</t>
        </is>
      </c>
      <c r="C559" t="inlineStr">
        <is>
          <t>민간</t>
        </is>
      </c>
      <c r="D559" t="inlineStr">
        <is>
          <t>부산진구</t>
        </is>
      </c>
      <c r="E559" t="inlineStr">
        <is>
          <t>부산광역시 부산진구 전포대로 156 101동 103호(전포동, 한라비발디아파트)</t>
        </is>
      </c>
      <c r="F559" t="inlineStr"/>
      <c r="G559" t="inlineStr">
        <is>
          <t>051-809-8170</t>
        </is>
      </c>
      <c r="H559" s="15" t="n">
        <v>26</v>
      </c>
      <c r="I559" s="15" t="n">
        <v>9</v>
      </c>
      <c r="J559" s="15" t="n">
        <v>8</v>
      </c>
      <c r="K559" s="15" t="n">
        <v>7</v>
      </c>
      <c r="L559" s="15" t="n">
        <v>0</v>
      </c>
      <c r="M559" s="15" t="n">
        <v>0</v>
      </c>
      <c r="N559" s="15" t="n">
        <v>0</v>
      </c>
      <c r="O559" s="15" t="n">
        <v>0</v>
      </c>
      <c r="P559" s="15" t="n">
        <v>0</v>
      </c>
      <c r="Q559" s="15" t="n">
        <v>0</v>
      </c>
      <c r="R559" s="15" t="n">
        <v>0</v>
      </c>
      <c r="S559" s="15" t="n">
        <v>9</v>
      </c>
      <c r="T559" s="14">
        <f>IF(COUNT(I559:S559)=0,"",SUM(I559:S559))</f>
        <v/>
      </c>
      <c r="U559" t="inlineStr"/>
    </row>
    <row r="560">
      <c r="A560" t="inlineStr">
        <is>
          <t>새한나어린이집</t>
        </is>
      </c>
      <c r="B560" t="inlineStr">
        <is>
          <t>어린이집</t>
        </is>
      </c>
      <c r="C560" t="inlineStr">
        <is>
          <t>민간</t>
        </is>
      </c>
      <c r="D560" t="inlineStr">
        <is>
          <t>부산진구</t>
        </is>
      </c>
      <c r="E560" t="inlineStr">
        <is>
          <t>부산광역시 부산진구 서면문화로53번길 49 (부전동)</t>
        </is>
      </c>
      <c r="F560" t="inlineStr"/>
      <c r="G560" t="inlineStr">
        <is>
          <t>051-802-7020</t>
        </is>
      </c>
      <c r="H560" s="15" t="n">
        <v>32</v>
      </c>
      <c r="I560" s="15" t="n">
        <v>3</v>
      </c>
      <c r="J560" s="15" t="n">
        <v>8</v>
      </c>
      <c r="K560" s="15" t="n">
        <v>7</v>
      </c>
      <c r="L560" s="15" t="n">
        <v>0</v>
      </c>
      <c r="M560" s="15" t="n">
        <v>0</v>
      </c>
      <c r="N560" s="15" t="n">
        <v>0</v>
      </c>
      <c r="O560" s="15" t="n">
        <v>2</v>
      </c>
      <c r="P560" s="15" t="n">
        <v>0</v>
      </c>
      <c r="Q560" s="15" t="n">
        <v>0</v>
      </c>
      <c r="R560" s="15" t="n">
        <v>0</v>
      </c>
      <c r="S560" s="15" t="n">
        <v>3</v>
      </c>
      <c r="T560" s="14">
        <f>IF(COUNT(I560:S560)=0,"",SUM(I560:S560))</f>
        <v/>
      </c>
      <c r="U560" t="inlineStr"/>
    </row>
    <row r="561">
      <c r="A561" t="inlineStr">
        <is>
          <t>서면다온어린이집</t>
        </is>
      </c>
      <c r="B561" t="inlineStr">
        <is>
          <t>어린이집</t>
        </is>
      </c>
      <c r="C561" t="inlineStr">
        <is>
          <t>민간</t>
        </is>
      </c>
      <c r="D561" t="inlineStr">
        <is>
          <t>부산진구</t>
        </is>
      </c>
      <c r="E561" t="inlineStr">
        <is>
          <t>부산광역시 부산진구 엄광로384번길 48</t>
        </is>
      </c>
      <c r="F561" t="inlineStr"/>
      <c r="G561" t="inlineStr">
        <is>
          <t>051-988-5885</t>
        </is>
      </c>
      <c r="H561" s="15" t="n">
        <v>55</v>
      </c>
      <c r="I561" s="15" t="n">
        <v>12</v>
      </c>
      <c r="J561" s="15" t="n">
        <v>0</v>
      </c>
      <c r="K561" s="15" t="n">
        <v>0</v>
      </c>
      <c r="L561" s="15" t="n">
        <v>0</v>
      </c>
      <c r="M561" s="15" t="n">
        <v>0</v>
      </c>
      <c r="N561" s="15" t="n">
        <v>0</v>
      </c>
      <c r="O561" s="15" t="n">
        <v>8</v>
      </c>
      <c r="P561" s="15" t="n">
        <v>0</v>
      </c>
      <c r="Q561" s="15" t="n">
        <v>0</v>
      </c>
      <c r="R561" s="15" t="n">
        <v>0</v>
      </c>
      <c r="S561" s="15" t="n">
        <v>4</v>
      </c>
      <c r="T561" s="14">
        <f>IF(COUNT(I561:S561)=0,"",SUM(I561:S561))</f>
        <v/>
      </c>
      <c r="U561" t="inlineStr"/>
    </row>
    <row r="562">
      <c r="A562" t="inlineStr">
        <is>
          <t>서면롯데캐슬엘루체어린이집</t>
        </is>
      </c>
      <c r="B562" t="inlineStr">
        <is>
          <t>어린이집</t>
        </is>
      </c>
      <c r="C562" t="inlineStr">
        <is>
          <t>국공립</t>
        </is>
      </c>
      <c r="D562" t="inlineStr">
        <is>
          <t>부산진구</t>
        </is>
      </c>
      <c r="E562" t="inlineStr">
        <is>
          <t>부산광역시 부산진구 신천대로126번길 42 서면롯데캐슬엘루체아파트</t>
        </is>
      </c>
      <c r="F562" t="inlineStr"/>
      <c r="G562" t="inlineStr">
        <is>
          <t>051-804-9461</t>
        </is>
      </c>
      <c r="H562" s="15" t="n">
        <v>45</v>
      </c>
      <c r="I562" s="15" t="n">
        <v>8</v>
      </c>
      <c r="J562" s="15" t="n">
        <v>20</v>
      </c>
      <c r="K562" s="15" t="n">
        <v>14</v>
      </c>
      <c r="L562" s="15" t="n">
        <v>0</v>
      </c>
      <c r="M562" s="15" t="n">
        <v>0</v>
      </c>
      <c r="N562" s="15" t="n">
        <v>0</v>
      </c>
      <c r="O562" s="15" t="n">
        <v>0</v>
      </c>
      <c r="P562" s="15" t="n">
        <v>0</v>
      </c>
      <c r="Q562" s="15" t="n">
        <v>0</v>
      </c>
      <c r="R562" s="15" t="n">
        <v>0</v>
      </c>
      <c r="S562" s="15" t="n">
        <v>20</v>
      </c>
      <c r="T562" s="14">
        <f>IF(COUNT(I562:S562)=0,"",SUM(I562:S562))</f>
        <v/>
      </c>
      <c r="U562" t="inlineStr"/>
    </row>
    <row r="563">
      <c r="A563" t="inlineStr">
        <is>
          <t>서면비스타동원어린이집</t>
        </is>
      </c>
      <c r="B563" t="inlineStr">
        <is>
          <t>어린이집</t>
        </is>
      </c>
      <c r="C563" t="inlineStr">
        <is>
          <t>국공립</t>
        </is>
      </c>
      <c r="D563" t="inlineStr">
        <is>
          <t>부산진구</t>
        </is>
      </c>
      <c r="E563" t="inlineStr">
        <is>
          <t>부산광역시 부산진구 마철로 114 서면비스타동원아파트</t>
        </is>
      </c>
      <c r="F563" t="inlineStr"/>
      <c r="G563" t="inlineStr">
        <is>
          <t>051-897-4999</t>
        </is>
      </c>
      <c r="H563" s="15" t="n">
        <v>49</v>
      </c>
      <c r="I563" s="15" t="n">
        <v>5</v>
      </c>
      <c r="J563" s="15" t="n">
        <v>19</v>
      </c>
      <c r="K563" s="15" t="n">
        <v>20</v>
      </c>
      <c r="L563" s="15" t="n">
        <v>0</v>
      </c>
      <c r="M563" s="15" t="n">
        <v>0</v>
      </c>
      <c r="N563" s="15" t="n">
        <v>0</v>
      </c>
      <c r="O563" s="15" t="n">
        <v>0</v>
      </c>
      <c r="P563" s="15" t="n">
        <v>0</v>
      </c>
      <c r="Q563" s="15" t="n">
        <v>0</v>
      </c>
      <c r="R563" s="15" t="n">
        <v>0</v>
      </c>
      <c r="S563" s="15" t="n">
        <v>0</v>
      </c>
      <c r="T563" s="14">
        <f>IF(COUNT(I563:S563)=0,"",SUM(I563:S563))</f>
        <v/>
      </c>
      <c r="U563" t="inlineStr"/>
    </row>
    <row r="564">
      <c r="A564" t="inlineStr">
        <is>
          <t>서면아이파크어린이집</t>
        </is>
      </c>
      <c r="B564" t="inlineStr">
        <is>
          <t>어린이집</t>
        </is>
      </c>
      <c r="C564" t="inlineStr">
        <is>
          <t>국공립</t>
        </is>
      </c>
      <c r="D564" t="inlineStr">
        <is>
          <t>부산진구</t>
        </is>
      </c>
      <c r="E564" t="inlineStr">
        <is>
          <t>부산광역시 부산진구 동성로 50 (전포동, 서면아이파크)</t>
        </is>
      </c>
      <c r="F564" t="inlineStr"/>
      <c r="G564" t="inlineStr">
        <is>
          <t>051-803-3462</t>
        </is>
      </c>
      <c r="H564" s="15" t="n">
        <v>55</v>
      </c>
      <c r="I564" s="15" t="n">
        <v>0</v>
      </c>
      <c r="J564" s="15" t="n">
        <v>13</v>
      </c>
      <c r="K564" s="15" t="n">
        <v>24</v>
      </c>
      <c r="L564" s="15" t="n">
        <v>15</v>
      </c>
      <c r="M564" s="15" t="n">
        <v>0</v>
      </c>
      <c r="N564" s="15" t="n">
        <v>0</v>
      </c>
      <c r="O564" s="15" t="n">
        <v>0</v>
      </c>
      <c r="P564" s="15" t="n">
        <v>0</v>
      </c>
      <c r="Q564" s="15" t="n">
        <v>0</v>
      </c>
      <c r="R564" s="15" t="n">
        <v>0</v>
      </c>
      <c r="S564" s="15" t="n">
        <v>7</v>
      </c>
      <c r="T564" s="14">
        <f>IF(COUNT(I564:S564)=0,"",SUM(I564:S564))</f>
        <v/>
      </c>
      <c r="U564" t="inlineStr"/>
    </row>
    <row r="565">
      <c r="A565" t="inlineStr">
        <is>
          <t>성모어린이집</t>
        </is>
      </c>
      <c r="B565" t="inlineStr">
        <is>
          <t>어린이집</t>
        </is>
      </c>
      <c r="C565" t="inlineStr">
        <is>
          <t>가정</t>
        </is>
      </c>
      <c r="D565" t="inlineStr">
        <is>
          <t>부산진구</t>
        </is>
      </c>
      <c r="E565" t="inlineStr">
        <is>
          <t>부산광역시 부산진구 가야공원로38번길 88-1 (가야동)</t>
        </is>
      </c>
      <c r="F565" t="inlineStr"/>
      <c r="G565" t="inlineStr">
        <is>
          <t>051-894-6067</t>
        </is>
      </c>
      <c r="H565" s="15" t="n">
        <v>18</v>
      </c>
      <c r="I565" s="15" t="n">
        <v>2</v>
      </c>
      <c r="J565" s="15" t="n">
        <v>3</v>
      </c>
      <c r="K565" s="15" t="n">
        <v>5</v>
      </c>
      <c r="L565" s="15" t="n">
        <v>0</v>
      </c>
      <c r="M565" s="15" t="n">
        <v>0</v>
      </c>
      <c r="N565" s="15" t="n">
        <v>0</v>
      </c>
      <c r="O565" s="15" t="n">
        <v>0</v>
      </c>
      <c r="P565" s="15" t="n">
        <v>0</v>
      </c>
      <c r="Q565" s="15" t="n">
        <v>0</v>
      </c>
      <c r="R565" s="15" t="n">
        <v>0</v>
      </c>
      <c r="S565" s="15" t="n">
        <v>3</v>
      </c>
      <c r="T565" s="14">
        <f>IF(COUNT(I565:S565)=0,"",SUM(I565:S565))</f>
        <v/>
      </c>
      <c r="U565" t="inlineStr"/>
    </row>
    <row r="566">
      <c r="A566" t="inlineStr">
        <is>
          <t>성지어린이집</t>
        </is>
      </c>
      <c r="B566" t="inlineStr">
        <is>
          <t>어린이집</t>
        </is>
      </c>
      <c r="C566" t="inlineStr">
        <is>
          <t>사회복지법인</t>
        </is>
      </c>
      <c r="D566" t="inlineStr">
        <is>
          <t>부산진구</t>
        </is>
      </c>
      <c r="E566" t="inlineStr">
        <is>
          <t>부산광역시 부산진구 백양산로 23 (당감동)</t>
        </is>
      </c>
      <c r="F566" t="inlineStr"/>
      <c r="G566" t="inlineStr">
        <is>
          <t>051-898-0803</t>
        </is>
      </c>
      <c r="H566" s="15" t="n">
        <v>99</v>
      </c>
      <c r="I566" s="15" t="n">
        <v>0</v>
      </c>
      <c r="J566" s="15" t="n">
        <v>15</v>
      </c>
      <c r="K566" s="15" t="n">
        <v>35</v>
      </c>
      <c r="L566" s="15" t="n">
        <v>49</v>
      </c>
      <c r="M566" s="15" t="n">
        <v>0</v>
      </c>
      <c r="N566" s="15" t="n">
        <v>0</v>
      </c>
      <c r="O566" s="15" t="n">
        <v>0</v>
      </c>
      <c r="P566" s="15" t="n">
        <v>0</v>
      </c>
      <c r="Q566" s="15" t="n">
        <v>0</v>
      </c>
      <c r="R566" s="15" t="n">
        <v>0</v>
      </c>
      <c r="S566" s="15" t="n">
        <v>0</v>
      </c>
      <c r="T566" s="14">
        <f>IF(COUNT(I566:S566)=0,"",SUM(I566:S566))</f>
        <v/>
      </c>
      <c r="U566" t="inlineStr"/>
    </row>
    <row r="567">
      <c r="A567" t="inlineStr">
        <is>
          <t>숲속느티나무어린이집</t>
        </is>
      </c>
      <c r="B567" t="inlineStr">
        <is>
          <t>어린이집</t>
        </is>
      </c>
      <c r="C567" t="inlineStr">
        <is>
          <t>민간</t>
        </is>
      </c>
      <c r="D567" t="inlineStr">
        <is>
          <t>부산진구</t>
        </is>
      </c>
      <c r="E567" t="inlineStr">
        <is>
          <t>부산광역시 부산진구 동평로127번길 88-10  (부암동)</t>
        </is>
      </c>
      <c r="F567" t="inlineStr"/>
      <c r="G567" t="inlineStr">
        <is>
          <t>051-805-0033</t>
        </is>
      </c>
      <c r="H567" s="15" t="n">
        <v>71</v>
      </c>
      <c r="I567" s="15" t="n">
        <v>0</v>
      </c>
      <c r="J567" s="15" t="n">
        <v>15</v>
      </c>
      <c r="K567" s="15" t="n">
        <v>14</v>
      </c>
      <c r="L567" s="15" t="n">
        <v>0</v>
      </c>
      <c r="M567" s="15" t="n">
        <v>0</v>
      </c>
      <c r="N567" s="15" t="n">
        <v>0</v>
      </c>
      <c r="O567" s="15" t="n">
        <v>2</v>
      </c>
      <c r="P567" s="15" t="n">
        <v>0</v>
      </c>
      <c r="Q567" s="15" t="n">
        <v>0</v>
      </c>
      <c r="R567" s="15" t="n">
        <v>0</v>
      </c>
      <c r="S567" s="15" t="n">
        <v>3</v>
      </c>
      <c r="T567" s="14">
        <f>IF(COUNT(I567:S567)=0,"",SUM(I567:S567))</f>
        <v/>
      </c>
      <c r="U567" t="inlineStr"/>
    </row>
    <row r="568">
      <c r="A568" t="inlineStr">
        <is>
          <t>스윗홈어린이집</t>
        </is>
      </c>
      <c r="B568" t="inlineStr">
        <is>
          <t>어린이집</t>
        </is>
      </c>
      <c r="C568" t="inlineStr">
        <is>
          <t>민간</t>
        </is>
      </c>
      <c r="D568" t="inlineStr">
        <is>
          <t>부산진구</t>
        </is>
      </c>
      <c r="E568" t="inlineStr">
        <is>
          <t>부산광역시 부산진구 시민공원로 11 서면쌍용스윗닷홈SKY 101동 내(부암동)</t>
        </is>
      </c>
      <c r="F568" t="inlineStr"/>
      <c r="G568" t="inlineStr">
        <is>
          <t>051-807-3001</t>
        </is>
      </c>
      <c r="H568" s="15" t="n">
        <v>26</v>
      </c>
      <c r="I568" s="15" t="n">
        <v>3</v>
      </c>
      <c r="J568" s="15" t="n">
        <v>10</v>
      </c>
      <c r="K568" s="15" t="n">
        <v>7</v>
      </c>
      <c r="L568" s="15" t="n">
        <v>0</v>
      </c>
      <c r="M568" s="15" t="n">
        <v>0</v>
      </c>
      <c r="N568" s="15" t="n">
        <v>0</v>
      </c>
      <c r="O568" s="15" t="n">
        <v>5</v>
      </c>
      <c r="P568" s="15" t="n">
        <v>0</v>
      </c>
      <c r="Q568" s="15" t="n">
        <v>0</v>
      </c>
      <c r="R568" s="15" t="n">
        <v>0</v>
      </c>
      <c r="S568" s="15" t="n">
        <v>5</v>
      </c>
      <c r="T568" s="14">
        <f>IF(COUNT(I568:S568)=0,"",SUM(I568:S568))</f>
        <v/>
      </c>
      <c r="U568" t="inlineStr"/>
    </row>
    <row r="569">
      <c r="A569" t="inlineStr">
        <is>
          <t>시민공원비스타동원어린이집</t>
        </is>
      </c>
      <c r="B569" t="inlineStr">
        <is>
          <t>어린이집</t>
        </is>
      </c>
      <c r="C569" t="inlineStr">
        <is>
          <t>국공립</t>
        </is>
      </c>
      <c r="D569" t="inlineStr">
        <is>
          <t>부산진구</t>
        </is>
      </c>
      <c r="E569" t="inlineStr">
        <is>
          <t>부산광역시 부산진구 동평로 149 (부암동, 시민공원비스타동원어린이집)</t>
        </is>
      </c>
      <c r="F569" t="inlineStr"/>
      <c r="G569" t="inlineStr">
        <is>
          <t>051-991-5959</t>
        </is>
      </c>
      <c r="H569" s="15" t="n">
        <v>22</v>
      </c>
      <c r="I569" s="15" t="n">
        <v>9</v>
      </c>
      <c r="J569" s="15" t="n">
        <v>10</v>
      </c>
      <c r="K569" s="15" t="n">
        <v>0</v>
      </c>
      <c r="L569" s="15" t="n">
        <v>0</v>
      </c>
      <c r="M569" s="15" t="n">
        <v>0</v>
      </c>
      <c r="N569" s="15" t="n">
        <v>0</v>
      </c>
      <c r="O569" s="15" t="n">
        <v>0</v>
      </c>
      <c r="P569" s="15" t="n">
        <v>0</v>
      </c>
      <c r="Q569" s="15" t="n">
        <v>0</v>
      </c>
      <c r="R569" s="15" t="n">
        <v>0</v>
      </c>
      <c r="S569" s="15" t="n">
        <v>5</v>
      </c>
      <c r="T569" s="14">
        <f>IF(COUNT(I569:S569)=0,"",SUM(I569:S569))</f>
        <v/>
      </c>
      <c r="U569" t="inlineStr"/>
    </row>
    <row r="570">
      <c r="A570" t="inlineStr">
        <is>
          <t>시민공원삼정더베스트어린이집</t>
        </is>
      </c>
      <c r="B570" t="inlineStr">
        <is>
          <t>어린이집</t>
        </is>
      </c>
      <c r="C570" t="inlineStr">
        <is>
          <t>민간</t>
        </is>
      </c>
      <c r="D570" t="inlineStr">
        <is>
          <t>부산진구</t>
        </is>
      </c>
      <c r="E570" t="inlineStr">
        <is>
          <t>부산광역시 부산진구 동평로 176 (부암동, 시민공원삼정그린코아더베스트)</t>
        </is>
      </c>
      <c r="F570" t="inlineStr"/>
      <c r="G570" t="inlineStr">
        <is>
          <t>051-817-1760</t>
        </is>
      </c>
      <c r="H570" s="15" t="n">
        <v>48</v>
      </c>
      <c r="I570" s="15" t="n">
        <v>9</v>
      </c>
      <c r="J570" s="15" t="n">
        <v>15</v>
      </c>
      <c r="K570" s="15" t="n">
        <v>20</v>
      </c>
      <c r="L570" s="15" t="n">
        <v>0</v>
      </c>
      <c r="M570" s="15" t="n">
        <v>0</v>
      </c>
      <c r="N570" s="15" t="n">
        <v>0</v>
      </c>
      <c r="O570" s="15" t="n">
        <v>0</v>
      </c>
      <c r="P570" s="15" t="n">
        <v>0</v>
      </c>
      <c r="Q570" s="15" t="n">
        <v>0</v>
      </c>
      <c r="R570" s="15" t="n">
        <v>0</v>
      </c>
      <c r="S570" s="15" t="n">
        <v>8</v>
      </c>
      <c r="T570" s="14">
        <f>IF(COUNT(I570:S570)=0,"",SUM(I570:S570))</f>
        <v/>
      </c>
      <c r="U570" t="inlineStr"/>
    </row>
    <row r="571">
      <c r="A571" t="inlineStr">
        <is>
          <t>아기자람터어린이집</t>
        </is>
      </c>
      <c r="B571" t="inlineStr">
        <is>
          <t>어린이집</t>
        </is>
      </c>
      <c r="C571" t="inlineStr">
        <is>
          <t>가정</t>
        </is>
      </c>
      <c r="D571" t="inlineStr">
        <is>
          <t>부산진구</t>
        </is>
      </c>
      <c r="E571" t="inlineStr">
        <is>
          <t>부산광역시 부산진구 진남로 404 107호 (전포동, 대동아파트)</t>
        </is>
      </c>
      <c r="F571" s="11" t="inlineStr">
        <is>
          <t>http://cafe.daum.net/grace1990</t>
        </is>
      </c>
      <c r="G571" t="inlineStr">
        <is>
          <t>051-816-4383</t>
        </is>
      </c>
      <c r="H571" s="15" t="n">
        <v>20</v>
      </c>
      <c r="I571" s="15" t="n">
        <v>0</v>
      </c>
      <c r="J571" s="15" t="n">
        <v>0</v>
      </c>
      <c r="K571" s="15" t="n">
        <v>0</v>
      </c>
      <c r="L571" s="15" t="n">
        <v>0</v>
      </c>
      <c r="M571" s="15" t="n">
        <v>0</v>
      </c>
      <c r="N571" s="15" t="n">
        <v>0</v>
      </c>
      <c r="O571" s="15" t="n">
        <v>8</v>
      </c>
      <c r="P571" s="15" t="n">
        <v>0</v>
      </c>
      <c r="Q571" s="15" t="n">
        <v>0</v>
      </c>
      <c r="R571" s="15" t="n">
        <v>0</v>
      </c>
      <c r="S571" s="15" t="n">
        <v>5</v>
      </c>
      <c r="T571" s="14">
        <f>IF(COUNT(I571:S571)=0,"",SUM(I571:S571))</f>
        <v/>
      </c>
      <c r="U571" t="inlineStr"/>
    </row>
    <row r="572">
      <c r="A572" t="inlineStr">
        <is>
          <t>아르피나어린이집</t>
        </is>
      </c>
      <c r="B572" t="inlineStr">
        <is>
          <t>어린이집</t>
        </is>
      </c>
      <c r="C572" t="inlineStr">
        <is>
          <t>민간</t>
        </is>
      </c>
      <c r="D572" t="inlineStr">
        <is>
          <t>부산진구</t>
        </is>
      </c>
      <c r="E572" t="inlineStr">
        <is>
          <t>부산광역시 부산진구 백양산로 59 당감뜨란채아파트관리동 (부암동)</t>
        </is>
      </c>
      <c r="F572" t="inlineStr"/>
      <c r="G572" t="inlineStr">
        <is>
          <t>051-805-2255</t>
        </is>
      </c>
      <c r="H572" s="15" t="n">
        <v>39</v>
      </c>
      <c r="I572" s="15" t="n">
        <v>0</v>
      </c>
      <c r="J572" s="15" t="n">
        <v>0</v>
      </c>
      <c r="K572" s="15" t="n">
        <v>0</v>
      </c>
      <c r="L572" s="15" t="n">
        <v>0</v>
      </c>
      <c r="M572" s="15" t="n">
        <v>0</v>
      </c>
      <c r="N572" s="15" t="n">
        <v>0</v>
      </c>
      <c r="O572" s="15" t="n">
        <v>0</v>
      </c>
      <c r="P572" s="15" t="n">
        <v>0</v>
      </c>
      <c r="Q572" s="15" t="n">
        <v>0</v>
      </c>
      <c r="R572" s="15" t="n">
        <v>0</v>
      </c>
      <c r="S572" s="15" t="n">
        <v>0</v>
      </c>
      <c r="T572" s="14">
        <f>IF(COUNT(I572:S572)=0,"",SUM(I572:S572))</f>
        <v/>
      </c>
      <c r="U572" t="inlineStr"/>
    </row>
    <row r="573">
      <c r="A573" t="inlineStr">
        <is>
          <t>아이마음어린이집</t>
        </is>
      </c>
      <c r="B573" t="inlineStr">
        <is>
          <t>어린이집</t>
        </is>
      </c>
      <c r="C573" t="inlineStr">
        <is>
          <t>가정</t>
        </is>
      </c>
      <c r="D573" t="inlineStr">
        <is>
          <t>부산진구</t>
        </is>
      </c>
      <c r="E573" t="inlineStr">
        <is>
          <t>부산광역시 부산진구 당감로17번길 90 115동 102호(당감동, 무궁화아파트)</t>
        </is>
      </c>
      <c r="F573" t="inlineStr"/>
      <c r="G573" t="inlineStr">
        <is>
          <t>051-897-2020</t>
        </is>
      </c>
      <c r="H573" s="15" t="n">
        <v>16</v>
      </c>
      <c r="I573" s="15" t="n">
        <v>0</v>
      </c>
      <c r="J573" s="15" t="n">
        <v>0</v>
      </c>
      <c r="K573" s="15" t="n">
        <v>6</v>
      </c>
      <c r="L573" s="15" t="n">
        <v>0</v>
      </c>
      <c r="M573" s="15" t="n">
        <v>0</v>
      </c>
      <c r="N573" s="15" t="n">
        <v>0</v>
      </c>
      <c r="O573" s="15" t="n">
        <v>4</v>
      </c>
      <c r="P573" s="15" t="n">
        <v>0</v>
      </c>
      <c r="Q573" s="15" t="n">
        <v>0</v>
      </c>
      <c r="R573" s="15" t="n">
        <v>0</v>
      </c>
      <c r="S573" s="15" t="n">
        <v>2</v>
      </c>
      <c r="T573" s="14">
        <f>IF(COUNT(I573:S573)=0,"",SUM(I573:S573))</f>
        <v/>
      </c>
      <c r="U573" t="inlineStr"/>
    </row>
    <row r="574">
      <c r="A574" t="inlineStr">
        <is>
          <t>아이맘어린이집</t>
        </is>
      </c>
      <c r="B574" t="inlineStr">
        <is>
          <t>어린이집</t>
        </is>
      </c>
      <c r="C574" t="inlineStr">
        <is>
          <t>가정</t>
        </is>
      </c>
      <c r="D574" t="inlineStr">
        <is>
          <t>부산진구</t>
        </is>
      </c>
      <c r="E574" t="inlineStr">
        <is>
          <t>부산광역시 부산진구 진남로 477 103동 103호 (전포동, 양정메트로하이츠)</t>
        </is>
      </c>
      <c r="F574" t="inlineStr"/>
      <c r="G574" t="inlineStr">
        <is>
          <t>051-807-5126</t>
        </is>
      </c>
      <c r="H574" s="15" t="n">
        <v>19</v>
      </c>
      <c r="I574" s="15" t="n">
        <v>7</v>
      </c>
      <c r="J574" s="15" t="n">
        <v>0</v>
      </c>
      <c r="K574" s="15" t="n">
        <v>0</v>
      </c>
      <c r="L574" s="15" t="n">
        <v>0</v>
      </c>
      <c r="M574" s="15" t="n">
        <v>0</v>
      </c>
      <c r="N574" s="15" t="n">
        <v>0</v>
      </c>
      <c r="O574" s="15" t="n">
        <v>7</v>
      </c>
      <c r="P574" s="15" t="n">
        <v>0</v>
      </c>
      <c r="Q574" s="15" t="n">
        <v>0</v>
      </c>
      <c r="R574" s="15" t="n">
        <v>0</v>
      </c>
      <c r="S574" s="15" t="n">
        <v>4</v>
      </c>
      <c r="T574" s="14">
        <f>IF(COUNT(I574:S574)=0,"",SUM(I574:S574))</f>
        <v/>
      </c>
      <c r="U574" t="inlineStr"/>
    </row>
    <row r="575">
      <c r="A575" t="inlineStr">
        <is>
          <t>아이숲어린이집</t>
        </is>
      </c>
      <c r="B575" t="inlineStr">
        <is>
          <t>어린이집</t>
        </is>
      </c>
      <c r="C575" t="inlineStr">
        <is>
          <t>가정</t>
        </is>
      </c>
      <c r="D575" t="inlineStr">
        <is>
          <t>부산진구</t>
        </is>
      </c>
      <c r="E575" t="inlineStr">
        <is>
          <t>부산광역시 부산진구 가야대로679번길 166 102동105호(가야동 화신타운아파트)</t>
        </is>
      </c>
      <c r="F575" t="inlineStr"/>
      <c r="G575" t="inlineStr">
        <is>
          <t>051-898-2250</t>
        </is>
      </c>
      <c r="H575" s="15" t="n">
        <v>19</v>
      </c>
      <c r="I575" s="15" t="n">
        <v>5</v>
      </c>
      <c r="J575" s="15" t="n">
        <v>7</v>
      </c>
      <c r="K575" s="15" t="n">
        <v>6</v>
      </c>
      <c r="L575" s="15" t="n">
        <v>0</v>
      </c>
      <c r="M575" s="15" t="n">
        <v>0</v>
      </c>
      <c r="N575" s="15" t="n">
        <v>0</v>
      </c>
      <c r="O575" s="15" t="n">
        <v>0</v>
      </c>
      <c r="P575" s="15" t="n">
        <v>0</v>
      </c>
      <c r="Q575" s="15" t="n">
        <v>0</v>
      </c>
      <c r="R575" s="15" t="n">
        <v>0</v>
      </c>
      <c r="S575" s="15" t="n">
        <v>4</v>
      </c>
      <c r="T575" s="14">
        <f>IF(COUNT(I575:S575)=0,"",SUM(I575:S575))</f>
        <v/>
      </c>
      <c r="U575" t="inlineStr"/>
    </row>
    <row r="576">
      <c r="A576" t="inlineStr">
        <is>
          <t>아이편한어린이집</t>
        </is>
      </c>
      <c r="B576" t="inlineStr">
        <is>
          <t>어린이집</t>
        </is>
      </c>
      <c r="C576" t="inlineStr">
        <is>
          <t>국공립</t>
        </is>
      </c>
      <c r="D576" t="inlineStr">
        <is>
          <t>부산진구</t>
        </is>
      </c>
      <c r="E576" t="inlineStr">
        <is>
          <t>부산광역시 부산진구 신암로 133 e편한세상서면더센트럴</t>
        </is>
      </c>
      <c r="F576" t="inlineStr"/>
      <c r="G576" t="inlineStr">
        <is>
          <t>051-925-0505</t>
        </is>
      </c>
      <c r="H576" s="15" t="n">
        <v>49</v>
      </c>
      <c r="I576" s="15" t="n">
        <v>6</v>
      </c>
      <c r="J576" s="15" t="n">
        <v>20</v>
      </c>
      <c r="K576" s="15" t="n">
        <v>20</v>
      </c>
      <c r="L576" s="15" t="n">
        <v>0</v>
      </c>
      <c r="M576" s="15" t="n">
        <v>0</v>
      </c>
      <c r="N576" s="15" t="n">
        <v>0</v>
      </c>
      <c r="O576" s="15" t="n">
        <v>0</v>
      </c>
      <c r="P576" s="15" t="n">
        <v>0</v>
      </c>
      <c r="Q576" s="15" t="n">
        <v>0</v>
      </c>
      <c r="R576" s="15" t="n">
        <v>0</v>
      </c>
      <c r="S576" s="15" t="n">
        <v>10</v>
      </c>
      <c r="T576" s="14">
        <f>IF(COUNT(I576:S576)=0,"",SUM(I576:S576))</f>
        <v/>
      </c>
      <c r="U576" t="inlineStr"/>
    </row>
    <row r="577">
      <c r="A577" t="inlineStr">
        <is>
          <t>양정2동어린이집</t>
        </is>
      </c>
      <c r="B577" t="inlineStr">
        <is>
          <t>어린이집</t>
        </is>
      </c>
      <c r="C577" t="inlineStr">
        <is>
          <t>국공립</t>
        </is>
      </c>
      <c r="D577" t="inlineStr">
        <is>
          <t>부산진구</t>
        </is>
      </c>
      <c r="E577" t="inlineStr">
        <is>
          <t>부산광역시 부산진구 연수로11번길 18-1 (양정동)</t>
        </is>
      </c>
      <c r="F577" t="inlineStr"/>
      <c r="G577" t="inlineStr">
        <is>
          <t>051-866-5335</t>
        </is>
      </c>
      <c r="H577" s="15" t="n">
        <v>72</v>
      </c>
      <c r="I577" s="15" t="n">
        <v>20</v>
      </c>
      <c r="J577" s="15" t="n">
        <v>26</v>
      </c>
      <c r="K577" s="15" t="n">
        <v>6</v>
      </c>
      <c r="L577" s="15" t="n">
        <v>0</v>
      </c>
      <c r="M577" s="15" t="n">
        <v>0</v>
      </c>
      <c r="N577" s="15" t="n">
        <v>0</v>
      </c>
      <c r="O577" s="15" t="n">
        <v>0</v>
      </c>
      <c r="P577" s="15" t="n">
        <v>0</v>
      </c>
      <c r="Q577" s="15" t="n">
        <v>0</v>
      </c>
      <c r="R577" s="15" t="n">
        <v>0</v>
      </c>
      <c r="S577" s="15" t="n">
        <v>8</v>
      </c>
      <c r="T577" s="14">
        <f>IF(COUNT(I577:S577)=0,"",SUM(I577:S577))</f>
        <v/>
      </c>
      <c r="U577" t="inlineStr"/>
    </row>
    <row r="578">
      <c r="A578" t="inlineStr">
        <is>
          <t>양정삼성어린이집</t>
        </is>
      </c>
      <c r="B578" t="inlineStr">
        <is>
          <t>어린이집</t>
        </is>
      </c>
      <c r="C578" t="inlineStr">
        <is>
          <t>사회복지법인</t>
        </is>
      </c>
      <c r="D578" t="inlineStr">
        <is>
          <t>부산진구</t>
        </is>
      </c>
      <c r="E578" t="inlineStr">
        <is>
          <t>부산광역시 부산진구 연수로11번길 34  (양정동)</t>
        </is>
      </c>
      <c r="F578" t="inlineStr"/>
      <c r="G578" t="inlineStr">
        <is>
          <t>051-852-4233</t>
        </is>
      </c>
      <c r="H578" s="15" t="n">
        <v>147</v>
      </c>
      <c r="I578" s="15" t="n">
        <v>0</v>
      </c>
      <c r="J578" s="15" t="n">
        <v>15</v>
      </c>
      <c r="K578" s="15" t="n">
        <v>19</v>
      </c>
      <c r="L578" s="15" t="n">
        <v>23</v>
      </c>
      <c r="M578" s="15" t="n">
        <v>15</v>
      </c>
      <c r="N578" s="15" t="n">
        <v>21</v>
      </c>
      <c r="O578" s="15" t="n">
        <v>0</v>
      </c>
      <c r="P578" s="15" t="n">
        <v>0</v>
      </c>
      <c r="Q578" s="15" t="n">
        <v>0</v>
      </c>
      <c r="R578" s="15" t="n">
        <v>0</v>
      </c>
      <c r="S578" s="15" t="n">
        <v>20</v>
      </c>
      <c r="T578" s="14">
        <f>IF(COUNT(I578:S578)=0,"",SUM(I578:S578))</f>
        <v/>
      </c>
      <c r="U578" t="inlineStr"/>
    </row>
    <row r="579">
      <c r="A579" t="inlineStr">
        <is>
          <t>양정소명어린이집</t>
        </is>
      </c>
      <c r="B579" t="inlineStr">
        <is>
          <t>어린이집</t>
        </is>
      </c>
      <c r="C579" t="inlineStr">
        <is>
          <t>국공립</t>
        </is>
      </c>
      <c r="D579" t="inlineStr">
        <is>
          <t>부산진구</t>
        </is>
      </c>
      <c r="E579" t="inlineStr">
        <is>
          <t>부산광역시 부산진구 양지로 24-17 (양정동)</t>
        </is>
      </c>
      <c r="F579" t="inlineStr"/>
      <c r="G579" t="inlineStr">
        <is>
          <t>051-865-7288</t>
        </is>
      </c>
      <c r="H579" s="15" t="n">
        <v>40</v>
      </c>
      <c r="I579" s="15" t="n">
        <v>0</v>
      </c>
      <c r="J579" s="15" t="n">
        <v>20</v>
      </c>
      <c r="K579" s="15" t="n">
        <v>19</v>
      </c>
      <c r="L579" s="15" t="n">
        <v>0</v>
      </c>
      <c r="M579" s="15" t="n">
        <v>0</v>
      </c>
      <c r="N579" s="15" t="n">
        <v>0</v>
      </c>
      <c r="O579" s="15" t="n">
        <v>0</v>
      </c>
      <c r="P579" s="15" t="n">
        <v>0</v>
      </c>
      <c r="Q579" s="15" t="n">
        <v>0</v>
      </c>
      <c r="R579" s="15" t="n">
        <v>0</v>
      </c>
      <c r="S579" s="15" t="n">
        <v>0</v>
      </c>
      <c r="T579" s="14">
        <f>IF(COUNT(I579:S579)=0,"",SUM(I579:S579))</f>
        <v/>
      </c>
      <c r="U579" t="inlineStr"/>
    </row>
    <row r="580">
      <c r="A580" t="inlineStr">
        <is>
          <t>양정자이1단지어린이집</t>
        </is>
      </c>
      <c r="B580" t="inlineStr">
        <is>
          <t>어린이집</t>
        </is>
      </c>
      <c r="C580" t="inlineStr">
        <is>
          <t>국공립</t>
        </is>
      </c>
      <c r="D580" t="inlineStr">
        <is>
          <t>부산진구</t>
        </is>
      </c>
      <c r="E580" t="inlineStr">
        <is>
          <t>부산광역시 부산진구 연수로 38 양정자이더샵SKVIEW 관리동</t>
        </is>
      </c>
      <c r="F580" t="inlineStr"/>
      <c r="G580" t="inlineStr">
        <is>
          <t>051-926-1200</t>
        </is>
      </c>
      <c r="H580" s="15" t="n">
        <v>45</v>
      </c>
      <c r="I580" s="15" t="n">
        <v>8</v>
      </c>
      <c r="J580" s="15" t="n">
        <v>13</v>
      </c>
      <c r="K580" s="15" t="n">
        <v>12</v>
      </c>
      <c r="L580" s="15" t="n">
        <v>0</v>
      </c>
      <c r="M580" s="15" t="n">
        <v>0</v>
      </c>
      <c r="N580" s="15" t="n">
        <v>0</v>
      </c>
      <c r="O580" s="15" t="n">
        <v>0</v>
      </c>
      <c r="P580" s="15" t="n">
        <v>0</v>
      </c>
      <c r="Q580" s="15" t="n">
        <v>0</v>
      </c>
      <c r="R580" s="15" t="n">
        <v>0</v>
      </c>
      <c r="S580" s="15" t="n">
        <v>8</v>
      </c>
      <c r="T580" s="14">
        <f>IF(COUNT(I580:S580)=0,"",SUM(I580:S580))</f>
        <v/>
      </c>
      <c r="U580" t="inlineStr"/>
    </row>
    <row r="581">
      <c r="A581" t="inlineStr">
        <is>
          <t>양정자이2단지어린이집</t>
        </is>
      </c>
      <c r="B581" t="inlineStr">
        <is>
          <t>어린이집</t>
        </is>
      </c>
      <c r="C581" t="inlineStr">
        <is>
          <t>국공립</t>
        </is>
      </c>
      <c r="D581" t="inlineStr">
        <is>
          <t>부산진구</t>
        </is>
      </c>
      <c r="E581" t="inlineStr">
        <is>
          <t>부산광역시 부산진구 진남로 554 양정자이더샵SKVIEW 2단지</t>
        </is>
      </c>
      <c r="F581" t="inlineStr"/>
      <c r="G581" t="inlineStr">
        <is>
          <t>051-982-2500</t>
        </is>
      </c>
      <c r="H581" s="15" t="n">
        <v>92</v>
      </c>
      <c r="I581" s="15" t="n">
        <v>8</v>
      </c>
      <c r="J581" s="15" t="n">
        <v>15</v>
      </c>
      <c r="K581" s="15" t="n">
        <v>23</v>
      </c>
      <c r="L581" s="15" t="n">
        <v>19</v>
      </c>
      <c r="M581" s="15" t="n">
        <v>0</v>
      </c>
      <c r="N581" s="15" t="n">
        <v>0</v>
      </c>
      <c r="O581" s="15" t="n">
        <v>0</v>
      </c>
      <c r="P581" s="15" t="n">
        <v>0</v>
      </c>
      <c r="Q581" s="15" t="n">
        <v>0</v>
      </c>
      <c r="R581" s="15" t="n">
        <v>0</v>
      </c>
      <c r="S581" s="15" t="n">
        <v>17</v>
      </c>
      <c r="T581" s="14">
        <f>IF(COUNT(I581:S581)=0,"",SUM(I581:S581))</f>
        <v/>
      </c>
      <c r="U581" t="inlineStr"/>
    </row>
    <row r="582">
      <c r="A582" t="inlineStr">
        <is>
          <t>양정자이3단지어린이집</t>
        </is>
      </c>
      <c r="B582" t="inlineStr">
        <is>
          <t>어린이집</t>
        </is>
      </c>
      <c r="C582" t="inlineStr">
        <is>
          <t>국공립</t>
        </is>
      </c>
      <c r="D582" t="inlineStr">
        <is>
          <t>부산진구</t>
        </is>
      </c>
      <c r="E582" t="inlineStr">
        <is>
          <t>부산광역시 부산진구 진남로 552 양정자이더샵SKVIEW 3단지</t>
        </is>
      </c>
      <c r="F582" t="inlineStr"/>
      <c r="G582" t="inlineStr">
        <is>
          <t>051-929-1500</t>
        </is>
      </c>
      <c r="H582" s="15" t="n">
        <v>45</v>
      </c>
      <c r="I582" s="15" t="n">
        <v>8</v>
      </c>
      <c r="J582" s="15" t="n">
        <v>12</v>
      </c>
      <c r="K582" s="15" t="n">
        <v>12</v>
      </c>
      <c r="L582" s="15" t="n">
        <v>0</v>
      </c>
      <c r="M582" s="15" t="n">
        <v>0</v>
      </c>
      <c r="N582" s="15" t="n">
        <v>0</v>
      </c>
      <c r="O582" s="15" t="n">
        <v>0</v>
      </c>
      <c r="P582" s="15" t="n">
        <v>0</v>
      </c>
      <c r="Q582" s="15" t="n">
        <v>0</v>
      </c>
      <c r="R582" s="15" t="n">
        <v>0</v>
      </c>
      <c r="S582" s="15" t="n">
        <v>10</v>
      </c>
      <c r="T582" s="14">
        <f>IF(COUNT(I582:S582)=0,"",SUM(I582:S582))</f>
        <v/>
      </c>
      <c r="U582" t="inlineStr"/>
    </row>
    <row r="583">
      <c r="A583" t="inlineStr">
        <is>
          <t>양정중앙어린이집</t>
        </is>
      </c>
      <c r="B583" t="inlineStr">
        <is>
          <t>어린이집</t>
        </is>
      </c>
      <c r="C583" t="inlineStr">
        <is>
          <t>국공립</t>
        </is>
      </c>
      <c r="D583" t="inlineStr">
        <is>
          <t>부산진구</t>
        </is>
      </c>
      <c r="E583" t="inlineStr">
        <is>
          <t>부산광역시 부산진구 양지로5번길 25 (양정동)</t>
        </is>
      </c>
      <c r="F583" t="inlineStr"/>
      <c r="G583" t="inlineStr">
        <is>
          <t>051-861-6800</t>
        </is>
      </c>
      <c r="H583" s="15" t="n">
        <v>32</v>
      </c>
      <c r="I583" s="15" t="n">
        <v>7</v>
      </c>
      <c r="J583" s="15" t="n">
        <v>10</v>
      </c>
      <c r="K583" s="15" t="n">
        <v>12</v>
      </c>
      <c r="L583" s="15" t="n">
        <v>0</v>
      </c>
      <c r="M583" s="15" t="n">
        <v>0</v>
      </c>
      <c r="N583" s="15" t="n">
        <v>0</v>
      </c>
      <c r="O583" s="15" t="n">
        <v>0</v>
      </c>
      <c r="P583" s="15" t="n">
        <v>0</v>
      </c>
      <c r="Q583" s="15" t="n">
        <v>0</v>
      </c>
      <c r="R583" s="15" t="n">
        <v>0</v>
      </c>
      <c r="S583" s="15" t="n">
        <v>6</v>
      </c>
      <c r="T583" s="14">
        <f>IF(COUNT(I583:S583)=0,"",SUM(I583:S583))</f>
        <v/>
      </c>
      <c r="U583" t="inlineStr"/>
    </row>
    <row r="584">
      <c r="A584" t="inlineStr">
        <is>
          <t>양정포레힐즈스위첸어린이집</t>
        </is>
      </c>
      <c r="B584" t="inlineStr">
        <is>
          <t>어린이집</t>
        </is>
      </c>
      <c r="C584" t="inlineStr">
        <is>
          <t>국공립</t>
        </is>
      </c>
      <c r="D584" t="inlineStr">
        <is>
          <t>부산진구</t>
        </is>
      </c>
      <c r="E584" t="inlineStr">
        <is>
          <t>부산광역시 부산진구 양연로 36 양정포레힐즈스위첸아파트</t>
        </is>
      </c>
      <c r="F584" t="inlineStr"/>
      <c r="G584" t="inlineStr">
        <is>
          <t>051-862-7942</t>
        </is>
      </c>
      <c r="H584" s="15" t="n">
        <v>35</v>
      </c>
      <c r="I584" s="15" t="n">
        <v>4</v>
      </c>
      <c r="J584" s="15" t="n">
        <v>14</v>
      </c>
      <c r="K584" s="15" t="n">
        <v>16</v>
      </c>
      <c r="L584" s="15" t="n">
        <v>0</v>
      </c>
      <c r="M584" s="15" t="n">
        <v>0</v>
      </c>
      <c r="N584" s="15" t="n">
        <v>0</v>
      </c>
      <c r="O584" s="15" t="n">
        <v>0</v>
      </c>
      <c r="P584" s="15" t="n">
        <v>0</v>
      </c>
      <c r="Q584" s="15" t="n">
        <v>0</v>
      </c>
      <c r="R584" s="15" t="n">
        <v>0</v>
      </c>
      <c r="S584" s="15" t="n">
        <v>8</v>
      </c>
      <c r="T584" s="14">
        <f>IF(COUNT(I584:S584)=0,"",SUM(I584:S584))</f>
        <v/>
      </c>
      <c r="U584" t="inlineStr"/>
    </row>
    <row r="585">
      <c r="A585" t="inlineStr">
        <is>
          <t>양정현대어린이집</t>
        </is>
      </c>
      <c r="B585" t="inlineStr">
        <is>
          <t>어린이집</t>
        </is>
      </c>
      <c r="C585" t="inlineStr">
        <is>
          <t>민간</t>
        </is>
      </c>
      <c r="D585" t="inlineStr">
        <is>
          <t>부산진구</t>
        </is>
      </c>
      <c r="E585" t="inlineStr">
        <is>
          <t>부산광역시 부산진구 범양로 90 (양정동)</t>
        </is>
      </c>
      <c r="F585" s="11" t="inlineStr">
        <is>
          <t>http://www.yjhd.co.kr</t>
        </is>
      </c>
      <c r="G585" t="inlineStr">
        <is>
          <t>051-852-4895</t>
        </is>
      </c>
      <c r="H585" s="15" t="n">
        <v>88</v>
      </c>
      <c r="I585" s="15" t="n">
        <v>21</v>
      </c>
      <c r="J585" s="15" t="n">
        <v>20</v>
      </c>
      <c r="K585" s="15" t="n">
        <v>42</v>
      </c>
      <c r="L585" s="15" t="n">
        <v>0</v>
      </c>
      <c r="M585" s="15" t="n">
        <v>0</v>
      </c>
      <c r="N585" s="15" t="n">
        <v>0</v>
      </c>
      <c r="O585" s="15" t="n">
        <v>0</v>
      </c>
      <c r="P585" s="15" t="n">
        <v>0</v>
      </c>
      <c r="Q585" s="15" t="n">
        <v>0</v>
      </c>
      <c r="R585" s="15" t="n">
        <v>0</v>
      </c>
      <c r="S585" s="15" t="n">
        <v>5</v>
      </c>
      <c r="T585" s="14">
        <f>IF(COUNT(I585:S585)=0,"",SUM(I585:S585))</f>
        <v/>
      </c>
      <c r="U585" t="inlineStr"/>
    </row>
    <row r="586">
      <c r="A586" t="inlineStr">
        <is>
          <t>엄마어린이집</t>
        </is>
      </c>
      <c r="B586" t="inlineStr">
        <is>
          <t>어린이집</t>
        </is>
      </c>
      <c r="C586" t="inlineStr">
        <is>
          <t>가정</t>
        </is>
      </c>
      <c r="D586" t="inlineStr">
        <is>
          <t>부산진구</t>
        </is>
      </c>
      <c r="E586" t="inlineStr">
        <is>
          <t>부산광역시 부산진구 신천대로 279 나동101호 (부암동, 무지개럭키아파트)</t>
        </is>
      </c>
      <c r="F586" t="inlineStr"/>
      <c r="G586" t="inlineStr">
        <is>
          <t>051-818-3196</t>
        </is>
      </c>
      <c r="H586" s="15" t="n">
        <v>16</v>
      </c>
      <c r="I586" s="15" t="n">
        <v>2</v>
      </c>
      <c r="J586" s="15" t="n">
        <v>5</v>
      </c>
      <c r="K586" s="15" t="n">
        <v>4</v>
      </c>
      <c r="L586" s="15" t="n">
        <v>0</v>
      </c>
      <c r="M586" s="15" t="n">
        <v>0</v>
      </c>
      <c r="N586" s="15" t="n">
        <v>0</v>
      </c>
      <c r="O586" s="15" t="n">
        <v>2</v>
      </c>
      <c r="P586" s="15" t="n">
        <v>0</v>
      </c>
      <c r="Q586" s="15" t="n">
        <v>0</v>
      </c>
      <c r="R586" s="15" t="n">
        <v>0</v>
      </c>
      <c r="S586" s="15" t="n">
        <v>4</v>
      </c>
      <c r="T586" s="14">
        <f>IF(COUNT(I586:S586)=0,"",SUM(I586:S586))</f>
        <v/>
      </c>
      <c r="U586" t="inlineStr"/>
    </row>
    <row r="587">
      <c r="A587" t="inlineStr">
        <is>
          <t>엘리시안어린이집</t>
        </is>
      </c>
      <c r="B587" t="inlineStr">
        <is>
          <t>어린이집</t>
        </is>
      </c>
      <c r="C587" t="inlineStr">
        <is>
          <t>민간</t>
        </is>
      </c>
      <c r="D587" t="inlineStr">
        <is>
          <t>부산진구</t>
        </is>
      </c>
      <c r="E587" t="inlineStr">
        <is>
          <t>부산광역시 부산진구 만리산로 11 103동 (협성엘리시안아파트)</t>
        </is>
      </c>
      <c r="F587" t="inlineStr"/>
      <c r="G587" t="inlineStr">
        <is>
          <t>051-632-0978</t>
        </is>
      </c>
      <c r="H587" s="15" t="n">
        <v>47</v>
      </c>
      <c r="I587" s="15" t="n">
        <v>9</v>
      </c>
      <c r="J587" s="15" t="n">
        <v>20</v>
      </c>
      <c r="K587" s="15" t="n">
        <v>17</v>
      </c>
      <c r="L587" s="15" t="n">
        <v>0</v>
      </c>
      <c r="M587" s="15" t="n">
        <v>0</v>
      </c>
      <c r="N587" s="15" t="n">
        <v>0</v>
      </c>
      <c r="O587" s="15" t="n">
        <v>0</v>
      </c>
      <c r="P587" s="15" t="n">
        <v>0</v>
      </c>
      <c r="Q587" s="15" t="n">
        <v>0</v>
      </c>
      <c r="R587" s="15" t="n">
        <v>0</v>
      </c>
      <c r="S587" s="15" t="n">
        <v>5</v>
      </c>
      <c r="T587" s="14">
        <f>IF(COUNT(I587:S587)=0,"",SUM(I587:S587))</f>
        <v/>
      </c>
      <c r="U587" t="inlineStr"/>
    </row>
    <row r="588">
      <c r="A588" t="inlineStr">
        <is>
          <t>엘림어린이집</t>
        </is>
      </c>
      <c r="B588" t="inlineStr">
        <is>
          <t>어린이집</t>
        </is>
      </c>
      <c r="C588" t="inlineStr">
        <is>
          <t>사회복지법인</t>
        </is>
      </c>
      <c r="D588" t="inlineStr">
        <is>
          <t>부산진구</t>
        </is>
      </c>
      <c r="E588" t="inlineStr">
        <is>
          <t>부산광역시 부산진구 진남로356번길 34-12 (전포동)</t>
        </is>
      </c>
      <c r="F588" t="inlineStr"/>
      <c r="G588" t="inlineStr">
        <is>
          <t>051-804-4520</t>
        </is>
      </c>
      <c r="H588" s="15" t="n">
        <v>75</v>
      </c>
      <c r="I588" s="15" t="n">
        <v>15</v>
      </c>
      <c r="J588" s="15" t="n">
        <v>5</v>
      </c>
      <c r="K588" s="15" t="n">
        <v>7</v>
      </c>
      <c r="L588" s="15" t="n">
        <v>0</v>
      </c>
      <c r="M588" s="15" t="n">
        <v>0</v>
      </c>
      <c r="N588" s="15" t="n">
        <v>0</v>
      </c>
      <c r="O588" s="15" t="n">
        <v>0</v>
      </c>
      <c r="P588" s="15" t="n">
        <v>7</v>
      </c>
      <c r="Q588" s="15" t="n">
        <v>0</v>
      </c>
      <c r="R588" s="15" t="n">
        <v>0</v>
      </c>
      <c r="S588" s="15" t="n">
        <v>15</v>
      </c>
      <c r="T588" s="14">
        <f>IF(COUNT(I588:S588)=0,"",SUM(I588:S588))</f>
        <v/>
      </c>
      <c r="U588" t="inlineStr"/>
    </row>
    <row r="589">
      <c r="A589" t="inlineStr">
        <is>
          <t>연지꿈동산어린이집</t>
        </is>
      </c>
      <c r="B589" t="inlineStr">
        <is>
          <t>어린이집</t>
        </is>
      </c>
      <c r="C589" t="inlineStr">
        <is>
          <t>국공립</t>
        </is>
      </c>
      <c r="D589" t="inlineStr">
        <is>
          <t>부산진구</t>
        </is>
      </c>
      <c r="E589" t="inlineStr">
        <is>
          <t>부산광역시 부산진구 성지로51번길 24 (연지동)</t>
        </is>
      </c>
      <c r="F589" t="inlineStr"/>
      <c r="G589" t="inlineStr">
        <is>
          <t>051-942-1004</t>
        </is>
      </c>
      <c r="H589" s="15" t="n">
        <v>79</v>
      </c>
      <c r="I589" s="15" t="n">
        <v>0</v>
      </c>
      <c r="J589" s="15" t="n">
        <v>15</v>
      </c>
      <c r="K589" s="15" t="n">
        <v>19</v>
      </c>
      <c r="L589" s="15" t="n">
        <v>12</v>
      </c>
      <c r="M589" s="15" t="n">
        <v>11</v>
      </c>
      <c r="N589" s="15" t="n">
        <v>13</v>
      </c>
      <c r="O589" s="15" t="n">
        <v>0</v>
      </c>
      <c r="P589" s="15" t="n">
        <v>0</v>
      </c>
      <c r="Q589" s="15" t="n">
        <v>0</v>
      </c>
      <c r="R589" s="15" t="n">
        <v>3</v>
      </c>
      <c r="S589" s="15" t="n">
        <v>5</v>
      </c>
      <c r="T589" s="14">
        <f>IF(COUNT(I589:S589)=0,"",SUM(I589:S589))</f>
        <v/>
      </c>
      <c r="U589" t="inlineStr"/>
    </row>
    <row r="590">
      <c r="A590" t="inlineStr">
        <is>
          <t>영림어린이집</t>
        </is>
      </c>
      <c r="B590" t="inlineStr">
        <is>
          <t>어린이집</t>
        </is>
      </c>
      <c r="C590" t="inlineStr">
        <is>
          <t>민간</t>
        </is>
      </c>
      <c r="D590" t="inlineStr">
        <is>
          <t>부산진구</t>
        </is>
      </c>
      <c r="E590" t="inlineStr">
        <is>
          <t>부산광역시 부산진구 가야대로454번길 52 (개금동)</t>
        </is>
      </c>
      <c r="F590" t="inlineStr"/>
      <c r="G590" t="inlineStr">
        <is>
          <t>051-891-6137</t>
        </is>
      </c>
      <c r="H590" s="15" t="n">
        <v>48</v>
      </c>
      <c r="I590" s="15" t="n">
        <v>6</v>
      </c>
      <c r="J590" s="15" t="n">
        <v>20</v>
      </c>
      <c r="K590" s="15" t="n">
        <v>21</v>
      </c>
      <c r="L590" s="15" t="n">
        <v>0</v>
      </c>
      <c r="M590" s="15" t="n">
        <v>0</v>
      </c>
      <c r="N590" s="15" t="n">
        <v>0</v>
      </c>
      <c r="O590" s="15" t="n">
        <v>0</v>
      </c>
      <c r="P590" s="15" t="n">
        <v>0</v>
      </c>
      <c r="Q590" s="15" t="n">
        <v>0</v>
      </c>
      <c r="R590" s="15" t="n">
        <v>0</v>
      </c>
      <c r="S590" s="15" t="n">
        <v>5</v>
      </c>
      <c r="T590" s="14">
        <f>IF(COUNT(I590:S590)=0,"",SUM(I590:S590))</f>
        <v/>
      </c>
      <c r="U590" t="inlineStr"/>
    </row>
    <row r="591">
      <c r="A591" t="inlineStr">
        <is>
          <t>영재어린이집</t>
        </is>
      </c>
      <c r="B591" t="inlineStr">
        <is>
          <t>어린이집</t>
        </is>
      </c>
      <c r="C591" t="inlineStr">
        <is>
          <t>민간</t>
        </is>
      </c>
      <c r="D591" t="inlineStr">
        <is>
          <t>부산진구</t>
        </is>
      </c>
      <c r="E591" t="inlineStr">
        <is>
          <t>부산광역시 부산진구 중앙번영로 32 (범천동)</t>
        </is>
      </c>
      <c r="F591" t="inlineStr"/>
      <c r="G591" t="inlineStr">
        <is>
          <t>051-632-1027</t>
        </is>
      </c>
      <c r="H591" s="15" t="n">
        <v>49</v>
      </c>
      <c r="I591" s="15" t="n">
        <v>6</v>
      </c>
      <c r="J591" s="15" t="n">
        <v>25</v>
      </c>
      <c r="K591" s="15" t="n">
        <v>18</v>
      </c>
      <c r="L591" s="15" t="n">
        <v>0</v>
      </c>
      <c r="M591" s="15" t="n">
        <v>0</v>
      </c>
      <c r="N591" s="15" t="n">
        <v>0</v>
      </c>
      <c r="O591" s="15" t="n">
        <v>0</v>
      </c>
      <c r="P591" s="15" t="n">
        <v>0</v>
      </c>
      <c r="Q591" s="15" t="n">
        <v>0</v>
      </c>
      <c r="R591" s="15" t="n">
        <v>0</v>
      </c>
      <c r="S591" s="15" t="n">
        <v>0</v>
      </c>
      <c r="T591" s="14">
        <f>IF(COUNT(I591:S591)=0,"",SUM(I591:S591))</f>
        <v/>
      </c>
      <c r="U591" t="inlineStr"/>
    </row>
    <row r="592">
      <c r="A592" t="inlineStr">
        <is>
          <t>예솔어린이집</t>
        </is>
      </c>
      <c r="B592" t="inlineStr">
        <is>
          <t>어린이집</t>
        </is>
      </c>
      <c r="C592" t="inlineStr">
        <is>
          <t>민간</t>
        </is>
      </c>
      <c r="D592" t="inlineStr">
        <is>
          <t>부산진구</t>
        </is>
      </c>
      <c r="E592" t="inlineStr">
        <is>
          <t>부산광역시 부산진구 엄광로 273 (가야동)</t>
        </is>
      </c>
      <c r="F592" s="11" t="inlineStr">
        <is>
          <t>http://cafe.daum.net/bsys1004</t>
        </is>
      </c>
      <c r="G592" t="inlineStr">
        <is>
          <t>051-895-4456</t>
        </is>
      </c>
      <c r="H592" s="15" t="n">
        <v>52</v>
      </c>
      <c r="I592" s="15" t="n">
        <v>1</v>
      </c>
      <c r="J592" s="15" t="n">
        <v>5</v>
      </c>
      <c r="K592" s="15" t="n">
        <v>5</v>
      </c>
      <c r="L592" s="15" t="n">
        <v>0</v>
      </c>
      <c r="M592" s="15" t="n">
        <v>0</v>
      </c>
      <c r="N592" s="15" t="n">
        <v>0</v>
      </c>
      <c r="O592" s="15" t="n">
        <v>2</v>
      </c>
      <c r="P592" s="15" t="n">
        <v>7</v>
      </c>
      <c r="Q592" s="15" t="n">
        <v>0</v>
      </c>
      <c r="R592" s="15" t="n">
        <v>0</v>
      </c>
      <c r="S592" s="15" t="n">
        <v>14</v>
      </c>
      <c r="T592" s="14">
        <f>IF(COUNT(I592:S592)=0,"",SUM(I592:S592))</f>
        <v/>
      </c>
      <c r="U592" t="inlineStr"/>
    </row>
    <row r="593">
      <c r="A593" t="inlineStr">
        <is>
          <t>예이든어린이집</t>
        </is>
      </c>
      <c r="B593" t="inlineStr">
        <is>
          <t>어린이집</t>
        </is>
      </c>
      <c r="C593" t="inlineStr">
        <is>
          <t>가정</t>
        </is>
      </c>
      <c r="D593" t="inlineStr">
        <is>
          <t>부산진구</t>
        </is>
      </c>
      <c r="E593" t="inlineStr">
        <is>
          <t>부산광역시 부산진구 당감로17번길 10-11 1층 (당감동)</t>
        </is>
      </c>
      <c r="F593" t="inlineStr"/>
      <c r="G593" t="inlineStr">
        <is>
          <t>051-898-2117</t>
        </is>
      </c>
      <c r="H593" s="15" t="n">
        <v>16</v>
      </c>
      <c r="I593" s="15" t="n">
        <v>6</v>
      </c>
      <c r="J593" s="15" t="n">
        <v>3</v>
      </c>
      <c r="K593" s="15" t="n">
        <v>4</v>
      </c>
      <c r="L593" s="15" t="n">
        <v>0</v>
      </c>
      <c r="M593" s="15" t="n">
        <v>0</v>
      </c>
      <c r="N593" s="15" t="n">
        <v>0</v>
      </c>
      <c r="O593" s="15" t="n">
        <v>0</v>
      </c>
      <c r="P593" s="15" t="n">
        <v>0</v>
      </c>
      <c r="Q593" s="15" t="n">
        <v>0</v>
      </c>
      <c r="R593" s="15" t="n">
        <v>0</v>
      </c>
      <c r="S593" s="15" t="n">
        <v>3</v>
      </c>
      <c r="T593" s="14">
        <f>IF(COUNT(I593:S593)=0,"",SUM(I593:S593))</f>
        <v/>
      </c>
      <c r="U593" t="inlineStr"/>
    </row>
    <row r="594">
      <c r="A594" t="inlineStr">
        <is>
          <t>왕자와공주어린이집</t>
        </is>
      </c>
      <c r="B594" t="inlineStr">
        <is>
          <t>어린이집</t>
        </is>
      </c>
      <c r="C594" t="inlineStr">
        <is>
          <t>가정</t>
        </is>
      </c>
      <c r="D594" t="inlineStr">
        <is>
          <t>부산진구</t>
        </is>
      </c>
      <c r="E594" t="inlineStr">
        <is>
          <t>부산광역시 부산진구 백양대로 302 202동 104호 (개금동, 신개금엘지1단지아파트)</t>
        </is>
      </c>
      <c r="F594" s="11" t="inlineStr">
        <is>
          <t>http://blog.naver.com/namok0722</t>
        </is>
      </c>
      <c r="G594" t="inlineStr">
        <is>
          <t>051-892-3938</t>
        </is>
      </c>
      <c r="H594" s="15" t="n">
        <v>20</v>
      </c>
      <c r="I594" s="15" t="n">
        <v>0</v>
      </c>
      <c r="J594" s="15" t="n">
        <v>4</v>
      </c>
      <c r="K594" s="15" t="n">
        <v>0</v>
      </c>
      <c r="L594" s="15" t="n">
        <v>0</v>
      </c>
      <c r="M594" s="15" t="n">
        <v>0</v>
      </c>
      <c r="N594" s="15" t="n">
        <v>0</v>
      </c>
      <c r="O594" s="15" t="n">
        <v>10</v>
      </c>
      <c r="P594" s="15" t="n">
        <v>0</v>
      </c>
      <c r="Q594" s="15" t="n">
        <v>0</v>
      </c>
      <c r="R594" s="15" t="n">
        <v>0</v>
      </c>
      <c r="S594" s="15" t="n">
        <v>8</v>
      </c>
      <c r="T594" s="14">
        <f>IF(COUNT(I594:S594)=0,"",SUM(I594:S594))</f>
        <v/>
      </c>
      <c r="U594" t="inlineStr"/>
    </row>
    <row r="595">
      <c r="A595" t="inlineStr">
        <is>
          <t>우리아이어린이집</t>
        </is>
      </c>
      <c r="B595" t="inlineStr">
        <is>
          <t>어린이집</t>
        </is>
      </c>
      <c r="C595" t="inlineStr">
        <is>
          <t>국공립</t>
        </is>
      </c>
      <c r="D595" t="inlineStr">
        <is>
          <t>부산진구</t>
        </is>
      </c>
      <c r="E595" t="inlineStr">
        <is>
          <t>부산광역시 부산진구 백양대로300번길 20 204동 102호(개금동,신개금엘지아파트)</t>
        </is>
      </c>
      <c r="F595" t="inlineStr"/>
      <c r="G595" t="inlineStr">
        <is>
          <t>051-892-2411</t>
        </is>
      </c>
      <c r="H595" s="15" t="n">
        <v>19</v>
      </c>
      <c r="I595" s="15" t="n">
        <v>5</v>
      </c>
      <c r="J595" s="15" t="n">
        <v>7</v>
      </c>
      <c r="K595" s="15" t="n">
        <v>7</v>
      </c>
      <c r="L595" s="15" t="n">
        <v>0</v>
      </c>
      <c r="M595" s="15" t="n">
        <v>0</v>
      </c>
      <c r="N595" s="15" t="n">
        <v>0</v>
      </c>
      <c r="O595" s="15" t="n">
        <v>0</v>
      </c>
      <c r="P595" s="15" t="n">
        <v>0</v>
      </c>
      <c r="Q595" s="15" t="n">
        <v>0</v>
      </c>
      <c r="R595" s="15" t="n">
        <v>0</v>
      </c>
      <c r="S595" s="15" t="n">
        <v>5</v>
      </c>
      <c r="T595" s="14">
        <f>IF(COUNT(I595:S595)=0,"",SUM(I595:S595))</f>
        <v/>
      </c>
      <c r="U595" t="inlineStr"/>
    </row>
    <row r="596">
      <c r="A596" t="inlineStr">
        <is>
          <t>이솝어린이집</t>
        </is>
      </c>
      <c r="B596" t="inlineStr">
        <is>
          <t>어린이집</t>
        </is>
      </c>
      <c r="C596" t="inlineStr">
        <is>
          <t>민간</t>
        </is>
      </c>
      <c r="D596" t="inlineStr">
        <is>
          <t>부산진구</t>
        </is>
      </c>
      <c r="E596" t="inlineStr">
        <is>
          <t>부산광역시 부산진구 전포대로 294 102동 1층 보육시설 (전포동 ,서면한신아파트)</t>
        </is>
      </c>
      <c r="F596" t="inlineStr"/>
      <c r="G596" t="inlineStr">
        <is>
          <t>051-817-9436</t>
        </is>
      </c>
      <c r="H596" s="15" t="n">
        <v>39</v>
      </c>
      <c r="I596" s="15" t="n">
        <v>9</v>
      </c>
      <c r="J596" s="15" t="n">
        <v>9</v>
      </c>
      <c r="K596" s="15" t="n">
        <v>6</v>
      </c>
      <c r="L596" s="15" t="n">
        <v>0</v>
      </c>
      <c r="M596" s="15" t="n">
        <v>0</v>
      </c>
      <c r="N596" s="15" t="n">
        <v>0</v>
      </c>
      <c r="O596" s="15" t="n">
        <v>5</v>
      </c>
      <c r="P596" s="15" t="n">
        <v>0</v>
      </c>
      <c r="Q596" s="15" t="n">
        <v>0</v>
      </c>
      <c r="R596" s="15" t="n">
        <v>0</v>
      </c>
      <c r="S596" s="15" t="n">
        <v>8</v>
      </c>
      <c r="T596" s="14">
        <f>IF(COUNT(I596:S596)=0,"",SUM(I596:S596))</f>
        <v/>
      </c>
      <c r="U596" t="inlineStr"/>
    </row>
    <row r="597">
      <c r="A597" t="inlineStr">
        <is>
          <t>이진젠시티어린이집</t>
        </is>
      </c>
      <c r="B597" t="inlineStr">
        <is>
          <t>어린이집</t>
        </is>
      </c>
      <c r="C597" t="inlineStr">
        <is>
          <t>국공립</t>
        </is>
      </c>
      <c r="D597" t="inlineStr">
        <is>
          <t>부산진구</t>
        </is>
      </c>
      <c r="E597" t="inlineStr">
        <is>
          <t>부산광역시 부산진구 가야대로 497</t>
        </is>
      </c>
      <c r="F597" t="inlineStr"/>
      <c r="G597" t="inlineStr">
        <is>
          <t>051-893-7778</t>
        </is>
      </c>
      <c r="H597" s="15" t="n">
        <v>35</v>
      </c>
      <c r="I597" s="15" t="n">
        <v>6</v>
      </c>
      <c r="J597" s="15" t="n">
        <v>14</v>
      </c>
      <c r="K597" s="15" t="n">
        <v>13</v>
      </c>
      <c r="L597" s="15" t="n">
        <v>0</v>
      </c>
      <c r="M597" s="15" t="n">
        <v>0</v>
      </c>
      <c r="N597" s="15" t="n">
        <v>0</v>
      </c>
      <c r="O597" s="15" t="n">
        <v>0</v>
      </c>
      <c r="P597" s="15" t="n">
        <v>0</v>
      </c>
      <c r="Q597" s="15" t="n">
        <v>0</v>
      </c>
      <c r="R597" s="15" t="n">
        <v>0</v>
      </c>
      <c r="S597" s="15" t="n">
        <v>9</v>
      </c>
      <c r="T597" s="14">
        <f>IF(COUNT(I597:S597)=0,"",SUM(I597:S597))</f>
        <v/>
      </c>
      <c r="U597" t="inlineStr"/>
    </row>
    <row r="598">
      <c r="A598" t="inlineStr">
        <is>
          <t>이편한세상시민공원어린이집</t>
        </is>
      </c>
      <c r="B598" t="inlineStr">
        <is>
          <t>어린이집</t>
        </is>
      </c>
      <c r="C598" t="inlineStr">
        <is>
          <t>국공립</t>
        </is>
      </c>
      <c r="D598" t="inlineStr">
        <is>
          <t>부산진구</t>
        </is>
      </c>
      <c r="E598" t="inlineStr">
        <is>
          <t>부산광역시 부산진구 진남로 455</t>
        </is>
      </c>
      <c r="F598" t="inlineStr"/>
      <c r="G598" t="inlineStr">
        <is>
          <t>051-808-2350</t>
        </is>
      </c>
      <c r="H598" s="15" t="n">
        <v>65</v>
      </c>
      <c r="I598" s="15" t="n">
        <v>0</v>
      </c>
      <c r="J598" s="15" t="n">
        <v>15</v>
      </c>
      <c r="K598" s="15" t="n">
        <v>18</v>
      </c>
      <c r="L598" s="15" t="n">
        <v>12</v>
      </c>
      <c r="M598" s="15" t="n">
        <v>0</v>
      </c>
      <c r="N598" s="15" t="n">
        <v>0</v>
      </c>
      <c r="O598" s="15" t="n">
        <v>0</v>
      </c>
      <c r="P598" s="15" t="n">
        <v>12</v>
      </c>
      <c r="Q598" s="15" t="n">
        <v>0</v>
      </c>
      <c r="R598" s="15" t="n">
        <v>2</v>
      </c>
      <c r="S598" s="15" t="n">
        <v>25</v>
      </c>
      <c r="T598" s="14">
        <f>IF(COUNT(I598:S598)=0,"",SUM(I598:S598))</f>
        <v/>
      </c>
      <c r="U598" t="inlineStr"/>
    </row>
    <row r="599">
      <c r="A599" t="inlineStr">
        <is>
          <t>일신어린이집</t>
        </is>
      </c>
      <c r="B599" t="inlineStr">
        <is>
          <t>어린이집</t>
        </is>
      </c>
      <c r="C599" t="inlineStr">
        <is>
          <t>민간</t>
        </is>
      </c>
      <c r="D599" t="inlineStr">
        <is>
          <t>부산진구</t>
        </is>
      </c>
      <c r="E599" t="inlineStr">
        <is>
          <t>부산광역시 부산진구 전포대로246번길 36 (전포동)</t>
        </is>
      </c>
      <c r="F599" t="inlineStr"/>
      <c r="G599" t="inlineStr">
        <is>
          <t>051-809-5660</t>
        </is>
      </c>
      <c r="H599" s="15" t="n">
        <v>53</v>
      </c>
      <c r="I599" s="15" t="n">
        <v>6</v>
      </c>
      <c r="J599" s="15" t="n">
        <v>10</v>
      </c>
      <c r="K599" s="15" t="n">
        <v>12</v>
      </c>
      <c r="L599" s="15" t="n">
        <v>0</v>
      </c>
      <c r="M599" s="15" t="n">
        <v>0</v>
      </c>
      <c r="N599" s="15" t="n">
        <v>0</v>
      </c>
      <c r="O599" s="15" t="n">
        <v>3</v>
      </c>
      <c r="P599" s="15" t="n">
        <v>12</v>
      </c>
      <c r="Q599" s="15" t="n">
        <v>0</v>
      </c>
      <c r="R599" s="15" t="n">
        <v>0</v>
      </c>
      <c r="S599" s="15" t="n">
        <v>11</v>
      </c>
      <c r="T599" s="14">
        <f>IF(COUNT(I599:S599)=0,"",SUM(I599:S599))</f>
        <v/>
      </c>
      <c r="U599" t="inlineStr"/>
    </row>
    <row r="600">
      <c r="A600" t="inlineStr">
        <is>
          <t>자이해뜨는어린이집</t>
        </is>
      </c>
      <c r="B600" t="inlineStr">
        <is>
          <t>어린이집</t>
        </is>
      </c>
      <c r="C600" t="inlineStr">
        <is>
          <t>민간</t>
        </is>
      </c>
      <c r="D600" t="inlineStr">
        <is>
          <t>부산진구</t>
        </is>
      </c>
      <c r="E600" t="inlineStr">
        <is>
          <t>부산광역시 부산진구 동평로183번길 67 자이1차아파트 104동 1층 관리동 (연지동)</t>
        </is>
      </c>
      <c r="F600" s="11" t="inlineStr">
        <is>
          <t>http://club.cyworld.com/lwsun6091</t>
        </is>
      </c>
      <c r="G600" t="inlineStr">
        <is>
          <t>051-802-1172</t>
        </is>
      </c>
      <c r="H600" s="15" t="n">
        <v>42</v>
      </c>
      <c r="I600" s="15" t="n">
        <v>6</v>
      </c>
      <c r="J600" s="15" t="n">
        <v>20</v>
      </c>
      <c r="K600" s="15" t="n">
        <v>15</v>
      </c>
      <c r="L600" s="15" t="n">
        <v>0</v>
      </c>
      <c r="M600" s="15" t="n">
        <v>0</v>
      </c>
      <c r="N600" s="15" t="n">
        <v>0</v>
      </c>
      <c r="O600" s="15" t="n">
        <v>0</v>
      </c>
      <c r="P600" s="15" t="n">
        <v>0</v>
      </c>
      <c r="Q600" s="15" t="n">
        <v>0</v>
      </c>
      <c r="R600" s="15" t="n">
        <v>0</v>
      </c>
      <c r="S600" s="15" t="n">
        <v>7</v>
      </c>
      <c r="T600" s="14">
        <f>IF(COUNT(I600:S600)=0,"",SUM(I600:S600))</f>
        <v/>
      </c>
      <c r="U600" t="inlineStr"/>
    </row>
    <row r="601">
      <c r="A601" t="inlineStr">
        <is>
          <t>전포1동연수어린이집</t>
        </is>
      </c>
      <c r="B601" t="inlineStr">
        <is>
          <t>어린이집</t>
        </is>
      </c>
      <c r="C601" t="inlineStr">
        <is>
          <t>국공립</t>
        </is>
      </c>
      <c r="D601" t="inlineStr">
        <is>
          <t>부산진구</t>
        </is>
      </c>
      <c r="E601" t="inlineStr">
        <is>
          <t>부산광역시 부산진구 전포대로200번길 40 (전포동)</t>
        </is>
      </c>
      <c r="F601" t="inlineStr"/>
      <c r="G601" t="inlineStr">
        <is>
          <t>051-818-3678</t>
        </is>
      </c>
      <c r="H601" s="15" t="n">
        <v>99</v>
      </c>
      <c r="I601" s="15" t="n">
        <v>0</v>
      </c>
      <c r="J601" s="15" t="n">
        <v>15</v>
      </c>
      <c r="K601" s="15" t="n">
        <v>21</v>
      </c>
      <c r="L601" s="15" t="n">
        <v>16</v>
      </c>
      <c r="M601" s="15" t="n">
        <v>9</v>
      </c>
      <c r="N601" s="15" t="n">
        <v>11</v>
      </c>
      <c r="O601" s="15" t="n">
        <v>0</v>
      </c>
      <c r="P601" s="15" t="n">
        <v>0</v>
      </c>
      <c r="Q601" s="15" t="n">
        <v>0</v>
      </c>
      <c r="R601" s="15" t="n">
        <v>0</v>
      </c>
      <c r="S601" s="15" t="n">
        <v>13</v>
      </c>
      <c r="T601" s="14">
        <f>IF(COUNT(I601:S601)=0,"",SUM(I601:S601))</f>
        <v/>
      </c>
      <c r="U601" t="inlineStr"/>
    </row>
    <row r="602">
      <c r="A602" t="inlineStr">
        <is>
          <t>전포꿈나라어린이집</t>
        </is>
      </c>
      <c r="B602" t="inlineStr">
        <is>
          <t>어린이집</t>
        </is>
      </c>
      <c r="C602" t="inlineStr">
        <is>
          <t>국공립</t>
        </is>
      </c>
      <c r="D602" t="inlineStr">
        <is>
          <t>부산진구</t>
        </is>
      </c>
      <c r="E602" t="inlineStr">
        <is>
          <t>부산광역시 부산진구 중앙대로 862 (전포동, 전포LH아파트)</t>
        </is>
      </c>
      <c r="F602" t="inlineStr"/>
      <c r="G602" t="inlineStr">
        <is>
          <t>051-808-1279</t>
        </is>
      </c>
      <c r="H602" s="15" t="n">
        <v>49</v>
      </c>
      <c r="I602" s="15" t="n">
        <v>0</v>
      </c>
      <c r="J602" s="15" t="n">
        <v>25</v>
      </c>
      <c r="K602" s="15" t="n">
        <v>17</v>
      </c>
      <c r="L602" s="15" t="n">
        <v>0</v>
      </c>
      <c r="M602" s="15" t="n">
        <v>0</v>
      </c>
      <c r="N602" s="15" t="n">
        <v>0</v>
      </c>
      <c r="O602" s="15" t="n">
        <v>0</v>
      </c>
      <c r="P602" s="15" t="n">
        <v>0</v>
      </c>
      <c r="Q602" s="15" t="n">
        <v>0</v>
      </c>
      <c r="R602" s="15" t="n">
        <v>0</v>
      </c>
      <c r="S602" s="15" t="n">
        <v>15</v>
      </c>
      <c r="T602" s="14">
        <f>IF(COUNT(I602:S602)=0,"",SUM(I602:S602))</f>
        <v/>
      </c>
      <c r="U602" t="inlineStr"/>
    </row>
    <row r="603">
      <c r="A603" t="inlineStr">
        <is>
          <t>전포보람어린이집</t>
        </is>
      </c>
      <c r="B603" t="inlineStr">
        <is>
          <t>어린이집</t>
        </is>
      </c>
      <c r="C603" t="inlineStr">
        <is>
          <t>국공립</t>
        </is>
      </c>
      <c r="D603" t="inlineStr">
        <is>
          <t>부산진구</t>
        </is>
      </c>
      <c r="E603" t="inlineStr">
        <is>
          <t>부산광역시 부산진구 진남로 279  (전포동)</t>
        </is>
      </c>
      <c r="F603" t="inlineStr"/>
      <c r="G603" t="inlineStr">
        <is>
          <t>051-637-2594</t>
        </is>
      </c>
      <c r="H603" s="15" t="n">
        <v>80</v>
      </c>
      <c r="I603" s="15" t="n">
        <v>8</v>
      </c>
      <c r="J603" s="15" t="n">
        <v>14</v>
      </c>
      <c r="K603" s="15" t="n">
        <v>20</v>
      </c>
      <c r="L603" s="15" t="n">
        <v>0</v>
      </c>
      <c r="M603" s="15" t="n">
        <v>0</v>
      </c>
      <c r="N603" s="15" t="n">
        <v>0</v>
      </c>
      <c r="O603" s="15" t="n">
        <v>0</v>
      </c>
      <c r="P603" s="15" t="n">
        <v>14</v>
      </c>
      <c r="Q603" s="15" t="n">
        <v>0</v>
      </c>
      <c r="R603" s="15" t="n">
        <v>0</v>
      </c>
      <c r="S603" s="15" t="n">
        <v>4</v>
      </c>
      <c r="T603" s="14">
        <f>IF(COUNT(I603:S603)=0,"",SUM(I603:S603))</f>
        <v/>
      </c>
      <c r="U603" t="inlineStr"/>
    </row>
    <row r="604">
      <c r="A604" t="inlineStr">
        <is>
          <t>전포하나어린이집</t>
        </is>
      </c>
      <c r="B604" t="inlineStr">
        <is>
          <t>어린이집</t>
        </is>
      </c>
      <c r="C604" t="inlineStr">
        <is>
          <t>국공립</t>
        </is>
      </c>
      <c r="D604" t="inlineStr">
        <is>
          <t>부산진구</t>
        </is>
      </c>
      <c r="E604" t="inlineStr">
        <is>
          <t>부산광역시 부산진구 서전로58번길 145</t>
        </is>
      </c>
      <c r="F604" t="inlineStr"/>
      <c r="G604" t="inlineStr">
        <is>
          <t>051-808-4688</t>
        </is>
      </c>
      <c r="H604" s="15" t="n">
        <v>34</v>
      </c>
      <c r="I604" s="15" t="n">
        <v>0</v>
      </c>
      <c r="J604" s="15" t="n">
        <v>10</v>
      </c>
      <c r="K604" s="15" t="n">
        <v>11</v>
      </c>
      <c r="L604" s="15" t="n">
        <v>0</v>
      </c>
      <c r="M604" s="15" t="n">
        <v>0</v>
      </c>
      <c r="N604" s="15" t="n">
        <v>0</v>
      </c>
      <c r="O604" s="15" t="n">
        <v>6</v>
      </c>
      <c r="P604" s="15" t="n">
        <v>0</v>
      </c>
      <c r="Q604" s="15" t="n">
        <v>0</v>
      </c>
      <c r="R604" s="15" t="n">
        <v>0</v>
      </c>
      <c r="S604" s="15" t="n">
        <v>5</v>
      </c>
      <c r="T604" s="14">
        <f>IF(COUNT(I604:S604)=0,"",SUM(I604:S604))</f>
        <v/>
      </c>
      <c r="U604" t="inlineStr"/>
    </row>
    <row r="605">
      <c r="A605" t="inlineStr">
        <is>
          <t>지혜어린이집</t>
        </is>
      </c>
      <c r="B605" t="inlineStr">
        <is>
          <t>어린이집</t>
        </is>
      </c>
      <c r="C605" t="inlineStr">
        <is>
          <t>가정</t>
        </is>
      </c>
      <c r="D605" t="inlineStr">
        <is>
          <t>부산진구</t>
        </is>
      </c>
      <c r="E605" t="inlineStr">
        <is>
          <t>부산광역시 부산진구 백양관문로 10 303동 105호(당감동, 개금주공3단지아파트)</t>
        </is>
      </c>
      <c r="F605" s="11" t="inlineStr">
        <is>
          <t>http://http;///cafe.naver.co./jhyekids</t>
        </is>
      </c>
      <c r="G605" t="inlineStr">
        <is>
          <t>051-896-9138</t>
        </is>
      </c>
      <c r="H605" s="15" t="n">
        <v>15</v>
      </c>
      <c r="I605" s="15" t="n">
        <v>0</v>
      </c>
      <c r="J605" s="15" t="n">
        <v>0</v>
      </c>
      <c r="K605" s="15" t="n">
        <v>0</v>
      </c>
      <c r="L605" s="15" t="n">
        <v>0</v>
      </c>
      <c r="M605" s="15" t="n">
        <v>0</v>
      </c>
      <c r="N605" s="15" t="n">
        <v>0</v>
      </c>
      <c r="O605" s="15" t="n">
        <v>2</v>
      </c>
      <c r="P605" s="15" t="n">
        <v>0</v>
      </c>
      <c r="Q605" s="15" t="n">
        <v>0</v>
      </c>
      <c r="R605" s="15" t="n">
        <v>0</v>
      </c>
      <c r="S605" s="15" t="n">
        <v>0</v>
      </c>
      <c r="T605" s="14">
        <f>IF(COUNT(I605:S605)=0,"",SUM(I605:S605))</f>
        <v/>
      </c>
      <c r="U605" t="inlineStr"/>
    </row>
    <row r="606">
      <c r="A606" t="inlineStr">
        <is>
          <t>참좋은어린이집</t>
        </is>
      </c>
      <c r="B606" t="inlineStr">
        <is>
          <t>어린이집</t>
        </is>
      </c>
      <c r="C606" t="inlineStr">
        <is>
          <t>가정</t>
        </is>
      </c>
      <c r="D606" t="inlineStr">
        <is>
          <t>부산진구</t>
        </is>
      </c>
      <c r="E606" t="inlineStr">
        <is>
          <t>부산광역시 부산진구 동평로 352 108동 101호 (양정동, 현대아파트)</t>
        </is>
      </c>
      <c r="F606" t="inlineStr"/>
      <c r="G606" t="inlineStr">
        <is>
          <t>051-865-7621</t>
        </is>
      </c>
      <c r="H606" s="15" t="n">
        <v>20</v>
      </c>
      <c r="I606" s="15" t="n">
        <v>8</v>
      </c>
      <c r="J606" s="15" t="n">
        <v>0</v>
      </c>
      <c r="K606" s="15" t="n">
        <v>4</v>
      </c>
      <c r="L606" s="15" t="n">
        <v>0</v>
      </c>
      <c r="M606" s="15" t="n">
        <v>0</v>
      </c>
      <c r="N606" s="15" t="n">
        <v>0</v>
      </c>
      <c r="O606" s="15" t="n">
        <v>5</v>
      </c>
      <c r="P606" s="15" t="n">
        <v>0</v>
      </c>
      <c r="Q606" s="15" t="n">
        <v>0</v>
      </c>
      <c r="R606" s="15" t="n">
        <v>0</v>
      </c>
      <c r="S606" s="15" t="n">
        <v>4</v>
      </c>
      <c r="T606" s="14">
        <f>IF(COUNT(I606:S606)=0,"",SUM(I606:S606))</f>
        <v/>
      </c>
      <c r="U606" t="inlineStr"/>
    </row>
    <row r="607">
      <c r="A607" t="inlineStr">
        <is>
          <t>천사어린이집</t>
        </is>
      </c>
      <c r="B607" t="inlineStr">
        <is>
          <t>어린이집</t>
        </is>
      </c>
      <c r="C607" t="inlineStr">
        <is>
          <t>가정</t>
        </is>
      </c>
      <c r="D607" t="inlineStr">
        <is>
          <t>부산진구</t>
        </is>
      </c>
      <c r="E607" t="inlineStr">
        <is>
          <t>부산광역시 부산진구 전포대로171번길 13 116호(전포동, 한일유앤아이)</t>
        </is>
      </c>
      <c r="F607" t="inlineStr"/>
      <c r="G607" t="inlineStr">
        <is>
          <t>070-8638-1153</t>
        </is>
      </c>
      <c r="H607" s="15" t="n">
        <v>20</v>
      </c>
      <c r="I607" s="15" t="n">
        <v>4</v>
      </c>
      <c r="J607" s="15" t="n">
        <v>4</v>
      </c>
      <c r="K607" s="15" t="n">
        <v>6</v>
      </c>
      <c r="L607" s="15" t="n">
        <v>0</v>
      </c>
      <c r="M607" s="15" t="n">
        <v>0</v>
      </c>
      <c r="N607" s="15" t="n">
        <v>0</v>
      </c>
      <c r="O607" s="15" t="n">
        <v>0</v>
      </c>
      <c r="P607" s="15" t="n">
        <v>0</v>
      </c>
      <c r="Q607" s="15" t="n">
        <v>0</v>
      </c>
      <c r="R607" s="15" t="n">
        <v>0</v>
      </c>
      <c r="S607" s="15" t="n">
        <v>3</v>
      </c>
      <c r="T607" s="14">
        <f>IF(COUNT(I607:S607)=0,"",SUM(I607:S607))</f>
        <v/>
      </c>
      <c r="U607" t="inlineStr"/>
    </row>
    <row r="608">
      <c r="A608" t="inlineStr">
        <is>
          <t>초예어린이집</t>
        </is>
      </c>
      <c r="B608" t="inlineStr">
        <is>
          <t>어린이집</t>
        </is>
      </c>
      <c r="C608" t="inlineStr">
        <is>
          <t>민간</t>
        </is>
      </c>
      <c r="D608" t="inlineStr">
        <is>
          <t>부산진구</t>
        </is>
      </c>
      <c r="E608" t="inlineStr">
        <is>
          <t>부산광역시 부산진구 월드컵대로449번길 44-6 (초읍동)</t>
        </is>
      </c>
      <c r="F608" s="11" t="inlineStr">
        <is>
          <t>http://dmsdud3927@naver.com</t>
        </is>
      </c>
      <c r="G608" t="inlineStr">
        <is>
          <t>051-803-7644</t>
        </is>
      </c>
      <c r="H608" s="15" t="n">
        <v>49</v>
      </c>
      <c r="I608" s="15" t="n">
        <v>9</v>
      </c>
      <c r="J608" s="15" t="n">
        <v>15</v>
      </c>
      <c r="K608" s="15" t="n">
        <v>21</v>
      </c>
      <c r="L608" s="15" t="n">
        <v>0</v>
      </c>
      <c r="M608" s="15" t="n">
        <v>0</v>
      </c>
      <c r="N608" s="15" t="n">
        <v>0</v>
      </c>
      <c r="O608" s="15" t="n">
        <v>0</v>
      </c>
      <c r="P608" s="15" t="n">
        <v>0</v>
      </c>
      <c r="Q608" s="15" t="n">
        <v>0</v>
      </c>
      <c r="R608" s="15" t="n">
        <v>0</v>
      </c>
      <c r="S608" s="15" t="n">
        <v>8</v>
      </c>
      <c r="T608" s="14">
        <f>IF(COUNT(I608:S608)=0,"",SUM(I608:S608))</f>
        <v/>
      </c>
      <c r="U608" t="inlineStr"/>
    </row>
    <row r="609">
      <c r="A609" t="inlineStr">
        <is>
          <t>초원사랑어린이집</t>
        </is>
      </c>
      <c r="B609" t="inlineStr">
        <is>
          <t>어린이집</t>
        </is>
      </c>
      <c r="C609" t="inlineStr">
        <is>
          <t>민간</t>
        </is>
      </c>
      <c r="D609" t="inlineStr">
        <is>
          <t>부산진구</t>
        </is>
      </c>
      <c r="E609" t="inlineStr">
        <is>
          <t>부산광역시 부산진구 가야대로 635-20 태화현대아파트 1단지내 (당감동)</t>
        </is>
      </c>
      <c r="F609" t="inlineStr"/>
      <c r="G609" t="inlineStr">
        <is>
          <t>051-893-6900</t>
        </is>
      </c>
      <c r="H609" s="15" t="n">
        <v>129</v>
      </c>
      <c r="I609" s="15" t="n">
        <v>3</v>
      </c>
      <c r="J609" s="15" t="n">
        <v>10</v>
      </c>
      <c r="K609" s="15" t="n">
        <v>13</v>
      </c>
      <c r="L609" s="15" t="n">
        <v>10</v>
      </c>
      <c r="M609" s="15" t="n">
        <v>0</v>
      </c>
      <c r="N609" s="15" t="n">
        <v>0</v>
      </c>
      <c r="O609" s="15" t="n">
        <v>0</v>
      </c>
      <c r="P609" s="15" t="n">
        <v>0</v>
      </c>
      <c r="Q609" s="15" t="n">
        <v>0</v>
      </c>
      <c r="R609" s="15" t="n">
        <v>0</v>
      </c>
      <c r="S609" s="15" t="n">
        <v>5</v>
      </c>
      <c r="T609" s="14">
        <f>IF(COUNT(I609:S609)=0,"",SUM(I609:S609))</f>
        <v/>
      </c>
      <c r="U609" t="inlineStr"/>
    </row>
    <row r="610">
      <c r="A610" t="inlineStr">
        <is>
          <t>초읍소현어린이집</t>
        </is>
      </c>
      <c r="B610" t="inlineStr">
        <is>
          <t>어린이집</t>
        </is>
      </c>
      <c r="C610" t="inlineStr">
        <is>
          <t>국공립</t>
        </is>
      </c>
      <c r="D610" t="inlineStr">
        <is>
          <t>부산진구</t>
        </is>
      </c>
      <c r="E610" t="inlineStr">
        <is>
          <t>부산광역시 부산진구 성지곡로 43-13 (초읍동)</t>
        </is>
      </c>
      <c r="F610" s="11" t="inlineStr">
        <is>
          <t>http://www.daum.net/sohyunkidgarden</t>
        </is>
      </c>
      <c r="G610" t="inlineStr">
        <is>
          <t>051-808-9363</t>
        </is>
      </c>
      <c r="H610" s="15" t="n">
        <v>76</v>
      </c>
      <c r="I610" s="15" t="n">
        <v>0</v>
      </c>
      <c r="J610" s="15" t="n">
        <v>10</v>
      </c>
      <c r="K610" s="15" t="n">
        <v>7</v>
      </c>
      <c r="L610" s="15" t="n">
        <v>16</v>
      </c>
      <c r="M610" s="15" t="n">
        <v>0</v>
      </c>
      <c r="N610" s="15" t="n">
        <v>0</v>
      </c>
      <c r="O610" s="15" t="n">
        <v>0</v>
      </c>
      <c r="P610" s="15" t="n">
        <v>20</v>
      </c>
      <c r="Q610" s="15" t="n">
        <v>0</v>
      </c>
      <c r="R610" s="15" t="n">
        <v>0</v>
      </c>
      <c r="S610" s="15" t="n">
        <v>8</v>
      </c>
      <c r="T610" s="14">
        <f>IF(COUNT(I610:S610)=0,"",SUM(I610:S610))</f>
        <v/>
      </c>
      <c r="U610" t="inlineStr"/>
    </row>
    <row r="611">
      <c r="A611" t="inlineStr">
        <is>
          <t>칸타빌어린이집</t>
        </is>
      </c>
      <c r="B611" t="inlineStr">
        <is>
          <t>어린이집</t>
        </is>
      </c>
      <c r="C611" t="inlineStr">
        <is>
          <t>민간</t>
        </is>
      </c>
      <c r="D611" t="inlineStr">
        <is>
          <t>부산진구</t>
        </is>
      </c>
      <c r="E611" t="inlineStr">
        <is>
          <t>부산광역시 부산진구 거제대로 26 대원칸타빌멤버스아파트 106동 관리동 (양정동)</t>
        </is>
      </c>
      <c r="F611" t="inlineStr"/>
      <c r="G611" t="inlineStr">
        <is>
          <t>051-900-8333</t>
        </is>
      </c>
      <c r="H611" s="15" t="n">
        <v>37</v>
      </c>
      <c r="I611" s="15" t="n">
        <v>3</v>
      </c>
      <c r="J611" s="15" t="n">
        <v>20</v>
      </c>
      <c r="K611" s="15" t="n">
        <v>14</v>
      </c>
      <c r="L611" s="15" t="n">
        <v>0</v>
      </c>
      <c r="M611" s="15" t="n">
        <v>0</v>
      </c>
      <c r="N611" s="15" t="n">
        <v>0</v>
      </c>
      <c r="O611" s="15" t="n">
        <v>0</v>
      </c>
      <c r="P611" s="15" t="n">
        <v>0</v>
      </c>
      <c r="Q611" s="15" t="n">
        <v>0</v>
      </c>
      <c r="R611" s="15" t="n">
        <v>0</v>
      </c>
      <c r="S611" s="15" t="n">
        <v>9</v>
      </c>
      <c r="T611" s="14">
        <f>IF(COUNT(I611:S611)=0,"",SUM(I611:S611))</f>
        <v/>
      </c>
      <c r="U611" t="inlineStr"/>
    </row>
    <row r="612">
      <c r="A612" t="inlineStr">
        <is>
          <t>캥마쿵쿵어린이집</t>
        </is>
      </c>
      <c r="B612" t="inlineStr">
        <is>
          <t>어린이집</t>
        </is>
      </c>
      <c r="C612" t="inlineStr">
        <is>
          <t>협동</t>
        </is>
      </c>
      <c r="D612" t="inlineStr">
        <is>
          <t>부산진구</t>
        </is>
      </c>
      <c r="E612" t="inlineStr">
        <is>
          <t>부산광역시 부산진구 백양산로 70 공동주택관리동</t>
        </is>
      </c>
      <c r="F612" s="11" t="inlineStr">
        <is>
          <t>https://cafe.naver.com/kmkungkung</t>
        </is>
      </c>
      <c r="G612" t="inlineStr">
        <is>
          <t>051-803-0805</t>
        </is>
      </c>
      <c r="H612" s="15" t="n">
        <v>20</v>
      </c>
      <c r="I612" s="15" t="n">
        <v>0</v>
      </c>
      <c r="J612" s="15" t="n">
        <v>0</v>
      </c>
      <c r="K612" s="15" t="n">
        <v>0</v>
      </c>
      <c r="L612" s="15" t="n">
        <v>0</v>
      </c>
      <c r="M612" s="15" t="n">
        <v>0</v>
      </c>
      <c r="N612" s="15" t="n">
        <v>0</v>
      </c>
      <c r="O612" s="15" t="n">
        <v>4</v>
      </c>
      <c r="P612" s="15" t="n">
        <v>7</v>
      </c>
      <c r="Q612" s="15" t="n">
        <v>0</v>
      </c>
      <c r="R612" s="15" t="n">
        <v>0</v>
      </c>
      <c r="S612" s="15" t="n">
        <v>4</v>
      </c>
      <c r="T612" s="14">
        <f>IF(COUNT(I612:S612)=0,"",SUM(I612:S612))</f>
        <v/>
      </c>
      <c r="U612" t="inlineStr"/>
    </row>
    <row r="613">
      <c r="A613" t="inlineStr">
        <is>
          <t>코레일부산어린이집</t>
        </is>
      </c>
      <c r="B613" t="inlineStr">
        <is>
          <t>어린이집</t>
        </is>
      </c>
      <c r="C613" t="inlineStr">
        <is>
          <t>직장</t>
        </is>
      </c>
      <c r="D613" t="inlineStr">
        <is>
          <t>부산진구</t>
        </is>
      </c>
      <c r="E613" t="inlineStr">
        <is>
          <t>부산광역시 부산진구 백양대로 49  (당감동)</t>
        </is>
      </c>
      <c r="F613" s="11" t="inlineStr">
        <is>
          <t>http://www.puruni.com/korailpusan</t>
        </is>
      </c>
      <c r="G613" t="inlineStr">
        <is>
          <t>051-896-3325</t>
        </is>
      </c>
      <c r="H613" s="15" t="n">
        <v>57</v>
      </c>
      <c r="I613" s="15" t="n">
        <v>0</v>
      </c>
      <c r="J613" s="15" t="n">
        <v>7</v>
      </c>
      <c r="K613" s="15" t="n">
        <v>8</v>
      </c>
      <c r="L613" s="15" t="n">
        <v>11</v>
      </c>
      <c r="M613" s="15" t="n">
        <v>0</v>
      </c>
      <c r="N613" s="15" t="n">
        <v>0</v>
      </c>
      <c r="O613" s="15" t="n">
        <v>0</v>
      </c>
      <c r="P613" s="15" t="n">
        <v>3</v>
      </c>
      <c r="Q613" s="15" t="n">
        <v>0</v>
      </c>
      <c r="R613" s="15" t="n">
        <v>0</v>
      </c>
      <c r="S613" s="15" t="n">
        <v>22</v>
      </c>
      <c r="T613" s="14">
        <f>IF(COUNT(I613:S613)=0,"",SUM(I613:S613))</f>
        <v/>
      </c>
      <c r="U613" t="inlineStr"/>
    </row>
    <row r="614">
      <c r="A614" t="inlineStr">
        <is>
          <t>키즈웰어린이집</t>
        </is>
      </c>
      <c r="B614" t="inlineStr">
        <is>
          <t>어린이집</t>
        </is>
      </c>
      <c r="C614" t="inlineStr">
        <is>
          <t>민간</t>
        </is>
      </c>
      <c r="D614" t="inlineStr">
        <is>
          <t>부산진구</t>
        </is>
      </c>
      <c r="E614" t="inlineStr">
        <is>
          <t>부산광역시 부산진구 초연로 11 연지동 연지자이2차아파트 관리동</t>
        </is>
      </c>
      <c r="F614" t="inlineStr"/>
      <c r="G614" t="inlineStr">
        <is>
          <t>051-816-3296</t>
        </is>
      </c>
      <c r="H614" s="15" t="n">
        <v>47</v>
      </c>
      <c r="I614" s="15" t="n">
        <v>6</v>
      </c>
      <c r="J614" s="15" t="n">
        <v>20</v>
      </c>
      <c r="K614" s="15" t="n">
        <v>21</v>
      </c>
      <c r="L614" s="15" t="n">
        <v>0</v>
      </c>
      <c r="M614" s="15" t="n">
        <v>0</v>
      </c>
      <c r="N614" s="15" t="n">
        <v>0</v>
      </c>
      <c r="O614" s="15" t="n">
        <v>0</v>
      </c>
      <c r="P614" s="15" t="n">
        <v>0</v>
      </c>
      <c r="Q614" s="15" t="n">
        <v>0</v>
      </c>
      <c r="R614" s="15" t="n">
        <v>0</v>
      </c>
      <c r="S614" s="15" t="n">
        <v>5</v>
      </c>
      <c r="T614" s="14">
        <f>IF(COUNT(I614:S614)=0,"",SUM(I614:S614))</f>
        <v/>
      </c>
      <c r="U614" t="inlineStr"/>
    </row>
    <row r="615">
      <c r="A615" t="inlineStr">
        <is>
          <t>파크스위트어린이집</t>
        </is>
      </c>
      <c r="B615" t="inlineStr">
        <is>
          <t>어린이집</t>
        </is>
      </c>
      <c r="C615" t="inlineStr">
        <is>
          <t>국공립</t>
        </is>
      </c>
      <c r="D615" t="inlineStr">
        <is>
          <t>부산진구</t>
        </is>
      </c>
      <c r="E615" t="inlineStr">
        <is>
          <t>부산광역시 부산진구 동평로 162 312동 1층(부암동,서면동일파크스위트3차 아파트)</t>
        </is>
      </c>
      <c r="F615" t="inlineStr"/>
      <c r="G615" t="inlineStr">
        <is>
          <t>051-802-0368</t>
        </is>
      </c>
      <c r="H615" s="15" t="n">
        <v>49</v>
      </c>
      <c r="I615" s="15" t="n">
        <v>4</v>
      </c>
      <c r="J615" s="15" t="n">
        <v>28</v>
      </c>
      <c r="K615" s="15" t="n">
        <v>14</v>
      </c>
      <c r="L615" s="15" t="n">
        <v>0</v>
      </c>
      <c r="M615" s="15" t="n">
        <v>0</v>
      </c>
      <c r="N615" s="15" t="n">
        <v>0</v>
      </c>
      <c r="O615" s="15" t="n">
        <v>0</v>
      </c>
      <c r="P615" s="15" t="n">
        <v>0</v>
      </c>
      <c r="Q615" s="15" t="n">
        <v>0</v>
      </c>
      <c r="R615" s="15" t="n">
        <v>0</v>
      </c>
      <c r="S615" s="15" t="n">
        <v>5</v>
      </c>
      <c r="T615" s="14">
        <f>IF(COUNT(I615:S615)=0,"",SUM(I615:S615))</f>
        <v/>
      </c>
      <c r="U615" t="inlineStr"/>
    </row>
    <row r="616">
      <c r="A616" t="inlineStr">
        <is>
          <t>포레나숲어린이집</t>
        </is>
      </c>
      <c r="B616" t="inlineStr">
        <is>
          <t>어린이집</t>
        </is>
      </c>
      <c r="C616" t="inlineStr">
        <is>
          <t>국공립</t>
        </is>
      </c>
      <c r="D616" t="inlineStr">
        <is>
          <t>부산진구</t>
        </is>
      </c>
      <c r="E616" t="inlineStr">
        <is>
          <t>부산광역시 부산진구 초연로 6 포레나부산초읍</t>
        </is>
      </c>
      <c r="F616" t="inlineStr"/>
      <c r="G616" t="inlineStr">
        <is>
          <t>051-710-1711</t>
        </is>
      </c>
      <c r="H616" s="15" t="n">
        <v>53</v>
      </c>
      <c r="I616" s="15" t="n">
        <v>0</v>
      </c>
      <c r="J616" s="15" t="n">
        <v>16</v>
      </c>
      <c r="K616" s="15" t="n">
        <v>24</v>
      </c>
      <c r="L616" s="15" t="n">
        <v>0</v>
      </c>
      <c r="M616" s="15" t="n">
        <v>0</v>
      </c>
      <c r="N616" s="15" t="n">
        <v>0</v>
      </c>
      <c r="O616" s="15" t="n">
        <v>0</v>
      </c>
      <c r="P616" s="15" t="n">
        <v>0</v>
      </c>
      <c r="Q616" s="15" t="n">
        <v>0</v>
      </c>
      <c r="R616" s="15" t="n">
        <v>0</v>
      </c>
      <c r="S616" s="15" t="n">
        <v>0</v>
      </c>
      <c r="T616" s="14">
        <f>IF(COUNT(I616:S616)=0,"",SUM(I616:S616))</f>
        <v/>
      </c>
      <c r="U616" t="inlineStr"/>
    </row>
    <row r="617">
      <c r="A617" t="inlineStr">
        <is>
          <t>피터팬어린이집</t>
        </is>
      </c>
      <c r="B617" t="inlineStr">
        <is>
          <t>어린이집</t>
        </is>
      </c>
      <c r="C617" t="inlineStr">
        <is>
          <t>가정</t>
        </is>
      </c>
      <c r="D617" t="inlineStr">
        <is>
          <t>부산진구</t>
        </is>
      </c>
      <c r="E617" t="inlineStr">
        <is>
          <t>부산광역시 부산진구 백양관문로77번길 55 104동 108호(개금동, 동원화인아파트)</t>
        </is>
      </c>
      <c r="F617" t="inlineStr"/>
      <c r="G617" t="inlineStr">
        <is>
          <t>051-896-7131</t>
        </is>
      </c>
      <c r="H617" s="15" t="n">
        <v>20</v>
      </c>
      <c r="I617" s="15" t="n">
        <v>3</v>
      </c>
      <c r="J617" s="15" t="n">
        <v>4</v>
      </c>
      <c r="K617" s="15" t="n">
        <v>10</v>
      </c>
      <c r="L617" s="15" t="n">
        <v>0</v>
      </c>
      <c r="M617" s="15" t="n">
        <v>0</v>
      </c>
      <c r="N617" s="15" t="n">
        <v>0</v>
      </c>
      <c r="O617" s="15" t="n">
        <v>0</v>
      </c>
      <c r="P617" s="15" t="n">
        <v>0</v>
      </c>
      <c r="Q617" s="15" t="n">
        <v>0</v>
      </c>
      <c r="R617" s="15" t="n">
        <v>0</v>
      </c>
      <c r="S617" s="15" t="n">
        <v>3</v>
      </c>
      <c r="T617" s="14">
        <f>IF(COUNT(I617:S617)=0,"",SUM(I617:S617))</f>
        <v/>
      </c>
      <c r="U617" t="inlineStr"/>
    </row>
    <row r="618">
      <c r="A618" t="inlineStr">
        <is>
          <t>하늘채포레스원어린이집</t>
        </is>
      </c>
      <c r="B618" t="inlineStr">
        <is>
          <t>어린이집</t>
        </is>
      </c>
      <c r="C618" t="inlineStr">
        <is>
          <t>국공립</t>
        </is>
      </c>
      <c r="D618" t="inlineStr">
        <is>
          <t>부산진구</t>
        </is>
      </c>
      <c r="E618" t="inlineStr">
        <is>
          <t>부산광역시 부산진구 성지로 117 초읍하늘채포레스원아파트</t>
        </is>
      </c>
      <c r="F618" t="inlineStr"/>
      <c r="G618" t="inlineStr">
        <is>
          <t>051-711-5901</t>
        </is>
      </c>
      <c r="H618" s="15" t="n">
        <v>65</v>
      </c>
      <c r="I618" s="15" t="n">
        <v>0</v>
      </c>
      <c r="J618" s="15" t="n">
        <v>22</v>
      </c>
      <c r="K618" s="15" t="n">
        <v>27</v>
      </c>
      <c r="L618" s="15" t="n">
        <v>8</v>
      </c>
      <c r="M618" s="15" t="n">
        <v>0</v>
      </c>
      <c r="N618" s="15" t="n">
        <v>0</v>
      </c>
      <c r="O618" s="15" t="n">
        <v>0</v>
      </c>
      <c r="P618" s="15" t="n">
        <v>0</v>
      </c>
      <c r="Q618" s="15" t="n">
        <v>0</v>
      </c>
      <c r="R618" s="15" t="n">
        <v>0</v>
      </c>
      <c r="S618" s="15" t="n">
        <v>17</v>
      </c>
      <c r="T618" s="14">
        <f>IF(COUNT(I618:S618)=0,"",SUM(I618:S618))</f>
        <v/>
      </c>
      <c r="U618" t="inlineStr"/>
    </row>
    <row r="619">
      <c r="A619" t="inlineStr">
        <is>
          <t>한국어린이집</t>
        </is>
      </c>
      <c r="B619" t="inlineStr">
        <is>
          <t>어린이집</t>
        </is>
      </c>
      <c r="C619" t="inlineStr">
        <is>
          <t>민간</t>
        </is>
      </c>
      <c r="D619" t="inlineStr">
        <is>
          <t>부산진구</t>
        </is>
      </c>
      <c r="E619" t="inlineStr">
        <is>
          <t>부산광역시 부산진구 동평로94번길 39 (당감동)</t>
        </is>
      </c>
      <c r="F619" t="inlineStr"/>
      <c r="G619" t="inlineStr">
        <is>
          <t>051-898-0077</t>
        </is>
      </c>
      <c r="H619" s="15" t="n">
        <v>84</v>
      </c>
      <c r="I619" s="15" t="n">
        <v>12</v>
      </c>
      <c r="J619" s="15" t="n">
        <v>17</v>
      </c>
      <c r="K619" s="15" t="n">
        <v>16</v>
      </c>
      <c r="L619" s="15" t="n">
        <v>6</v>
      </c>
      <c r="M619" s="15" t="n">
        <v>0</v>
      </c>
      <c r="N619" s="15" t="n">
        <v>0</v>
      </c>
      <c r="O619" s="15" t="n">
        <v>0</v>
      </c>
      <c r="P619" s="15" t="n">
        <v>11</v>
      </c>
      <c r="Q619" s="15" t="n">
        <v>0</v>
      </c>
      <c r="R619" s="15" t="n">
        <v>0</v>
      </c>
      <c r="S619" s="15" t="n">
        <v>5</v>
      </c>
      <c r="T619" s="14">
        <f>IF(COUNT(I619:S619)=0,"",SUM(I619:S619))</f>
        <v/>
      </c>
      <c r="U619" t="inlineStr"/>
    </row>
    <row r="620">
      <c r="A620" t="inlineStr">
        <is>
          <t>한나어린이집</t>
        </is>
      </c>
      <c r="B620" t="inlineStr">
        <is>
          <t>어린이집</t>
        </is>
      </c>
      <c r="C620" t="inlineStr">
        <is>
          <t>민간</t>
        </is>
      </c>
      <c r="D620" t="inlineStr">
        <is>
          <t>부산진구</t>
        </is>
      </c>
      <c r="E620" t="inlineStr">
        <is>
          <t>부산광역시 부산진구 가야대로755번길 70 (부전동)</t>
        </is>
      </c>
      <c r="F620" s="11" t="inlineStr">
        <is>
          <t>http://http;//www.kmj830857@naver.com</t>
        </is>
      </c>
      <c r="G620" t="inlineStr">
        <is>
          <t>051-802-0020</t>
        </is>
      </c>
      <c r="H620" s="15" t="n">
        <v>95</v>
      </c>
      <c r="I620" s="15" t="n">
        <v>10</v>
      </c>
      <c r="J620" s="15" t="n">
        <v>13</v>
      </c>
      <c r="K620" s="15" t="n">
        <v>14</v>
      </c>
      <c r="L620" s="15" t="n">
        <v>17</v>
      </c>
      <c r="M620" s="15" t="n">
        <v>0</v>
      </c>
      <c r="N620" s="15" t="n">
        <v>0</v>
      </c>
      <c r="O620" s="15" t="n">
        <v>0</v>
      </c>
      <c r="P620" s="15" t="n">
        <v>18</v>
      </c>
      <c r="Q620" s="15" t="n">
        <v>0</v>
      </c>
      <c r="R620" s="15" t="n">
        <v>0</v>
      </c>
      <c r="S620" s="15" t="n">
        <v>12</v>
      </c>
      <c r="T620" s="14">
        <f>IF(COUNT(I620:S620)=0,"",SUM(I620:S620))</f>
        <v/>
      </c>
      <c r="U620" t="inlineStr"/>
    </row>
    <row r="621">
      <c r="A621" t="inlineStr">
        <is>
          <t>한솔어린이집</t>
        </is>
      </c>
      <c r="B621" t="inlineStr">
        <is>
          <t>어린이집</t>
        </is>
      </c>
      <c r="C621" t="inlineStr">
        <is>
          <t>민간</t>
        </is>
      </c>
      <c r="D621" t="inlineStr">
        <is>
          <t>부산진구</t>
        </is>
      </c>
      <c r="E621" t="inlineStr">
        <is>
          <t>부산광역시 부산진구 가야공원로40번길 10 (가야동)</t>
        </is>
      </c>
      <c r="F621" t="inlineStr"/>
      <c r="G621" t="inlineStr">
        <is>
          <t>051-893-0861</t>
        </is>
      </c>
      <c r="H621" s="15" t="n">
        <v>39</v>
      </c>
      <c r="I621" s="15" t="n">
        <v>2</v>
      </c>
      <c r="J621" s="15" t="n">
        <v>0</v>
      </c>
      <c r="K621" s="15" t="n">
        <v>5</v>
      </c>
      <c r="L621" s="15" t="n">
        <v>0</v>
      </c>
      <c r="M621" s="15" t="n">
        <v>0</v>
      </c>
      <c r="N621" s="15" t="n">
        <v>0</v>
      </c>
      <c r="O621" s="15" t="n">
        <v>2</v>
      </c>
      <c r="P621" s="15" t="n">
        <v>0</v>
      </c>
      <c r="Q621" s="15" t="n">
        <v>0</v>
      </c>
      <c r="R621" s="15" t="n">
        <v>0</v>
      </c>
      <c r="S621" s="15" t="n">
        <v>6</v>
      </c>
      <c r="T621" s="14">
        <f>IF(COUNT(I621:S621)=0,"",SUM(I621:S621))</f>
        <v/>
      </c>
      <c r="U621" t="inlineStr"/>
    </row>
    <row r="622">
      <c r="A622" t="inlineStr">
        <is>
          <t>해그림어린이집</t>
        </is>
      </c>
      <c r="B622" t="inlineStr">
        <is>
          <t>어린이집</t>
        </is>
      </c>
      <c r="C622" t="inlineStr">
        <is>
          <t>가정</t>
        </is>
      </c>
      <c r="D622" t="inlineStr">
        <is>
          <t>부산진구</t>
        </is>
      </c>
      <c r="E622" t="inlineStr">
        <is>
          <t>부산광역시 부산진구 복지로 70 개금2동 현대아이아파트 215동104호</t>
        </is>
      </c>
      <c r="F622" t="inlineStr"/>
      <c r="G622" t="inlineStr">
        <is>
          <t>051-898-3336</t>
        </is>
      </c>
      <c r="H622" s="15" t="n">
        <v>17</v>
      </c>
      <c r="I622" s="15" t="n">
        <v>2</v>
      </c>
      <c r="J622" s="15" t="n">
        <v>5</v>
      </c>
      <c r="K622" s="15" t="n">
        <v>7</v>
      </c>
      <c r="L622" s="15" t="n">
        <v>0</v>
      </c>
      <c r="M622" s="15" t="n">
        <v>0</v>
      </c>
      <c r="N622" s="15" t="n">
        <v>0</v>
      </c>
      <c r="O622" s="15" t="n">
        <v>0</v>
      </c>
      <c r="P622" s="15" t="n">
        <v>0</v>
      </c>
      <c r="Q622" s="15" t="n">
        <v>0</v>
      </c>
      <c r="R622" s="15" t="n">
        <v>0</v>
      </c>
      <c r="S622" s="15" t="n">
        <v>5</v>
      </c>
      <c r="T622" s="14">
        <f>IF(COUNT(I622:S622)=0,"",SUM(I622:S622))</f>
        <v/>
      </c>
      <c r="U622" t="inlineStr"/>
    </row>
    <row r="623">
      <c r="A623" t="inlineStr">
        <is>
          <t>해바라기어린이집</t>
        </is>
      </c>
      <c r="B623" t="inlineStr">
        <is>
          <t>어린이집</t>
        </is>
      </c>
      <c r="C623" t="inlineStr">
        <is>
          <t>민간</t>
        </is>
      </c>
      <c r="D623" t="inlineStr">
        <is>
          <t>부산진구</t>
        </is>
      </c>
      <c r="E623" t="inlineStr">
        <is>
          <t>부산광역시 부산진구 개금본동로9번길 41 (개금동)</t>
        </is>
      </c>
      <c r="F623" t="inlineStr"/>
      <c r="G623" t="inlineStr">
        <is>
          <t>051-892-5400</t>
        </is>
      </c>
      <c r="H623" s="15" t="n">
        <v>96</v>
      </c>
      <c r="I623" s="15" t="n">
        <v>7</v>
      </c>
      <c r="J623" s="15" t="n">
        <v>14</v>
      </c>
      <c r="K623" s="15" t="n">
        <v>20</v>
      </c>
      <c r="L623" s="15" t="n">
        <v>17</v>
      </c>
      <c r="M623" s="15" t="n">
        <v>0</v>
      </c>
      <c r="N623" s="15" t="n">
        <v>0</v>
      </c>
      <c r="O623" s="15" t="n">
        <v>0</v>
      </c>
      <c r="P623" s="15" t="n">
        <v>0</v>
      </c>
      <c r="Q623" s="15" t="n">
        <v>0</v>
      </c>
      <c r="R623" s="15" t="n">
        <v>0</v>
      </c>
      <c r="S623" s="15" t="n">
        <v>5</v>
      </c>
      <c r="T623" s="14">
        <f>IF(COUNT(I623:S623)=0,"",SUM(I623:S623))</f>
        <v/>
      </c>
      <c r="U623" t="inlineStr"/>
    </row>
    <row r="624">
      <c r="A624" t="inlineStr">
        <is>
          <t>해피아이어린이집</t>
        </is>
      </c>
      <c r="B624" t="inlineStr">
        <is>
          <t>어린이집</t>
        </is>
      </c>
      <c r="C624" t="inlineStr">
        <is>
          <t>민간</t>
        </is>
      </c>
      <c r="D624" t="inlineStr">
        <is>
          <t>부산진구</t>
        </is>
      </c>
      <c r="E624" t="inlineStr">
        <is>
          <t>부산광역시 부산진구 가야대로 702 서면e편한세상 관리동 (범천동)</t>
        </is>
      </c>
      <c r="F624" t="inlineStr"/>
      <c r="G624" t="inlineStr">
        <is>
          <t>051-819-6654</t>
        </is>
      </c>
      <c r="H624" s="15" t="n">
        <v>35</v>
      </c>
      <c r="I624" s="15" t="n">
        <v>8</v>
      </c>
      <c r="J624" s="15" t="n">
        <v>13</v>
      </c>
      <c r="K624" s="15" t="n">
        <v>14</v>
      </c>
      <c r="L624" s="15" t="n">
        <v>0</v>
      </c>
      <c r="M624" s="15" t="n">
        <v>0</v>
      </c>
      <c r="N624" s="15" t="n">
        <v>0</v>
      </c>
      <c r="O624" s="15" t="n">
        <v>0</v>
      </c>
      <c r="P624" s="15" t="n">
        <v>0</v>
      </c>
      <c r="Q624" s="15" t="n">
        <v>0</v>
      </c>
      <c r="R624" s="15" t="n">
        <v>0</v>
      </c>
      <c r="S624" s="15" t="n">
        <v>3</v>
      </c>
      <c r="T624" s="14">
        <f>IF(COUNT(I624:S624)=0,"",SUM(I624:S624))</f>
        <v/>
      </c>
      <c r="U624" t="inlineStr"/>
    </row>
    <row r="625">
      <c r="A625" t="inlineStr">
        <is>
          <t>햇살나무어린이집</t>
        </is>
      </c>
      <c r="B625" t="inlineStr">
        <is>
          <t>어린이집</t>
        </is>
      </c>
      <c r="C625" t="inlineStr">
        <is>
          <t>가정</t>
        </is>
      </c>
      <c r="D625" t="inlineStr">
        <is>
          <t>부산진구</t>
        </is>
      </c>
      <c r="E625" t="inlineStr">
        <is>
          <t>부산광역시 부산진구 동평로291번길 30 103-103(연지, 화인연지)</t>
        </is>
      </c>
      <c r="F625" t="inlineStr"/>
      <c r="G625" t="inlineStr">
        <is>
          <t>051-924-0034</t>
        </is>
      </c>
      <c r="H625" s="15" t="n">
        <v>13</v>
      </c>
      <c r="I625" s="15" t="n">
        <v>3</v>
      </c>
      <c r="J625" s="15" t="n">
        <v>5</v>
      </c>
      <c r="K625" s="15" t="n">
        <v>0</v>
      </c>
      <c r="L625" s="15" t="n">
        <v>0</v>
      </c>
      <c r="M625" s="15" t="n">
        <v>0</v>
      </c>
      <c r="N625" s="15" t="n">
        <v>0</v>
      </c>
      <c r="O625" s="15" t="n">
        <v>5</v>
      </c>
      <c r="P625" s="15" t="n">
        <v>0</v>
      </c>
      <c r="Q625" s="15" t="n">
        <v>0</v>
      </c>
      <c r="R625" s="15" t="n">
        <v>0</v>
      </c>
      <c r="S625" s="15" t="n">
        <v>3</v>
      </c>
      <c r="T625" s="14">
        <f>IF(COUNT(I625:S625)=0,"",SUM(I625:S625))</f>
        <v/>
      </c>
      <c r="U625" t="inlineStr"/>
    </row>
    <row r="626">
      <c r="A626" t="inlineStr">
        <is>
          <t>햇살어린이집</t>
        </is>
      </c>
      <c r="B626" t="inlineStr">
        <is>
          <t>어린이집</t>
        </is>
      </c>
      <c r="C626" t="inlineStr">
        <is>
          <t>가정</t>
        </is>
      </c>
      <c r="D626" t="inlineStr">
        <is>
          <t>부산진구</t>
        </is>
      </c>
      <c r="E626" t="inlineStr">
        <is>
          <t>부산광역시 부산진구 백양관문로 104 8동 101호 (당감동, 국제백양아파트)</t>
        </is>
      </c>
      <c r="F626" t="inlineStr"/>
      <c r="G626" t="inlineStr">
        <is>
          <t>051-897-7127</t>
        </is>
      </c>
      <c r="H626" s="15" t="n">
        <v>19</v>
      </c>
      <c r="I626" s="15" t="n">
        <v>1</v>
      </c>
      <c r="J626" s="15" t="n">
        <v>0</v>
      </c>
      <c r="K626" s="15" t="n">
        <v>5</v>
      </c>
      <c r="L626" s="15" t="n">
        <v>0</v>
      </c>
      <c r="M626" s="15" t="n">
        <v>0</v>
      </c>
      <c r="N626" s="15" t="n">
        <v>0</v>
      </c>
      <c r="O626" s="15" t="n">
        <v>0</v>
      </c>
      <c r="P626" s="15" t="n">
        <v>0</v>
      </c>
      <c r="Q626" s="15" t="n">
        <v>0</v>
      </c>
      <c r="R626" s="15" t="n">
        <v>0</v>
      </c>
      <c r="S626" s="15" t="n">
        <v>5</v>
      </c>
      <c r="T626" s="14">
        <f>IF(COUNT(I626:S626)=0,"",SUM(I626:S626))</f>
        <v/>
      </c>
      <c r="U626" t="inlineStr"/>
    </row>
    <row r="627">
      <c r="A627" t="inlineStr">
        <is>
          <t>행복한어린이집</t>
        </is>
      </c>
      <c r="B627" t="inlineStr">
        <is>
          <t>어린이집</t>
        </is>
      </c>
      <c r="C627" t="inlineStr">
        <is>
          <t>민간</t>
        </is>
      </c>
      <c r="D627" t="inlineStr">
        <is>
          <t>부산진구</t>
        </is>
      </c>
      <c r="E627" t="inlineStr">
        <is>
          <t>부산광역시 부산진구 가야대로668번길 13 (가야동)</t>
        </is>
      </c>
      <c r="F627" t="inlineStr"/>
      <c r="G627" t="inlineStr">
        <is>
          <t>051-891-3464</t>
        </is>
      </c>
      <c r="H627" s="15" t="n">
        <v>39</v>
      </c>
      <c r="I627" s="15" t="n">
        <v>6</v>
      </c>
      <c r="J627" s="15" t="n">
        <v>4</v>
      </c>
      <c r="K627" s="15" t="n">
        <v>4</v>
      </c>
      <c r="L627" s="15" t="n">
        <v>0</v>
      </c>
      <c r="M627" s="15" t="n">
        <v>0</v>
      </c>
      <c r="N627" s="15" t="n">
        <v>0</v>
      </c>
      <c r="O627" s="15" t="n">
        <v>0</v>
      </c>
      <c r="P627" s="15" t="n">
        <v>0</v>
      </c>
      <c r="Q627" s="15" t="n">
        <v>0</v>
      </c>
      <c r="R627" s="15" t="n">
        <v>0</v>
      </c>
      <c r="S627" s="15" t="n">
        <v>3</v>
      </c>
      <c r="T627" s="14">
        <f>IF(COUNT(I627:S627)=0,"",SUM(I627:S627))</f>
        <v/>
      </c>
      <c r="U627" t="inlineStr"/>
    </row>
    <row r="628">
      <c r="A628" t="inlineStr">
        <is>
          <t>향기어린이집</t>
        </is>
      </c>
      <c r="B628" t="inlineStr">
        <is>
          <t>어린이집</t>
        </is>
      </c>
      <c r="C628" t="inlineStr">
        <is>
          <t>사회복지법인</t>
        </is>
      </c>
      <c r="D628" t="inlineStr">
        <is>
          <t>부산진구</t>
        </is>
      </c>
      <c r="E628" t="inlineStr">
        <is>
          <t>부산광역시 부산진구 백양대로136번길 37-20  (당감동)</t>
        </is>
      </c>
      <c r="F628" s="11" t="inlineStr">
        <is>
          <t>http://cafe.naver.com/gidrl8952345</t>
        </is>
      </c>
      <c r="G628" t="inlineStr">
        <is>
          <t>051-895-2345</t>
        </is>
      </c>
      <c r="H628" s="15" t="n">
        <v>45</v>
      </c>
      <c r="I628" s="15" t="n">
        <v>0</v>
      </c>
      <c r="J628" s="15" t="n">
        <v>0</v>
      </c>
      <c r="K628" s="15" t="n">
        <v>0</v>
      </c>
      <c r="L628" s="15" t="n">
        <v>0</v>
      </c>
      <c r="M628" s="15" t="n">
        <v>0</v>
      </c>
      <c r="N628" s="15" t="n">
        <v>0</v>
      </c>
      <c r="O628" s="15" t="n">
        <v>0</v>
      </c>
      <c r="P628" s="15" t="n">
        <v>0</v>
      </c>
      <c r="Q628" s="15" t="n">
        <v>0</v>
      </c>
      <c r="R628" s="15" t="n">
        <v>29</v>
      </c>
      <c r="S628" s="15" t="n">
        <v>3</v>
      </c>
      <c r="T628" s="14">
        <f>IF(COUNT(I628:S628)=0,"",SUM(I628:S628))</f>
        <v/>
      </c>
      <c r="U628" t="inlineStr"/>
    </row>
    <row r="629">
      <c r="A629" t="inlineStr">
        <is>
          <t>현대아이어린이집</t>
        </is>
      </c>
      <c r="B629" t="inlineStr">
        <is>
          <t>어린이집</t>
        </is>
      </c>
      <c r="C629" t="inlineStr">
        <is>
          <t>가정</t>
        </is>
      </c>
      <c r="D629" t="inlineStr">
        <is>
          <t>부산진구</t>
        </is>
      </c>
      <c r="E629" t="inlineStr">
        <is>
          <t>부산광역시 부산진구 복지로 70 207동 101호(개금동, 현대아이아파트)</t>
        </is>
      </c>
      <c r="F629" t="inlineStr"/>
      <c r="G629" t="inlineStr">
        <is>
          <t>051-897-6073</t>
        </is>
      </c>
      <c r="H629" s="15" t="n">
        <v>19</v>
      </c>
      <c r="I629" s="15" t="n">
        <v>3</v>
      </c>
      <c r="J629" s="15" t="n">
        <v>5</v>
      </c>
      <c r="K629" s="15" t="n">
        <v>7</v>
      </c>
      <c r="L629" s="15" t="n">
        <v>0</v>
      </c>
      <c r="M629" s="15" t="n">
        <v>0</v>
      </c>
      <c r="N629" s="15" t="n">
        <v>0</v>
      </c>
      <c r="O629" s="15" t="n">
        <v>4</v>
      </c>
      <c r="P629" s="15" t="n">
        <v>0</v>
      </c>
      <c r="Q629" s="15" t="n">
        <v>0</v>
      </c>
      <c r="R629" s="15" t="n">
        <v>0</v>
      </c>
      <c r="S629" s="15" t="n">
        <v>5</v>
      </c>
      <c r="T629" s="14">
        <f>IF(COUNT(I629:S629)=0,"",SUM(I629:S629))</f>
        <v/>
      </c>
      <c r="U629" t="inlineStr"/>
    </row>
    <row r="630">
      <c r="A630" t="inlineStr">
        <is>
          <t>화승어린이집</t>
        </is>
      </c>
      <c r="B630" t="inlineStr">
        <is>
          <t>어린이집</t>
        </is>
      </c>
      <c r="C630" t="inlineStr">
        <is>
          <t>민간</t>
        </is>
      </c>
      <c r="D630" t="inlineStr">
        <is>
          <t>부산진구</t>
        </is>
      </c>
      <c r="E630" t="inlineStr">
        <is>
          <t>부산광역시 부산진구 당감로 79 화승삼성아파트 관리동 내 (부암동)</t>
        </is>
      </c>
      <c r="F630" t="inlineStr"/>
      <c r="G630" t="inlineStr">
        <is>
          <t>051-819-3306</t>
        </is>
      </c>
      <c r="H630" s="15" t="n">
        <v>46</v>
      </c>
      <c r="I630" s="15" t="n">
        <v>0</v>
      </c>
      <c r="J630" s="15" t="n">
        <v>10</v>
      </c>
      <c r="K630" s="15" t="n">
        <v>35</v>
      </c>
      <c r="L630" s="15" t="n">
        <v>0</v>
      </c>
      <c r="M630" s="15" t="n">
        <v>0</v>
      </c>
      <c r="N630" s="15" t="n">
        <v>0</v>
      </c>
      <c r="O630" s="15" t="n">
        <v>0</v>
      </c>
      <c r="P630" s="15" t="n">
        <v>0</v>
      </c>
      <c r="Q630" s="15" t="n">
        <v>0</v>
      </c>
      <c r="R630" s="15" t="n">
        <v>0</v>
      </c>
      <c r="S630" s="15" t="n">
        <v>0</v>
      </c>
      <c r="T630" s="14">
        <f>IF(COUNT(I630:S630)=0,"",SUM(I630:S630))</f>
        <v/>
      </c>
      <c r="U630" t="inlineStr"/>
    </row>
    <row r="631">
      <c r="A631" t="inlineStr">
        <is>
          <t>휴포레어린이집</t>
        </is>
      </c>
      <c r="B631" t="inlineStr">
        <is>
          <t>어린이집</t>
        </is>
      </c>
      <c r="C631" t="inlineStr">
        <is>
          <t>국공립</t>
        </is>
      </c>
      <c r="D631" t="inlineStr">
        <is>
          <t>부산진구</t>
        </is>
      </c>
      <c r="E631" t="inlineStr">
        <is>
          <t>부산광역시 부산진구 동평로 173 협성휴포레시티즌파크</t>
        </is>
      </c>
      <c r="F631" t="inlineStr"/>
      <c r="G631" t="inlineStr">
        <is>
          <t>051-807-0727</t>
        </is>
      </c>
      <c r="H631" s="15" t="n">
        <v>45</v>
      </c>
      <c r="I631" s="15" t="n">
        <v>5</v>
      </c>
      <c r="J631" s="15" t="n">
        <v>15</v>
      </c>
      <c r="K631" s="15" t="n">
        <v>19</v>
      </c>
      <c r="L631" s="15" t="n">
        <v>0</v>
      </c>
      <c r="M631" s="15" t="n">
        <v>0</v>
      </c>
      <c r="N631" s="15" t="n">
        <v>0</v>
      </c>
      <c r="O631" s="15" t="n">
        <v>0</v>
      </c>
      <c r="P631" s="15" t="n">
        <v>0</v>
      </c>
      <c r="Q631" s="15" t="n">
        <v>0</v>
      </c>
      <c r="R631" s="15" t="n">
        <v>0</v>
      </c>
      <c r="S631" s="15" t="n">
        <v>5</v>
      </c>
      <c r="T631" s="14">
        <f>IF(COUNT(I631:S631)=0,"",SUM(I631:S631))</f>
        <v/>
      </c>
      <c r="U631" t="inlineStr"/>
    </row>
    <row r="632">
      <c r="A632" t="inlineStr">
        <is>
          <t>21세기어린이집</t>
        </is>
      </c>
      <c r="B632" t="inlineStr">
        <is>
          <t>어린이집</t>
        </is>
      </c>
      <c r="C632" t="inlineStr">
        <is>
          <t>민간</t>
        </is>
      </c>
      <c r="D632" t="inlineStr">
        <is>
          <t>북구</t>
        </is>
      </c>
      <c r="E632" t="inlineStr">
        <is>
          <t>부산광역시 북구 금곡대로330번길 20 (화명동)</t>
        </is>
      </c>
      <c r="F632" t="inlineStr"/>
      <c r="G632" t="inlineStr">
        <is>
          <t>051-343-5201</t>
        </is>
      </c>
      <c r="H632" s="15" t="n">
        <v>70</v>
      </c>
      <c r="I632" s="15" t="n">
        <v>0</v>
      </c>
      <c r="J632" s="15" t="n">
        <v>0</v>
      </c>
      <c r="K632" s="15" t="n">
        <v>14</v>
      </c>
      <c r="L632" s="15" t="n">
        <v>47</v>
      </c>
      <c r="M632" s="15" t="n">
        <v>0</v>
      </c>
      <c r="N632" s="15" t="n">
        <v>0</v>
      </c>
      <c r="O632" s="15" t="n">
        <v>0</v>
      </c>
      <c r="P632" s="15" t="n">
        <v>0</v>
      </c>
      <c r="Q632" s="15" t="n">
        <v>0</v>
      </c>
      <c r="R632" s="15" t="n">
        <v>0</v>
      </c>
      <c r="S632" s="15" t="n">
        <v>22</v>
      </c>
      <c r="T632" s="14">
        <f>IF(COUNT(I632:S632)=0,"",SUM(I632:S632))</f>
        <v/>
      </c>
      <c r="U632" t="inlineStr"/>
    </row>
    <row r="633">
      <c r="A633" t="inlineStr">
        <is>
          <t>e편한세상 금정산어린이집</t>
        </is>
      </c>
      <c r="B633" t="inlineStr">
        <is>
          <t>어린이집</t>
        </is>
      </c>
      <c r="C633" t="inlineStr">
        <is>
          <t>국공립</t>
        </is>
      </c>
      <c r="D633" t="inlineStr">
        <is>
          <t>북구</t>
        </is>
      </c>
      <c r="E633" t="inlineStr">
        <is>
          <t>부산광역시 북구 상학로 36 관리동</t>
        </is>
      </c>
      <c r="F633" t="inlineStr"/>
      <c r="G633" t="inlineStr">
        <is>
          <t>051-989-2021</t>
        </is>
      </c>
      <c r="H633" s="15" t="n">
        <v>79</v>
      </c>
      <c r="I633" s="15" t="n">
        <v>0</v>
      </c>
      <c r="J633" s="15" t="n">
        <v>15</v>
      </c>
      <c r="K633" s="15" t="n">
        <v>19</v>
      </c>
      <c r="L633" s="15" t="n">
        <v>11</v>
      </c>
      <c r="M633" s="15" t="n">
        <v>17</v>
      </c>
      <c r="N633" s="15" t="n">
        <v>12</v>
      </c>
      <c r="O633" s="15" t="n">
        <v>0</v>
      </c>
      <c r="P633" s="15" t="n">
        <v>0</v>
      </c>
      <c r="Q633" s="15" t="n">
        <v>0</v>
      </c>
      <c r="R633" s="15" t="n">
        <v>0</v>
      </c>
      <c r="S633" s="15" t="n">
        <v>5</v>
      </c>
      <c r="T633" s="14">
        <f>IF(COUNT(I633:S633)=0,"",SUM(I633:S633))</f>
        <v/>
      </c>
      <c r="U633" t="inlineStr"/>
    </row>
    <row r="634">
      <c r="A634" t="inlineStr">
        <is>
          <t>가빈어린이집</t>
        </is>
      </c>
      <c r="B634" t="inlineStr">
        <is>
          <t>어린이집</t>
        </is>
      </c>
      <c r="C634" t="inlineStr">
        <is>
          <t>민간</t>
        </is>
      </c>
      <c r="D634" t="inlineStr">
        <is>
          <t>북구</t>
        </is>
      </c>
      <c r="E634" t="inlineStr">
        <is>
          <t>부산광역시 북구 만덕3로 19-1 (만덕동)</t>
        </is>
      </c>
      <c r="F634" t="inlineStr"/>
      <c r="G634" t="inlineStr">
        <is>
          <t>051-333-0025</t>
        </is>
      </c>
      <c r="H634" s="15" t="n">
        <v>72</v>
      </c>
      <c r="I634" s="15" t="n">
        <v>9</v>
      </c>
      <c r="J634" s="15" t="n">
        <v>15</v>
      </c>
      <c r="K634" s="15" t="n">
        <v>7</v>
      </c>
      <c r="L634" s="15" t="n">
        <v>7</v>
      </c>
      <c r="M634" s="15" t="n">
        <v>0</v>
      </c>
      <c r="N634" s="15" t="n">
        <v>0</v>
      </c>
      <c r="O634" s="15" t="n">
        <v>8</v>
      </c>
      <c r="P634" s="15" t="n">
        <v>13</v>
      </c>
      <c r="Q634" s="15" t="n">
        <v>0</v>
      </c>
      <c r="R634" s="15" t="n">
        <v>0</v>
      </c>
      <c r="S634" s="15" t="n">
        <v>18</v>
      </c>
      <c r="T634" s="14">
        <f>IF(COUNT(I634:S634)=0,"",SUM(I634:S634))</f>
        <v/>
      </c>
      <c r="U634" t="inlineStr"/>
    </row>
    <row r="635">
      <c r="A635" t="inlineStr">
        <is>
          <t>가온누리어린이집</t>
        </is>
      </c>
      <c r="B635" t="inlineStr">
        <is>
          <t>어린이집</t>
        </is>
      </c>
      <c r="C635" t="inlineStr">
        <is>
          <t>국공립</t>
        </is>
      </c>
      <c r="D635" t="inlineStr">
        <is>
          <t>북구</t>
        </is>
      </c>
      <c r="E635" t="inlineStr">
        <is>
          <t>부산광역시 북구 만덕1로104번가길 37</t>
        </is>
      </c>
      <c r="F635" t="inlineStr"/>
      <c r="G635" t="inlineStr">
        <is>
          <t>051-338-0027</t>
        </is>
      </c>
      <c r="H635" s="15" t="n">
        <v>42</v>
      </c>
      <c r="I635" s="15" t="n">
        <v>6</v>
      </c>
      <c r="J635" s="15" t="n">
        <v>15</v>
      </c>
      <c r="K635" s="15" t="n">
        <v>20</v>
      </c>
      <c r="L635" s="15" t="n">
        <v>0</v>
      </c>
      <c r="M635" s="15" t="n">
        <v>0</v>
      </c>
      <c r="N635" s="15" t="n">
        <v>0</v>
      </c>
      <c r="O635" s="15" t="n">
        <v>0</v>
      </c>
      <c r="P635" s="15" t="n">
        <v>0</v>
      </c>
      <c r="Q635" s="15" t="n">
        <v>0</v>
      </c>
      <c r="R635" s="15" t="n">
        <v>0</v>
      </c>
      <c r="S635" s="15" t="n">
        <v>5</v>
      </c>
      <c r="T635" s="14">
        <f>IF(COUNT(I635:S635)=0,"",SUM(I635:S635))</f>
        <v/>
      </c>
      <c r="U635" t="inlineStr"/>
    </row>
    <row r="636">
      <c r="A636" t="inlineStr">
        <is>
          <t>거목어린이집</t>
        </is>
      </c>
      <c r="B636" t="inlineStr">
        <is>
          <t>어린이집</t>
        </is>
      </c>
      <c r="C636" t="inlineStr">
        <is>
          <t>가정</t>
        </is>
      </c>
      <c r="D636" t="inlineStr">
        <is>
          <t>북구</t>
        </is>
      </c>
      <c r="E636" t="inlineStr">
        <is>
          <t>부산광역시 북구 화명신도시로 194 112동 104호(금곡동, 화명한일유앤아이)</t>
        </is>
      </c>
      <c r="F636" t="inlineStr"/>
      <c r="G636" t="inlineStr">
        <is>
          <t>051-361-0025</t>
        </is>
      </c>
      <c r="H636" s="15" t="n">
        <v>19</v>
      </c>
      <c r="I636" s="15" t="n">
        <v>4</v>
      </c>
      <c r="J636" s="15" t="n">
        <v>0</v>
      </c>
      <c r="K636" s="15" t="n">
        <v>0</v>
      </c>
      <c r="L636" s="15" t="n">
        <v>0</v>
      </c>
      <c r="M636" s="15" t="n">
        <v>0</v>
      </c>
      <c r="N636" s="15" t="n">
        <v>0</v>
      </c>
      <c r="O636" s="15" t="n">
        <v>7</v>
      </c>
      <c r="P636" s="15" t="n">
        <v>0</v>
      </c>
      <c r="Q636" s="15" t="n">
        <v>0</v>
      </c>
      <c r="R636" s="15" t="n">
        <v>0</v>
      </c>
      <c r="S636" s="15" t="n">
        <v>3</v>
      </c>
      <c r="T636" s="14">
        <f>IF(COUNT(I636:S636)=0,"",SUM(I636:S636))</f>
        <v/>
      </c>
      <c r="U636" t="inlineStr"/>
    </row>
    <row r="637">
      <c r="A637" t="inlineStr">
        <is>
          <t>국제어린이집</t>
        </is>
      </c>
      <c r="B637" t="inlineStr">
        <is>
          <t>어린이집</t>
        </is>
      </c>
      <c r="C637" t="inlineStr">
        <is>
          <t>민간</t>
        </is>
      </c>
      <c r="D637" t="inlineStr">
        <is>
          <t>북구</t>
        </is>
      </c>
      <c r="E637" t="inlineStr">
        <is>
          <t>부산광역시 북구 시랑로106번길 5 (구포동)</t>
        </is>
      </c>
      <c r="F637" s="11" t="inlineStr">
        <is>
          <t>http://cafe.daum.net/dream5009</t>
        </is>
      </c>
      <c r="G637" t="inlineStr">
        <is>
          <t>051-331-5009</t>
        </is>
      </c>
      <c r="H637" s="15" t="n">
        <v>32</v>
      </c>
      <c r="I637" s="15" t="n">
        <v>1</v>
      </c>
      <c r="J637" s="15" t="n">
        <v>0</v>
      </c>
      <c r="K637" s="15" t="n">
        <v>0</v>
      </c>
      <c r="L637" s="15" t="n">
        <v>6</v>
      </c>
      <c r="M637" s="15" t="n">
        <v>0</v>
      </c>
      <c r="N637" s="15" t="n">
        <v>0</v>
      </c>
      <c r="O637" s="15" t="n">
        <v>2</v>
      </c>
      <c r="P637" s="15" t="n">
        <v>10</v>
      </c>
      <c r="Q637" s="15" t="n">
        <v>0</v>
      </c>
      <c r="R637" s="15" t="n">
        <v>0</v>
      </c>
      <c r="S637" s="15" t="n">
        <v>19</v>
      </c>
      <c r="T637" s="14">
        <f>IF(COUNT(I637:S637)=0,"",SUM(I637:S637))</f>
        <v/>
      </c>
      <c r="U637" t="inlineStr"/>
    </row>
    <row r="638">
      <c r="A638" t="inlineStr">
        <is>
          <t>그린코아어린이집</t>
        </is>
      </c>
      <c r="B638" t="inlineStr">
        <is>
          <t>어린이집</t>
        </is>
      </c>
      <c r="C638" t="inlineStr">
        <is>
          <t>가정</t>
        </is>
      </c>
      <c r="D638" t="inlineStr">
        <is>
          <t>북구</t>
        </is>
      </c>
      <c r="E638" t="inlineStr">
        <is>
          <t>부산광역시 북구 덕천로234번길 41 105동 101호(만덕동, 그린코아)</t>
        </is>
      </c>
      <c r="F638" t="inlineStr"/>
      <c r="G638" t="inlineStr">
        <is>
          <t>051-332-7747</t>
        </is>
      </c>
      <c r="H638" s="15" t="n">
        <v>19</v>
      </c>
      <c r="I638" s="15" t="n">
        <v>6</v>
      </c>
      <c r="J638" s="15" t="n">
        <v>8</v>
      </c>
      <c r="K638" s="15" t="n">
        <v>5</v>
      </c>
      <c r="L638" s="15" t="n">
        <v>0</v>
      </c>
      <c r="M638" s="15" t="n">
        <v>0</v>
      </c>
      <c r="N638" s="15" t="n">
        <v>0</v>
      </c>
      <c r="O638" s="15" t="n">
        <v>0</v>
      </c>
      <c r="P638" s="15" t="n">
        <v>0</v>
      </c>
      <c r="Q638" s="15" t="n">
        <v>0</v>
      </c>
      <c r="R638" s="15" t="n">
        <v>0</v>
      </c>
      <c r="S638" s="15" t="n">
        <v>5</v>
      </c>
      <c r="T638" s="14">
        <f>IF(COUNT(I638:S638)=0,"",SUM(I638:S638))</f>
        <v/>
      </c>
      <c r="U638" t="inlineStr"/>
    </row>
    <row r="639">
      <c r="A639" t="inlineStr">
        <is>
          <t>금빛어린이집</t>
        </is>
      </c>
      <c r="B639" t="inlineStr">
        <is>
          <t>어린이집</t>
        </is>
      </c>
      <c r="C639" t="inlineStr">
        <is>
          <t>가정</t>
        </is>
      </c>
      <c r="D639" t="inlineStr">
        <is>
          <t>북구</t>
        </is>
      </c>
      <c r="E639" t="inlineStr">
        <is>
          <t>부산광역시 북구 금곡대로 268 307동 104호(화명동, 대림타운)</t>
        </is>
      </c>
      <c r="F639" t="inlineStr"/>
      <c r="G639" t="inlineStr">
        <is>
          <t>051-342-9223</t>
        </is>
      </c>
      <c r="H639" s="15" t="n">
        <v>20</v>
      </c>
      <c r="I639" s="15" t="n">
        <v>0</v>
      </c>
      <c r="J639" s="15" t="n">
        <v>4</v>
      </c>
      <c r="K639" s="15" t="n">
        <v>5</v>
      </c>
      <c r="L639" s="15" t="n">
        <v>0</v>
      </c>
      <c r="M639" s="15" t="n">
        <v>0</v>
      </c>
      <c r="N639" s="15" t="n">
        <v>0</v>
      </c>
      <c r="O639" s="15" t="n">
        <v>2</v>
      </c>
      <c r="P639" s="15" t="n">
        <v>0</v>
      </c>
      <c r="Q639" s="15" t="n">
        <v>0</v>
      </c>
      <c r="R639" s="15" t="n">
        <v>0</v>
      </c>
      <c r="S639" s="15" t="n">
        <v>3</v>
      </c>
      <c r="T639" s="14">
        <f>IF(COUNT(I639:S639)=0,"",SUM(I639:S639))</f>
        <v/>
      </c>
      <c r="U639" t="inlineStr"/>
    </row>
    <row r="640">
      <c r="A640" t="inlineStr">
        <is>
          <t>금정산래디언트어린이집</t>
        </is>
      </c>
      <c r="B640" t="inlineStr">
        <is>
          <t>어린이집</t>
        </is>
      </c>
      <c r="C640" t="inlineStr">
        <is>
          <t>국공립</t>
        </is>
      </c>
      <c r="D640" t="inlineStr">
        <is>
          <t>북구</t>
        </is>
      </c>
      <c r="E640" t="inlineStr">
        <is>
          <t>부산광역시 북구 상학로 35 관리동(만덕동, 더 래디언트 금정산)</t>
        </is>
      </c>
      <c r="F640" s="11" t="inlineStr">
        <is>
          <t>https://cafe.naver.com/newwellcitykids</t>
        </is>
      </c>
      <c r="G640" t="inlineStr">
        <is>
          <t>051-338-8271</t>
        </is>
      </c>
      <c r="H640" s="15" t="n">
        <v>67</v>
      </c>
      <c r="I640" s="15" t="n">
        <v>11</v>
      </c>
      <c r="J640" s="15" t="n">
        <v>30</v>
      </c>
      <c r="K640" s="15" t="n">
        <v>26</v>
      </c>
      <c r="L640" s="15" t="n">
        <v>0</v>
      </c>
      <c r="M640" s="15" t="n">
        <v>0</v>
      </c>
      <c r="N640" s="15" t="n">
        <v>0</v>
      </c>
      <c r="O640" s="15" t="n">
        <v>0</v>
      </c>
      <c r="P640" s="15" t="n">
        <v>0</v>
      </c>
      <c r="Q640" s="15" t="n">
        <v>0</v>
      </c>
      <c r="R640" s="15" t="n">
        <v>0</v>
      </c>
      <c r="S640" s="15" t="n">
        <v>0</v>
      </c>
      <c r="T640" s="14">
        <f>IF(COUNT(I640:S640)=0,"",SUM(I640:S640))</f>
        <v/>
      </c>
      <c r="U640" t="inlineStr"/>
    </row>
    <row r="641">
      <c r="A641" t="inlineStr">
        <is>
          <t>금창초등어린이집</t>
        </is>
      </c>
      <c r="B641" t="inlineStr">
        <is>
          <t>어린이집</t>
        </is>
      </c>
      <c r="C641" t="inlineStr">
        <is>
          <t>국공립</t>
        </is>
      </c>
      <c r="D641" t="inlineStr">
        <is>
          <t>북구</t>
        </is>
      </c>
      <c r="E641" t="inlineStr">
        <is>
          <t>부산광역시 북구 효열로235번길 14</t>
        </is>
      </c>
      <c r="F641" s="11" t="inlineStr">
        <is>
          <t>https://www.instagram.com/goldwindow_2018</t>
        </is>
      </c>
      <c r="G641" t="inlineStr">
        <is>
          <t>051-361-9918</t>
        </is>
      </c>
      <c r="H641" s="15" t="n">
        <v>45</v>
      </c>
      <c r="I641" s="15" t="n">
        <v>5</v>
      </c>
      <c r="J641" s="15" t="n">
        <v>10</v>
      </c>
      <c r="K641" s="15" t="n">
        <v>10</v>
      </c>
      <c r="L641" s="15" t="n">
        <v>0</v>
      </c>
      <c r="M641" s="15" t="n">
        <v>0</v>
      </c>
      <c r="N641" s="15" t="n">
        <v>0</v>
      </c>
      <c r="O641" s="15" t="n">
        <v>0</v>
      </c>
      <c r="P641" s="15" t="n">
        <v>11</v>
      </c>
      <c r="Q641" s="15" t="n">
        <v>0</v>
      </c>
      <c r="R641" s="15" t="n">
        <v>2</v>
      </c>
      <c r="S641" s="15" t="n">
        <v>5</v>
      </c>
      <c r="T641" s="14">
        <f>IF(COUNT(I641:S641)=0,"",SUM(I641:S641))</f>
        <v/>
      </c>
      <c r="U641" t="inlineStr"/>
    </row>
    <row r="642">
      <c r="A642" t="inlineStr">
        <is>
          <t>꼬마대통령어린이집</t>
        </is>
      </c>
      <c r="B642" t="inlineStr">
        <is>
          <t>어린이집</t>
        </is>
      </c>
      <c r="C642" t="inlineStr">
        <is>
          <t>민간</t>
        </is>
      </c>
      <c r="D642" t="inlineStr">
        <is>
          <t>북구</t>
        </is>
      </c>
      <c r="E642" t="inlineStr">
        <is>
          <t>부산광역시 북구 산성로 68-15</t>
        </is>
      </c>
      <c r="F642" t="inlineStr"/>
      <c r="G642" t="inlineStr">
        <is>
          <t>051-363-6640</t>
        </is>
      </c>
      <c r="H642" s="15" t="n">
        <v>39</v>
      </c>
      <c r="I642" s="15" t="n">
        <v>0</v>
      </c>
      <c r="J642" s="15" t="n">
        <v>0</v>
      </c>
      <c r="K642" s="15" t="n">
        <v>7</v>
      </c>
      <c r="L642" s="15" t="n">
        <v>5</v>
      </c>
      <c r="M642" s="15" t="n">
        <v>0</v>
      </c>
      <c r="N642" s="15" t="n">
        <v>0</v>
      </c>
      <c r="O642" s="15" t="n">
        <v>5</v>
      </c>
      <c r="P642" s="15" t="n">
        <v>0</v>
      </c>
      <c r="Q642" s="15" t="n">
        <v>0</v>
      </c>
      <c r="R642" s="15" t="n">
        <v>0</v>
      </c>
      <c r="S642" s="15" t="n">
        <v>3</v>
      </c>
      <c r="T642" s="14">
        <f>IF(COUNT(I642:S642)=0,"",SUM(I642:S642))</f>
        <v/>
      </c>
      <c r="U642" t="inlineStr"/>
    </row>
    <row r="643">
      <c r="A643" t="inlineStr">
        <is>
          <t>꽃내음풀내음어린이집</t>
        </is>
      </c>
      <c r="B643" t="inlineStr">
        <is>
          <t>어린이집</t>
        </is>
      </c>
      <c r="C643" t="inlineStr">
        <is>
          <t>민간</t>
        </is>
      </c>
      <c r="D643" t="inlineStr">
        <is>
          <t>북구</t>
        </is>
      </c>
      <c r="E643" t="inlineStr">
        <is>
          <t>부산광역시 북구 금곡대로 166 롯데캐슬카이저 104동과 105동 사이</t>
        </is>
      </c>
      <c r="F643" t="inlineStr"/>
      <c r="G643" t="inlineStr">
        <is>
          <t>051-361-7007</t>
        </is>
      </c>
      <c r="H643" s="15" t="n">
        <v>74</v>
      </c>
      <c r="I643" s="15" t="n">
        <v>5</v>
      </c>
      <c r="J643" s="15" t="n">
        <v>24</v>
      </c>
      <c r="K643" s="15" t="n">
        <v>15</v>
      </c>
      <c r="L643" s="15" t="n">
        <v>0</v>
      </c>
      <c r="M643" s="15" t="n">
        <v>0</v>
      </c>
      <c r="N643" s="15" t="n">
        <v>0</v>
      </c>
      <c r="O643" s="15" t="n">
        <v>0</v>
      </c>
      <c r="P643" s="15" t="n">
        <v>0</v>
      </c>
      <c r="Q643" s="15" t="n">
        <v>0</v>
      </c>
      <c r="R643" s="15" t="n">
        <v>0</v>
      </c>
      <c r="S643" s="15" t="n">
        <v>5</v>
      </c>
      <c r="T643" s="14">
        <f>IF(COUNT(I643:S643)=0,"",SUM(I643:S643))</f>
        <v/>
      </c>
      <c r="U643" t="inlineStr"/>
    </row>
    <row r="644">
      <c r="A644" t="inlineStr">
        <is>
          <t>꿈동산어린이집</t>
        </is>
      </c>
      <c r="B644" t="inlineStr">
        <is>
          <t>어린이집</t>
        </is>
      </c>
      <c r="C644" t="inlineStr">
        <is>
          <t>민간</t>
        </is>
      </c>
      <c r="D644" t="inlineStr">
        <is>
          <t>북구</t>
        </is>
      </c>
      <c r="E644" t="inlineStr">
        <is>
          <t>부산광역시 북구 덕천로 369 (만덕동)</t>
        </is>
      </c>
      <c r="F644" t="inlineStr"/>
      <c r="G644" t="inlineStr">
        <is>
          <t>051-335-6461</t>
        </is>
      </c>
      <c r="H644" s="15" t="n">
        <v>127</v>
      </c>
      <c r="I644" s="15" t="n">
        <v>0</v>
      </c>
      <c r="J644" s="15" t="n">
        <v>10</v>
      </c>
      <c r="K644" s="15" t="n">
        <v>12</v>
      </c>
      <c r="L644" s="15" t="n">
        <v>0</v>
      </c>
      <c r="M644" s="15" t="n">
        <v>0</v>
      </c>
      <c r="N644" s="15" t="n">
        <v>0</v>
      </c>
      <c r="O644" s="15" t="n">
        <v>0</v>
      </c>
      <c r="P644" s="15" t="n">
        <v>100</v>
      </c>
      <c r="Q644" s="15" t="n">
        <v>0</v>
      </c>
      <c r="R644" s="15" t="n">
        <v>0</v>
      </c>
      <c r="S644" s="15" t="n">
        <v>18</v>
      </c>
      <c r="T644" s="14">
        <f>IF(COUNT(I644:S644)=0,"",SUM(I644:S644))</f>
        <v/>
      </c>
      <c r="U644" t="inlineStr"/>
    </row>
    <row r="645">
      <c r="A645" t="inlineStr">
        <is>
          <t>나무와숲어린이집</t>
        </is>
      </c>
      <c r="B645" t="inlineStr">
        <is>
          <t>어린이집</t>
        </is>
      </c>
      <c r="C645" t="inlineStr">
        <is>
          <t>민간</t>
        </is>
      </c>
      <c r="D645" t="inlineStr">
        <is>
          <t>북구</t>
        </is>
      </c>
      <c r="E645" t="inlineStr">
        <is>
          <t>부산광역시 북구 화명신도시로 39 대림쌍용강변타운 관리동 1층  나무와 숲어린이집</t>
        </is>
      </c>
      <c r="F645" t="inlineStr"/>
      <c r="G645" t="inlineStr">
        <is>
          <t>051-361-6266</t>
        </is>
      </c>
      <c r="H645" s="15" t="n">
        <v>32</v>
      </c>
      <c r="I645" s="15" t="n">
        <v>3</v>
      </c>
      <c r="J645" s="15" t="n">
        <v>5</v>
      </c>
      <c r="K645" s="15" t="n">
        <v>12</v>
      </c>
      <c r="L645" s="15" t="n">
        <v>0</v>
      </c>
      <c r="M645" s="15" t="n">
        <v>0</v>
      </c>
      <c r="N645" s="15" t="n">
        <v>0</v>
      </c>
      <c r="O645" s="15" t="n">
        <v>8</v>
      </c>
      <c r="P645" s="15" t="n">
        <v>0</v>
      </c>
      <c r="Q645" s="15" t="n">
        <v>0</v>
      </c>
      <c r="R645" s="15" t="n">
        <v>0</v>
      </c>
      <c r="S645" s="15" t="n">
        <v>5</v>
      </c>
      <c r="T645" s="14">
        <f>IF(COUNT(I645:S645)=0,"",SUM(I645:S645))</f>
        <v/>
      </c>
      <c r="U645" t="inlineStr"/>
    </row>
    <row r="646">
      <c r="A646" t="inlineStr">
        <is>
          <t>너울가지어린이집</t>
        </is>
      </c>
      <c r="B646" t="inlineStr">
        <is>
          <t>어린이집</t>
        </is>
      </c>
      <c r="C646" t="inlineStr">
        <is>
          <t>가정</t>
        </is>
      </c>
      <c r="D646" t="inlineStr">
        <is>
          <t>북구</t>
        </is>
      </c>
      <c r="E646" t="inlineStr">
        <is>
          <t>부산광역시 북구 덕천로276번길 60 113동 102호(만덕동, 동문굿모닝힐)</t>
        </is>
      </c>
      <c r="F646" s="11" t="inlineStr">
        <is>
          <t>http://cafe.naver.com/qkraltnr1117</t>
        </is>
      </c>
      <c r="G646" t="inlineStr">
        <is>
          <t>051-332-1279</t>
        </is>
      </c>
      <c r="H646" s="15" t="n">
        <v>18</v>
      </c>
      <c r="I646" s="15" t="n">
        <v>3</v>
      </c>
      <c r="J646" s="15" t="n">
        <v>5</v>
      </c>
      <c r="K646" s="15" t="n">
        <v>7</v>
      </c>
      <c r="L646" s="15" t="n">
        <v>0</v>
      </c>
      <c r="M646" s="15" t="n">
        <v>0</v>
      </c>
      <c r="N646" s="15" t="n">
        <v>0</v>
      </c>
      <c r="O646" s="15" t="n">
        <v>2</v>
      </c>
      <c r="P646" s="15" t="n">
        <v>0</v>
      </c>
      <c r="Q646" s="15" t="n">
        <v>0</v>
      </c>
      <c r="R646" s="15" t="n">
        <v>0</v>
      </c>
      <c r="S646" s="15" t="n">
        <v>7</v>
      </c>
      <c r="T646" s="14">
        <f>IF(COUNT(I646:S646)=0,"",SUM(I646:S646))</f>
        <v/>
      </c>
      <c r="U646" t="inlineStr"/>
    </row>
    <row r="647">
      <c r="A647" t="inlineStr">
        <is>
          <t>노리숲어린이집</t>
        </is>
      </c>
      <c r="B647" t="inlineStr">
        <is>
          <t>어린이집</t>
        </is>
      </c>
      <c r="C647" t="inlineStr">
        <is>
          <t>민간</t>
        </is>
      </c>
      <c r="D647" t="inlineStr">
        <is>
          <t>북구</t>
        </is>
      </c>
      <c r="E647" t="inlineStr">
        <is>
          <t>부산광역시 북구 만덕3로16번길 11 4동 101호(만덕동, 벽산라인훼미리)</t>
        </is>
      </c>
      <c r="F647" t="inlineStr"/>
      <c r="G647" t="inlineStr">
        <is>
          <t>051-341-5001</t>
        </is>
      </c>
      <c r="H647" s="15" t="n">
        <v>46</v>
      </c>
      <c r="I647" s="15" t="n">
        <v>3</v>
      </c>
      <c r="J647" s="15" t="n">
        <v>5</v>
      </c>
      <c r="K647" s="15" t="n">
        <v>14</v>
      </c>
      <c r="L647" s="15" t="n">
        <v>0</v>
      </c>
      <c r="M647" s="15" t="n">
        <v>0</v>
      </c>
      <c r="N647" s="15" t="n">
        <v>0</v>
      </c>
      <c r="O647" s="15" t="n">
        <v>8</v>
      </c>
      <c r="P647" s="15" t="n">
        <v>13</v>
      </c>
      <c r="Q647" s="15" t="n">
        <v>0</v>
      </c>
      <c r="R647" s="15" t="n">
        <v>0</v>
      </c>
      <c r="S647" s="15" t="n">
        <v>8</v>
      </c>
      <c r="T647" s="14">
        <f>IF(COUNT(I647:S647)=0,"",SUM(I647:S647))</f>
        <v/>
      </c>
      <c r="U647" t="inlineStr"/>
    </row>
    <row r="648">
      <c r="A648" t="inlineStr">
        <is>
          <t>노벨어린이집</t>
        </is>
      </c>
      <c r="B648" t="inlineStr">
        <is>
          <t>어린이집</t>
        </is>
      </c>
      <c r="C648" t="inlineStr">
        <is>
          <t>민간</t>
        </is>
      </c>
      <c r="D648" t="inlineStr">
        <is>
          <t>북구</t>
        </is>
      </c>
      <c r="E648" t="inlineStr">
        <is>
          <t>부산광역시 북구 만덕3로23번길 8 (만덕동)</t>
        </is>
      </c>
      <c r="F648" s="11" t="inlineStr">
        <is>
          <t>http://cafe.daum.net/nobellkid</t>
        </is>
      </c>
      <c r="G648" t="inlineStr">
        <is>
          <t>051-331-1959</t>
        </is>
      </c>
      <c r="H648" s="15" t="n">
        <v>21</v>
      </c>
      <c r="I648" s="15" t="n">
        <v>5</v>
      </c>
      <c r="J648" s="15" t="n">
        <v>8</v>
      </c>
      <c r="K648" s="15" t="n">
        <v>6</v>
      </c>
      <c r="L648" s="15" t="n">
        <v>0</v>
      </c>
      <c r="M648" s="15" t="n">
        <v>0</v>
      </c>
      <c r="N648" s="15" t="n">
        <v>0</v>
      </c>
      <c r="O648" s="15" t="n">
        <v>0</v>
      </c>
      <c r="P648" s="15" t="n">
        <v>0</v>
      </c>
      <c r="Q648" s="15" t="n">
        <v>0</v>
      </c>
      <c r="R648" s="15" t="n">
        <v>0</v>
      </c>
      <c r="S648" s="15" t="n">
        <v>0</v>
      </c>
      <c r="T648" s="14">
        <f>IF(COUNT(I648:S648)=0,"",SUM(I648:S648))</f>
        <v/>
      </c>
      <c r="U648" t="inlineStr"/>
    </row>
    <row r="649">
      <c r="A649" t="inlineStr">
        <is>
          <t>누리봄어린이집</t>
        </is>
      </c>
      <c r="B649" t="inlineStr">
        <is>
          <t>어린이집</t>
        </is>
      </c>
      <c r="C649" t="inlineStr">
        <is>
          <t>민간</t>
        </is>
      </c>
      <c r="D649" t="inlineStr">
        <is>
          <t>북구</t>
        </is>
      </c>
      <c r="E649" t="inlineStr">
        <is>
          <t>부산광역시 북구 금곡대로 175 동원2차로얄듀크비스타 201동 관리동</t>
        </is>
      </c>
      <c r="F649" t="inlineStr"/>
      <c r="G649" t="inlineStr">
        <is>
          <t>051-343-5800</t>
        </is>
      </c>
      <c r="H649" s="15" t="n">
        <v>58</v>
      </c>
      <c r="I649" s="15" t="n">
        <v>8</v>
      </c>
      <c r="J649" s="15" t="n">
        <v>14</v>
      </c>
      <c r="K649" s="15" t="n">
        <v>13</v>
      </c>
      <c r="L649" s="15" t="n">
        <v>0</v>
      </c>
      <c r="M649" s="15" t="n">
        <v>0</v>
      </c>
      <c r="N649" s="15" t="n">
        <v>0</v>
      </c>
      <c r="O649" s="15" t="n">
        <v>0</v>
      </c>
      <c r="P649" s="15" t="n">
        <v>0</v>
      </c>
      <c r="Q649" s="15" t="n">
        <v>0</v>
      </c>
      <c r="R649" s="15" t="n">
        <v>0</v>
      </c>
      <c r="S649" s="15" t="n">
        <v>5</v>
      </c>
      <c r="T649" s="14">
        <f>IF(COUNT(I649:S649)=0,"",SUM(I649:S649))</f>
        <v/>
      </c>
      <c r="U649" t="inlineStr"/>
    </row>
    <row r="650">
      <c r="A650" t="inlineStr">
        <is>
          <t>뉴아이사랑어린이집</t>
        </is>
      </c>
      <c r="B650" t="inlineStr">
        <is>
          <t>어린이집</t>
        </is>
      </c>
      <c r="C650" t="inlineStr">
        <is>
          <t>가정</t>
        </is>
      </c>
      <c r="D650" t="inlineStr">
        <is>
          <t>북구</t>
        </is>
      </c>
      <c r="E650" t="inlineStr">
        <is>
          <t>부산광역시 북구 화명신도시로 244 관리동 1층(금곡동, 화명리버빌2차)</t>
        </is>
      </c>
      <c r="F650" t="inlineStr"/>
      <c r="G650" t="inlineStr">
        <is>
          <t>051-334-2737</t>
        </is>
      </c>
      <c r="H650" s="15" t="n">
        <v>19</v>
      </c>
      <c r="I650" s="15" t="n">
        <v>4</v>
      </c>
      <c r="J650" s="15" t="n">
        <v>7</v>
      </c>
      <c r="K650" s="15" t="n">
        <v>7</v>
      </c>
      <c r="L650" s="15" t="n">
        <v>0</v>
      </c>
      <c r="M650" s="15" t="n">
        <v>0</v>
      </c>
      <c r="N650" s="15" t="n">
        <v>0</v>
      </c>
      <c r="O650" s="15" t="n">
        <v>0</v>
      </c>
      <c r="P650" s="15" t="n">
        <v>0</v>
      </c>
      <c r="Q650" s="15" t="n">
        <v>0</v>
      </c>
      <c r="R650" s="15" t="n">
        <v>0</v>
      </c>
      <c r="S650" s="15" t="n">
        <v>5</v>
      </c>
      <c r="T650" s="14">
        <f>IF(COUNT(I650:S650)=0,"",SUM(I650:S650))</f>
        <v/>
      </c>
      <c r="U650" t="inlineStr"/>
    </row>
    <row r="651">
      <c r="A651" t="inlineStr">
        <is>
          <t>뉴웰시티생태어린이집</t>
        </is>
      </c>
      <c r="B651" t="inlineStr">
        <is>
          <t>어린이집</t>
        </is>
      </c>
      <c r="C651" t="inlineStr">
        <is>
          <t>가정</t>
        </is>
      </c>
      <c r="D651" t="inlineStr">
        <is>
          <t>북구</t>
        </is>
      </c>
      <c r="E651" t="inlineStr">
        <is>
          <t>부산광역시 북구 상학로 35 114동 103호(만덕동, 금정산LH뉴웰시티아파트)</t>
        </is>
      </c>
      <c r="F651" t="inlineStr"/>
      <c r="G651" t="inlineStr">
        <is>
          <t>051-334-8824</t>
        </is>
      </c>
      <c r="H651" s="15" t="n">
        <v>17</v>
      </c>
      <c r="I651" s="15" t="n">
        <v>9</v>
      </c>
      <c r="J651" s="15" t="n">
        <v>5</v>
      </c>
      <c r="K651" s="15" t="n">
        <v>0</v>
      </c>
      <c r="L651" s="15" t="n">
        <v>0</v>
      </c>
      <c r="M651" s="15" t="n">
        <v>0</v>
      </c>
      <c r="N651" s="15" t="n">
        <v>0</v>
      </c>
      <c r="O651" s="15" t="n">
        <v>3</v>
      </c>
      <c r="P651" s="15" t="n">
        <v>0</v>
      </c>
      <c r="Q651" s="15" t="n">
        <v>0</v>
      </c>
      <c r="R651" s="15" t="n">
        <v>0</v>
      </c>
      <c r="S651" s="15" t="n">
        <v>3</v>
      </c>
      <c r="T651" s="14">
        <f>IF(COUNT(I651:S651)=0,"",SUM(I651:S651))</f>
        <v/>
      </c>
      <c r="U651" t="inlineStr"/>
    </row>
    <row r="652">
      <c r="A652" t="inlineStr">
        <is>
          <t>늘푸른봄뜰어린이집</t>
        </is>
      </c>
      <c r="B652" t="inlineStr">
        <is>
          <t>어린이집</t>
        </is>
      </c>
      <c r="C652" t="inlineStr">
        <is>
          <t>가정</t>
        </is>
      </c>
      <c r="D652" t="inlineStr">
        <is>
          <t>북구</t>
        </is>
      </c>
      <c r="E652" t="inlineStr">
        <is>
          <t>부산광역시 북구 함박봉로140번길 21 주공아파트 관리동 (만덕동)</t>
        </is>
      </c>
      <c r="F652" s="11" t="inlineStr">
        <is>
          <t>http://cafe.daum.net/bomground</t>
        </is>
      </c>
      <c r="G652" t="inlineStr">
        <is>
          <t>051-332-8028</t>
        </is>
      </c>
      <c r="H652" s="15" t="n">
        <v>20</v>
      </c>
      <c r="I652" s="15" t="n">
        <v>0</v>
      </c>
      <c r="J652" s="15" t="n">
        <v>0</v>
      </c>
      <c r="K652" s="15" t="n">
        <v>6</v>
      </c>
      <c r="L652" s="15" t="n">
        <v>0</v>
      </c>
      <c r="M652" s="15" t="n">
        <v>0</v>
      </c>
      <c r="N652" s="15" t="n">
        <v>0</v>
      </c>
      <c r="O652" s="15" t="n">
        <v>3</v>
      </c>
      <c r="P652" s="15" t="n">
        <v>0</v>
      </c>
      <c r="Q652" s="15" t="n">
        <v>0</v>
      </c>
      <c r="R652" s="15" t="n">
        <v>0</v>
      </c>
      <c r="S652" s="15" t="n">
        <v>2</v>
      </c>
      <c r="T652" s="14">
        <f>IF(COUNT(I652:S652)=0,"",SUM(I652:S652))</f>
        <v/>
      </c>
      <c r="U652" t="inlineStr"/>
    </row>
    <row r="653">
      <c r="A653" t="inlineStr">
        <is>
          <t>늘푸른어린이집</t>
        </is>
      </c>
      <c r="B653" t="inlineStr">
        <is>
          <t>어린이집</t>
        </is>
      </c>
      <c r="C653" t="inlineStr">
        <is>
          <t>민간</t>
        </is>
      </c>
      <c r="D653" t="inlineStr">
        <is>
          <t>북구</t>
        </is>
      </c>
      <c r="E653" t="inlineStr">
        <is>
          <t>부산광역시 북구 화명신도시로 194 화명한일유앤아이관리동내1층</t>
        </is>
      </c>
      <c r="F653" t="inlineStr"/>
      <c r="G653" t="inlineStr">
        <is>
          <t>051-364-3011</t>
        </is>
      </c>
      <c r="H653" s="15" t="n">
        <v>29</v>
      </c>
      <c r="I653" s="15" t="n">
        <v>6</v>
      </c>
      <c r="J653" s="15" t="n">
        <v>15</v>
      </c>
      <c r="K653" s="15" t="n">
        <v>7</v>
      </c>
      <c r="L653" s="15" t="n">
        <v>0</v>
      </c>
      <c r="M653" s="15" t="n">
        <v>0</v>
      </c>
      <c r="N653" s="15" t="n">
        <v>0</v>
      </c>
      <c r="O653" s="15" t="n">
        <v>0</v>
      </c>
      <c r="P653" s="15" t="n">
        <v>0</v>
      </c>
      <c r="Q653" s="15" t="n">
        <v>0</v>
      </c>
      <c r="R653" s="15" t="n">
        <v>0</v>
      </c>
      <c r="S653" s="15" t="n">
        <v>5</v>
      </c>
      <c r="T653" s="14">
        <f>IF(COUNT(I653:S653)=0,"",SUM(I653:S653))</f>
        <v/>
      </c>
      <c r="U653" t="inlineStr"/>
    </row>
    <row r="654">
      <c r="A654" t="inlineStr">
        <is>
          <t>다모아어린이집</t>
        </is>
      </c>
      <c r="B654" t="inlineStr">
        <is>
          <t>어린이집</t>
        </is>
      </c>
      <c r="C654" t="inlineStr">
        <is>
          <t>가정</t>
        </is>
      </c>
      <c r="D654" t="inlineStr">
        <is>
          <t>북구</t>
        </is>
      </c>
      <c r="E654" t="inlineStr">
        <is>
          <t>부산광역시 북구 금곡대로 222 105동 101호(화명동, 동원로얄듀크)</t>
        </is>
      </c>
      <c r="F654" t="inlineStr"/>
      <c r="G654" t="inlineStr">
        <is>
          <t>051-363-6800</t>
        </is>
      </c>
      <c r="H654" s="15" t="n">
        <v>18</v>
      </c>
      <c r="I654" s="15" t="n">
        <v>3</v>
      </c>
      <c r="J654" s="15" t="n">
        <v>8</v>
      </c>
      <c r="K654" s="15" t="n">
        <v>7</v>
      </c>
      <c r="L654" s="15" t="n">
        <v>0</v>
      </c>
      <c r="M654" s="15" t="n">
        <v>0</v>
      </c>
      <c r="N654" s="15" t="n">
        <v>0</v>
      </c>
      <c r="O654" s="15" t="n">
        <v>0</v>
      </c>
      <c r="P654" s="15" t="n">
        <v>0</v>
      </c>
      <c r="Q654" s="15" t="n">
        <v>0</v>
      </c>
      <c r="R654" s="15" t="n">
        <v>0</v>
      </c>
      <c r="S654" s="15" t="n">
        <v>9</v>
      </c>
      <c r="T654" s="14">
        <f>IF(COUNT(I654:S654)=0,"",SUM(I654:S654))</f>
        <v/>
      </c>
      <c r="U654" t="inlineStr"/>
    </row>
    <row r="655">
      <c r="A655" t="inlineStr">
        <is>
          <t>다사랑어린이집</t>
        </is>
      </c>
      <c r="B655" t="inlineStr">
        <is>
          <t>어린이집</t>
        </is>
      </c>
      <c r="C655" t="inlineStr">
        <is>
          <t>가정</t>
        </is>
      </c>
      <c r="D655" t="inlineStr">
        <is>
          <t>북구</t>
        </is>
      </c>
      <c r="E655" t="inlineStr">
        <is>
          <t>부산광역시 북구 효열로 265 105동 106호(금곡동, 벽산삼협한솔)</t>
        </is>
      </c>
      <c r="F655" t="inlineStr"/>
      <c r="G655" t="inlineStr">
        <is>
          <t>051-937-3625</t>
        </is>
      </c>
      <c r="H655" s="15" t="n">
        <v>20</v>
      </c>
      <c r="I655" s="15" t="n">
        <v>2</v>
      </c>
      <c r="J655" s="15" t="n">
        <v>5</v>
      </c>
      <c r="K655" s="15" t="n">
        <v>0</v>
      </c>
      <c r="L655" s="15" t="n">
        <v>0</v>
      </c>
      <c r="M655" s="15" t="n">
        <v>0</v>
      </c>
      <c r="N655" s="15" t="n">
        <v>0</v>
      </c>
      <c r="O655" s="15" t="n">
        <v>3</v>
      </c>
      <c r="P655" s="15" t="n">
        <v>0</v>
      </c>
      <c r="Q655" s="15" t="n">
        <v>0</v>
      </c>
      <c r="R655" s="15" t="n">
        <v>0</v>
      </c>
      <c r="S655" s="15" t="n">
        <v>3</v>
      </c>
      <c r="T655" s="14">
        <f>IF(COUNT(I655:S655)=0,"",SUM(I655:S655))</f>
        <v/>
      </c>
      <c r="U655" t="inlineStr"/>
    </row>
    <row r="656">
      <c r="A656" t="inlineStr">
        <is>
          <t>다윗어린이집</t>
        </is>
      </c>
      <c r="B656" t="inlineStr">
        <is>
          <t>어린이집</t>
        </is>
      </c>
      <c r="C656" t="inlineStr">
        <is>
          <t>가정</t>
        </is>
      </c>
      <c r="D656" t="inlineStr">
        <is>
          <t>북구</t>
        </is>
      </c>
      <c r="E656" t="inlineStr">
        <is>
          <t>부산광역시 북구 금곡대로 166 505동 101호,(화명동,화명롯데캐슬카이저)</t>
        </is>
      </c>
      <c r="F656" t="inlineStr"/>
      <c r="G656" t="inlineStr">
        <is>
          <t>051-361-3787</t>
        </is>
      </c>
      <c r="H656" s="15" t="n">
        <v>20</v>
      </c>
      <c r="I656" s="15" t="n">
        <v>7</v>
      </c>
      <c r="J656" s="15" t="n">
        <v>8</v>
      </c>
      <c r="K656" s="15" t="n">
        <v>5</v>
      </c>
      <c r="L656" s="15" t="n">
        <v>0</v>
      </c>
      <c r="M656" s="15" t="n">
        <v>0</v>
      </c>
      <c r="N656" s="15" t="n">
        <v>0</v>
      </c>
      <c r="O656" s="15" t="n">
        <v>0</v>
      </c>
      <c r="P656" s="15" t="n">
        <v>0</v>
      </c>
      <c r="Q656" s="15" t="n">
        <v>0</v>
      </c>
      <c r="R656" s="15" t="n">
        <v>0</v>
      </c>
      <c r="S656" s="15" t="n">
        <v>3</v>
      </c>
      <c r="T656" s="14">
        <f>IF(COUNT(I656:S656)=0,"",SUM(I656:S656))</f>
        <v/>
      </c>
      <c r="U656" t="inlineStr"/>
    </row>
    <row r="657">
      <c r="A657" t="inlineStr">
        <is>
          <t>덕천포레나2차어린이집</t>
        </is>
      </c>
      <c r="B657" t="inlineStr">
        <is>
          <t>어린이집</t>
        </is>
      </c>
      <c r="C657" t="inlineStr">
        <is>
          <t>국공립</t>
        </is>
      </c>
      <c r="D657" t="inlineStr">
        <is>
          <t>북구</t>
        </is>
      </c>
      <c r="E657" t="inlineStr">
        <is>
          <t>부산광역시 북구 만덕대로 101 관리동 어린이집(덕천동, 포레나 부산덕천2차)</t>
        </is>
      </c>
      <c r="F657" t="inlineStr"/>
      <c r="G657" t="inlineStr">
        <is>
          <t>051-710-1022</t>
        </is>
      </c>
      <c r="H657" s="15" t="n">
        <v>41</v>
      </c>
      <c r="I657" s="15" t="n">
        <v>6</v>
      </c>
      <c r="J657" s="15" t="n">
        <v>15</v>
      </c>
      <c r="K657" s="15" t="n">
        <v>14</v>
      </c>
      <c r="L657" s="15" t="n">
        <v>0</v>
      </c>
      <c r="M657" s="15" t="n">
        <v>0</v>
      </c>
      <c r="N657" s="15" t="n">
        <v>0</v>
      </c>
      <c r="O657" s="15" t="n">
        <v>0</v>
      </c>
      <c r="P657" s="15" t="n">
        <v>0</v>
      </c>
      <c r="Q657" s="15" t="n">
        <v>0</v>
      </c>
      <c r="R657" s="15" t="n">
        <v>0</v>
      </c>
      <c r="S657" s="15" t="n">
        <v>4</v>
      </c>
      <c r="T657" s="14">
        <f>IF(COUNT(I657:S657)=0,"",SUM(I657:S657))</f>
        <v/>
      </c>
      <c r="U657" t="inlineStr"/>
    </row>
    <row r="658">
      <c r="A658" t="inlineStr">
        <is>
          <t>덕천포레나어린이집</t>
        </is>
      </c>
      <c r="B658" t="inlineStr">
        <is>
          <t>어린이집</t>
        </is>
      </c>
      <c r="C658" t="inlineStr">
        <is>
          <t>국공립</t>
        </is>
      </c>
      <c r="D658" t="inlineStr">
        <is>
          <t>북구</t>
        </is>
      </c>
      <c r="E658" t="inlineStr">
        <is>
          <t>부산광역시 북구 만덕대로 81 , 관리동 어린이집(덕천동, 포레나부산덕천)</t>
        </is>
      </c>
      <c r="F658" t="inlineStr"/>
      <c r="G658" t="inlineStr">
        <is>
          <t>051-333-8004</t>
        </is>
      </c>
      <c r="H658" s="15" t="n">
        <v>38</v>
      </c>
      <c r="I658" s="15" t="n">
        <v>9</v>
      </c>
      <c r="J658" s="15" t="n">
        <v>15</v>
      </c>
      <c r="K658" s="15" t="n">
        <v>13</v>
      </c>
      <c r="L658" s="15" t="n">
        <v>0</v>
      </c>
      <c r="M658" s="15" t="n">
        <v>0</v>
      </c>
      <c r="N658" s="15" t="n">
        <v>0</v>
      </c>
      <c r="O658" s="15" t="n">
        <v>0</v>
      </c>
      <c r="P658" s="15" t="n">
        <v>0</v>
      </c>
      <c r="Q658" s="15" t="n">
        <v>0</v>
      </c>
      <c r="R658" s="15" t="n">
        <v>0</v>
      </c>
      <c r="S658" s="15" t="n">
        <v>23</v>
      </c>
      <c r="T658" s="14">
        <f>IF(COUNT(I658:S658)=0,"",SUM(I658:S658))</f>
        <v/>
      </c>
      <c r="U658" t="inlineStr"/>
    </row>
    <row r="659">
      <c r="A659" t="inlineStr">
        <is>
          <t>도담어린이집</t>
        </is>
      </c>
      <c r="B659" t="inlineStr">
        <is>
          <t>어린이집</t>
        </is>
      </c>
      <c r="C659" t="inlineStr">
        <is>
          <t>가정</t>
        </is>
      </c>
      <c r="D659" t="inlineStr">
        <is>
          <t>북구</t>
        </is>
      </c>
      <c r="E659" t="inlineStr">
        <is>
          <t>부산광역시 북구 학사로17번길 31 103동 101호(화명동, 수정강변타운)</t>
        </is>
      </c>
      <c r="F659" t="inlineStr"/>
      <c r="G659" t="inlineStr">
        <is>
          <t>051-338-4898</t>
        </is>
      </c>
      <c r="H659" s="15" t="n">
        <v>17</v>
      </c>
      <c r="I659" s="15" t="n">
        <v>2</v>
      </c>
      <c r="J659" s="15" t="n">
        <v>0</v>
      </c>
      <c r="K659" s="15" t="n">
        <v>0</v>
      </c>
      <c r="L659" s="15" t="n">
        <v>0</v>
      </c>
      <c r="M659" s="15" t="n">
        <v>0</v>
      </c>
      <c r="N659" s="15" t="n">
        <v>0</v>
      </c>
      <c r="O659" s="15" t="n">
        <v>10</v>
      </c>
      <c r="P659" s="15" t="n">
        <v>0</v>
      </c>
      <c r="Q659" s="15" t="n">
        <v>0</v>
      </c>
      <c r="R659" s="15" t="n">
        <v>0</v>
      </c>
      <c r="S659" s="15" t="n">
        <v>3</v>
      </c>
      <c r="T659" s="14">
        <f>IF(COUNT(I659:S659)=0,"",SUM(I659:S659))</f>
        <v/>
      </c>
      <c r="U659" t="inlineStr"/>
    </row>
    <row r="660">
      <c r="A660" t="inlineStr">
        <is>
          <t>도림어린이집</t>
        </is>
      </c>
      <c r="B660" t="inlineStr">
        <is>
          <t>어린이집</t>
        </is>
      </c>
      <c r="C660" t="inlineStr">
        <is>
          <t>가정</t>
        </is>
      </c>
      <c r="D660" t="inlineStr">
        <is>
          <t>북구</t>
        </is>
      </c>
      <c r="E660" t="inlineStr">
        <is>
          <t>부산광역시 북구 화명신도시로 39 710동 103호(화명동, 대림쌍용강변타운)</t>
        </is>
      </c>
      <c r="F660" t="inlineStr"/>
      <c r="G660" t="inlineStr">
        <is>
          <t>051-361-2661</t>
        </is>
      </c>
      <c r="H660" s="15" t="n">
        <v>19</v>
      </c>
      <c r="I660" s="15" t="n">
        <v>7</v>
      </c>
      <c r="J660" s="15" t="n">
        <v>3</v>
      </c>
      <c r="K660" s="15" t="n">
        <v>0</v>
      </c>
      <c r="L660" s="15" t="n">
        <v>0</v>
      </c>
      <c r="M660" s="15" t="n">
        <v>0</v>
      </c>
      <c r="N660" s="15" t="n">
        <v>0</v>
      </c>
      <c r="O660" s="15" t="n">
        <v>5</v>
      </c>
      <c r="P660" s="15" t="n">
        <v>0</v>
      </c>
      <c r="Q660" s="15" t="n">
        <v>0</v>
      </c>
      <c r="R660" s="15" t="n">
        <v>0</v>
      </c>
      <c r="S660" s="15" t="n">
        <v>3</v>
      </c>
      <c r="T660" s="14">
        <f>IF(COUNT(I660:S660)=0,"",SUM(I660:S660))</f>
        <v/>
      </c>
      <c r="U660" t="inlineStr"/>
    </row>
    <row r="661">
      <c r="A661" t="inlineStr">
        <is>
          <t>동그라미어린이집</t>
        </is>
      </c>
      <c r="B661" t="inlineStr">
        <is>
          <t>어린이집</t>
        </is>
      </c>
      <c r="C661" t="inlineStr">
        <is>
          <t>가정</t>
        </is>
      </c>
      <c r="D661" t="inlineStr">
        <is>
          <t>북구</t>
        </is>
      </c>
      <c r="E661" t="inlineStr">
        <is>
          <t>부산광역시 북구 화명신도시로 156 103동 101호(화명동, 롯데낙천대)</t>
        </is>
      </c>
      <c r="F661" t="inlineStr"/>
      <c r="G661" t="inlineStr">
        <is>
          <t>051-365-1256</t>
        </is>
      </c>
      <c r="H661" s="15" t="n">
        <v>20</v>
      </c>
      <c r="I661" s="15" t="n">
        <v>2</v>
      </c>
      <c r="J661" s="15" t="n">
        <v>4</v>
      </c>
      <c r="K661" s="15" t="n">
        <v>7</v>
      </c>
      <c r="L661" s="15" t="n">
        <v>0</v>
      </c>
      <c r="M661" s="15" t="n">
        <v>0</v>
      </c>
      <c r="N661" s="15" t="n">
        <v>0</v>
      </c>
      <c r="O661" s="15" t="n">
        <v>2</v>
      </c>
      <c r="P661" s="15" t="n">
        <v>0</v>
      </c>
      <c r="Q661" s="15" t="n">
        <v>0</v>
      </c>
      <c r="R661" s="15" t="n">
        <v>0</v>
      </c>
      <c r="S661" s="15" t="n">
        <v>4</v>
      </c>
      <c r="T661" s="14">
        <f>IF(COUNT(I661:S661)=0,"",SUM(I661:S661))</f>
        <v/>
      </c>
      <c r="U661" t="inlineStr"/>
    </row>
    <row r="662">
      <c r="A662" t="inlineStr">
        <is>
          <t>동문다안어린이집</t>
        </is>
      </c>
      <c r="B662" t="inlineStr">
        <is>
          <t>어린이집</t>
        </is>
      </c>
      <c r="C662" t="inlineStr">
        <is>
          <t>민간</t>
        </is>
      </c>
      <c r="D662" t="inlineStr">
        <is>
          <t>북구</t>
        </is>
      </c>
      <c r="E662" t="inlineStr">
        <is>
          <t>부산광역시 북구 덕천로276번길 60 동문굿모닝힐 1차 아파트 관리동</t>
        </is>
      </c>
      <c r="F662" t="inlineStr"/>
      <c r="G662" t="inlineStr">
        <is>
          <t>051-341-3007</t>
        </is>
      </c>
      <c r="H662" s="15" t="n">
        <v>44</v>
      </c>
      <c r="I662" s="15" t="n">
        <v>8</v>
      </c>
      <c r="J662" s="15" t="n">
        <v>15</v>
      </c>
      <c r="K662" s="15" t="n">
        <v>21</v>
      </c>
      <c r="L662" s="15" t="n">
        <v>0</v>
      </c>
      <c r="M662" s="15" t="n">
        <v>0</v>
      </c>
      <c r="N662" s="15" t="n">
        <v>0</v>
      </c>
      <c r="O662" s="15" t="n">
        <v>0</v>
      </c>
      <c r="P662" s="15" t="n">
        <v>0</v>
      </c>
      <c r="Q662" s="15" t="n">
        <v>0</v>
      </c>
      <c r="R662" s="15" t="n">
        <v>0</v>
      </c>
      <c r="S662" s="15" t="n">
        <v>5</v>
      </c>
      <c r="T662" s="14">
        <f>IF(COUNT(I662:S662)=0,"",SUM(I662:S662))</f>
        <v/>
      </c>
      <c r="U662" t="inlineStr"/>
    </row>
    <row r="663">
      <c r="A663" t="inlineStr">
        <is>
          <t>동문다임어린이집</t>
        </is>
      </c>
      <c r="B663" t="inlineStr">
        <is>
          <t>어린이집</t>
        </is>
      </c>
      <c r="C663" t="inlineStr">
        <is>
          <t>민간</t>
        </is>
      </c>
      <c r="D663" t="inlineStr">
        <is>
          <t>북구</t>
        </is>
      </c>
      <c r="E663" t="inlineStr">
        <is>
          <t>부산광역시 북구 덕천로276번길 85 동문굿모닝힐 2차 아파트 관리동</t>
        </is>
      </c>
      <c r="F663" t="inlineStr"/>
      <c r="G663" t="inlineStr">
        <is>
          <t>051-343-3007</t>
        </is>
      </c>
      <c r="H663" s="15" t="n">
        <v>23</v>
      </c>
      <c r="I663" s="15" t="n">
        <v>4</v>
      </c>
      <c r="J663" s="15" t="n">
        <v>4</v>
      </c>
      <c r="K663" s="15" t="n">
        <v>4</v>
      </c>
      <c r="L663" s="15" t="n">
        <v>0</v>
      </c>
      <c r="M663" s="15" t="n">
        <v>0</v>
      </c>
      <c r="N663" s="15" t="n">
        <v>0</v>
      </c>
      <c r="O663" s="15" t="n">
        <v>2</v>
      </c>
      <c r="P663" s="15" t="n">
        <v>0</v>
      </c>
      <c r="Q663" s="15" t="n">
        <v>0</v>
      </c>
      <c r="R663" s="15" t="n">
        <v>0</v>
      </c>
      <c r="S663" s="15" t="n">
        <v>3</v>
      </c>
      <c r="T663" s="14">
        <f>IF(COUNT(I663:S663)=0,"",SUM(I663:S663))</f>
        <v/>
      </c>
      <c r="U663" t="inlineStr"/>
    </row>
    <row r="664">
      <c r="A664" t="inlineStr">
        <is>
          <t>동문스마일어린이집</t>
        </is>
      </c>
      <c r="B664" t="inlineStr">
        <is>
          <t>어린이집</t>
        </is>
      </c>
      <c r="C664" t="inlineStr">
        <is>
          <t>가정</t>
        </is>
      </c>
      <c r="D664" t="inlineStr">
        <is>
          <t>북구</t>
        </is>
      </c>
      <c r="E664" t="inlineStr">
        <is>
          <t>부산광역시 북구 덕천로276번길 60 109동 102호(만덕동, 동문굿모닝힐)</t>
        </is>
      </c>
      <c r="F664" t="inlineStr"/>
      <c r="G664" t="inlineStr">
        <is>
          <t>051-343-1577</t>
        </is>
      </c>
      <c r="H664" s="15" t="n">
        <v>20</v>
      </c>
      <c r="I664" s="15" t="n">
        <v>4</v>
      </c>
      <c r="J664" s="15" t="n">
        <v>5</v>
      </c>
      <c r="K664" s="15" t="n">
        <v>6</v>
      </c>
      <c r="L664" s="15" t="n">
        <v>0</v>
      </c>
      <c r="M664" s="15" t="n">
        <v>0</v>
      </c>
      <c r="N664" s="15" t="n">
        <v>0</v>
      </c>
      <c r="O664" s="15" t="n">
        <v>5</v>
      </c>
      <c r="P664" s="15" t="n">
        <v>0</v>
      </c>
      <c r="Q664" s="15" t="n">
        <v>0</v>
      </c>
      <c r="R664" s="15" t="n">
        <v>0</v>
      </c>
      <c r="S664" s="15" t="n">
        <v>5</v>
      </c>
      <c r="T664" s="14">
        <f>IF(COUNT(I664:S664)=0,"",SUM(I664:S664))</f>
        <v/>
      </c>
      <c r="U664" t="inlineStr"/>
    </row>
    <row r="665">
      <c r="A665" t="inlineStr">
        <is>
          <t>동문예쁜어린이집</t>
        </is>
      </c>
      <c r="B665" t="inlineStr">
        <is>
          <t>어린이집</t>
        </is>
      </c>
      <c r="C665" t="inlineStr">
        <is>
          <t>가정</t>
        </is>
      </c>
      <c r="D665" t="inlineStr">
        <is>
          <t>북구</t>
        </is>
      </c>
      <c r="E665" t="inlineStr">
        <is>
          <t>부산광역시 북구 덕천로276번길 60 107동 103호(만덕동, 동문굿모닝힐)</t>
        </is>
      </c>
      <c r="F665" t="inlineStr"/>
      <c r="G665" t="inlineStr">
        <is>
          <t>051-991-1191</t>
        </is>
      </c>
      <c r="H665" s="15" t="n">
        <v>20</v>
      </c>
      <c r="I665" s="15" t="n">
        <v>2</v>
      </c>
      <c r="J665" s="15" t="n">
        <v>9</v>
      </c>
      <c r="K665" s="15" t="n">
        <v>7</v>
      </c>
      <c r="L665" s="15" t="n">
        <v>0</v>
      </c>
      <c r="M665" s="15" t="n">
        <v>0</v>
      </c>
      <c r="N665" s="15" t="n">
        <v>0</v>
      </c>
      <c r="O665" s="15" t="n">
        <v>0</v>
      </c>
      <c r="P665" s="15" t="n">
        <v>0</v>
      </c>
      <c r="Q665" s="15" t="n">
        <v>0</v>
      </c>
      <c r="R665" s="15" t="n">
        <v>0</v>
      </c>
      <c r="S665" s="15" t="n">
        <v>5</v>
      </c>
      <c r="T665" s="14">
        <f>IF(COUNT(I665:S665)=0,"",SUM(I665:S665))</f>
        <v/>
      </c>
      <c r="U665" t="inlineStr"/>
    </row>
    <row r="666">
      <c r="A666" t="inlineStr">
        <is>
          <t>동원금샘어린이집</t>
        </is>
      </c>
      <c r="B666" t="inlineStr">
        <is>
          <t>어린이집</t>
        </is>
      </c>
      <c r="C666" t="inlineStr">
        <is>
          <t>민간</t>
        </is>
      </c>
      <c r="D666" t="inlineStr">
        <is>
          <t>북구</t>
        </is>
      </c>
      <c r="E666" t="inlineStr">
        <is>
          <t>부산광역시 북구 금곡대로 222 동원로얄듀크아파트단지내  101동 앞</t>
        </is>
      </c>
      <c r="F666" t="inlineStr"/>
      <c r="G666" t="inlineStr">
        <is>
          <t>051-338-3558</t>
        </is>
      </c>
      <c r="H666" s="15" t="n">
        <v>45</v>
      </c>
      <c r="I666" s="15" t="n">
        <v>12</v>
      </c>
      <c r="J666" s="15" t="n">
        <v>18</v>
      </c>
      <c r="K666" s="15" t="n">
        <v>15</v>
      </c>
      <c r="L666" s="15" t="n">
        <v>0</v>
      </c>
      <c r="M666" s="15" t="n">
        <v>0</v>
      </c>
      <c r="N666" s="15" t="n">
        <v>0</v>
      </c>
      <c r="O666" s="15" t="n">
        <v>0</v>
      </c>
      <c r="P666" s="15" t="n">
        <v>0</v>
      </c>
      <c r="Q666" s="15" t="n">
        <v>0</v>
      </c>
      <c r="R666" s="15" t="n">
        <v>0</v>
      </c>
      <c r="S666" s="15" t="n">
        <v>5</v>
      </c>
      <c r="T666" s="14">
        <f>IF(COUNT(I666:S666)=0,"",SUM(I666:S666))</f>
        <v/>
      </c>
      <c r="U666" t="inlineStr"/>
    </row>
    <row r="667">
      <c r="A667" t="inlineStr">
        <is>
          <t>동원비스타어린이집</t>
        </is>
      </c>
      <c r="B667" t="inlineStr">
        <is>
          <t>어린이집</t>
        </is>
      </c>
      <c r="C667" t="inlineStr">
        <is>
          <t>민간</t>
        </is>
      </c>
      <c r="D667" t="inlineStr">
        <is>
          <t>북구</t>
        </is>
      </c>
      <c r="E667" t="inlineStr">
        <is>
          <t>부산광역시 북구 낙동대로1738번길 10 구포동원로얄듀크비스타 관리동</t>
        </is>
      </c>
      <c r="F667" t="inlineStr"/>
      <c r="G667" t="inlineStr">
        <is>
          <t>051-332-3320</t>
        </is>
      </c>
      <c r="H667" s="15" t="n">
        <v>42</v>
      </c>
      <c r="I667" s="15" t="n">
        <v>6</v>
      </c>
      <c r="J667" s="15" t="n">
        <v>3</v>
      </c>
      <c r="K667" s="15" t="n">
        <v>10</v>
      </c>
      <c r="L667" s="15" t="n">
        <v>0</v>
      </c>
      <c r="M667" s="15" t="n">
        <v>0</v>
      </c>
      <c r="N667" s="15" t="n">
        <v>0</v>
      </c>
      <c r="O667" s="15" t="n">
        <v>9</v>
      </c>
      <c r="P667" s="15" t="n">
        <v>0</v>
      </c>
      <c r="Q667" s="15" t="n">
        <v>0</v>
      </c>
      <c r="R667" s="15" t="n">
        <v>0</v>
      </c>
      <c r="S667" s="15" t="n">
        <v>10</v>
      </c>
      <c r="T667" s="14">
        <f>IF(COUNT(I667:S667)=0,"",SUM(I667:S667))</f>
        <v/>
      </c>
      <c r="U667" t="inlineStr"/>
    </row>
    <row r="668">
      <c r="A668" t="inlineStr">
        <is>
          <t>동원어린이집</t>
        </is>
      </c>
      <c r="B668" t="inlineStr">
        <is>
          <t>어린이집</t>
        </is>
      </c>
      <c r="C668" t="inlineStr">
        <is>
          <t>가정</t>
        </is>
      </c>
      <c r="D668" t="inlineStr">
        <is>
          <t>북구</t>
        </is>
      </c>
      <c r="E668" t="inlineStr">
        <is>
          <t>부산광역시 북구 덕천로234번길 7 101동 103호(만덕동, 동원)</t>
        </is>
      </c>
      <c r="F668" t="inlineStr"/>
      <c r="G668" t="inlineStr">
        <is>
          <t>051-333-6624</t>
        </is>
      </c>
      <c r="H668" s="15" t="n">
        <v>18</v>
      </c>
      <c r="I668" s="15" t="n">
        <v>4</v>
      </c>
      <c r="J668" s="15" t="n">
        <v>0</v>
      </c>
      <c r="K668" s="15" t="n">
        <v>0</v>
      </c>
      <c r="L668" s="15" t="n">
        <v>0</v>
      </c>
      <c r="M668" s="15" t="n">
        <v>0</v>
      </c>
      <c r="N668" s="15" t="n">
        <v>0</v>
      </c>
      <c r="O668" s="15" t="n">
        <v>3</v>
      </c>
      <c r="P668" s="15" t="n">
        <v>0</v>
      </c>
      <c r="Q668" s="15" t="n">
        <v>0</v>
      </c>
      <c r="R668" s="15" t="n">
        <v>0</v>
      </c>
      <c r="S668" s="15" t="n">
        <v>3</v>
      </c>
      <c r="T668" s="14">
        <f>IF(COUNT(I668:S668)=0,"",SUM(I668:S668))</f>
        <v/>
      </c>
      <c r="U668" t="inlineStr"/>
    </row>
    <row r="669">
      <c r="A669" t="inlineStr">
        <is>
          <t>드림아이어린이집</t>
        </is>
      </c>
      <c r="B669" t="inlineStr">
        <is>
          <t>어린이집</t>
        </is>
      </c>
      <c r="C669" t="inlineStr">
        <is>
          <t>가정</t>
        </is>
      </c>
      <c r="D669" t="inlineStr">
        <is>
          <t>북구</t>
        </is>
      </c>
      <c r="E669" t="inlineStr">
        <is>
          <t>부산광역시 북구 금곡대로 166 103동 103호(화명동, 롯데캐슬카이저)</t>
        </is>
      </c>
      <c r="F669" t="inlineStr"/>
      <c r="G669" t="inlineStr">
        <is>
          <t>051-900-9800</t>
        </is>
      </c>
      <c r="H669" s="15" t="n">
        <v>20</v>
      </c>
      <c r="I669" s="15" t="n">
        <v>3</v>
      </c>
      <c r="J669" s="15" t="n">
        <v>9</v>
      </c>
      <c r="K669" s="15" t="n">
        <v>6</v>
      </c>
      <c r="L669" s="15" t="n">
        <v>0</v>
      </c>
      <c r="M669" s="15" t="n">
        <v>0</v>
      </c>
      <c r="N669" s="15" t="n">
        <v>0</v>
      </c>
      <c r="O669" s="15" t="n">
        <v>0</v>
      </c>
      <c r="P669" s="15" t="n">
        <v>0</v>
      </c>
      <c r="Q669" s="15" t="n">
        <v>0</v>
      </c>
      <c r="R669" s="15" t="n">
        <v>0</v>
      </c>
      <c r="S669" s="15" t="n">
        <v>5</v>
      </c>
      <c r="T669" s="14">
        <f>IF(COUNT(I669:S669)=0,"",SUM(I669:S669))</f>
        <v/>
      </c>
      <c r="U669" t="inlineStr"/>
    </row>
    <row r="670">
      <c r="A670" t="inlineStr">
        <is>
          <t>또하나어린이집</t>
        </is>
      </c>
      <c r="B670" t="inlineStr">
        <is>
          <t>어린이집</t>
        </is>
      </c>
      <c r="C670" t="inlineStr">
        <is>
          <t>가정</t>
        </is>
      </c>
      <c r="D670" t="inlineStr">
        <is>
          <t>북구</t>
        </is>
      </c>
      <c r="E670" t="inlineStr">
        <is>
          <t>부산광역시 북구 덕천로234번길 5 102동 109호(만덕동, 동원)</t>
        </is>
      </c>
      <c r="F670" t="inlineStr"/>
      <c r="G670" t="inlineStr">
        <is>
          <t>051-334-5006</t>
        </is>
      </c>
      <c r="H670" s="15" t="n">
        <v>19</v>
      </c>
      <c r="I670" s="15" t="n">
        <v>0</v>
      </c>
      <c r="J670" s="15" t="n">
        <v>0</v>
      </c>
      <c r="K670" s="15" t="n">
        <v>0</v>
      </c>
      <c r="L670" s="15" t="n">
        <v>0</v>
      </c>
      <c r="M670" s="15" t="n">
        <v>0</v>
      </c>
      <c r="N670" s="15" t="n">
        <v>0</v>
      </c>
      <c r="O670" s="15" t="n">
        <v>0</v>
      </c>
      <c r="P670" s="15" t="n">
        <v>0</v>
      </c>
      <c r="Q670" s="15" t="n">
        <v>0</v>
      </c>
      <c r="R670" s="15" t="n">
        <v>0</v>
      </c>
      <c r="S670" s="15" t="n">
        <v>0</v>
      </c>
      <c r="T670" s="14">
        <f>IF(COUNT(I670:S670)=0,"",SUM(I670:S670))</f>
        <v/>
      </c>
      <c r="U670" t="inlineStr"/>
    </row>
    <row r="671">
      <c r="A671" t="inlineStr">
        <is>
          <t>리틀카이저어린이집</t>
        </is>
      </c>
      <c r="B671" t="inlineStr">
        <is>
          <t>어린이집</t>
        </is>
      </c>
      <c r="C671" t="inlineStr">
        <is>
          <t>가정</t>
        </is>
      </c>
      <c r="D671" t="inlineStr">
        <is>
          <t>북구</t>
        </is>
      </c>
      <c r="E671" t="inlineStr">
        <is>
          <t>부산광역시 북구 금곡대로 166  506동 104호(화명동,화명롯데캐슬카이저)</t>
        </is>
      </c>
      <c r="F671" s="11" t="inlineStr">
        <is>
          <t>http://cafe.daum.net/Littlekaiser</t>
        </is>
      </c>
      <c r="G671" t="inlineStr">
        <is>
          <t>051-903-6665</t>
        </is>
      </c>
      <c r="H671" s="15" t="n">
        <v>20</v>
      </c>
      <c r="I671" s="15" t="n">
        <v>2</v>
      </c>
      <c r="J671" s="15" t="n">
        <v>10</v>
      </c>
      <c r="K671" s="15" t="n">
        <v>8</v>
      </c>
      <c r="L671" s="15" t="n">
        <v>0</v>
      </c>
      <c r="M671" s="15" t="n">
        <v>0</v>
      </c>
      <c r="N671" s="15" t="n">
        <v>0</v>
      </c>
      <c r="O671" s="15" t="n">
        <v>0</v>
      </c>
      <c r="P671" s="15" t="n">
        <v>0</v>
      </c>
      <c r="Q671" s="15" t="n">
        <v>0</v>
      </c>
      <c r="R671" s="15" t="n">
        <v>0</v>
      </c>
      <c r="S671" s="15" t="n">
        <v>4</v>
      </c>
      <c r="T671" s="14">
        <f>IF(COUNT(I671:S671)=0,"",SUM(I671:S671))</f>
        <v/>
      </c>
      <c r="U671" t="inlineStr"/>
    </row>
    <row r="672">
      <c r="A672" t="inlineStr">
        <is>
          <t>만덕1어린이집</t>
        </is>
      </c>
      <c r="B672" t="inlineStr">
        <is>
          <t>어린이집</t>
        </is>
      </c>
      <c r="C672" t="inlineStr">
        <is>
          <t>국공립</t>
        </is>
      </c>
      <c r="D672" t="inlineStr">
        <is>
          <t>북구</t>
        </is>
      </c>
      <c r="E672" t="inlineStr">
        <is>
          <t>부산광역시 북구 상학산복길 316 (만덕동)</t>
        </is>
      </c>
      <c r="F672" s="11" t="inlineStr">
        <is>
          <t>http://cafe.naver.com/mdchild81</t>
        </is>
      </c>
      <c r="G672" t="inlineStr">
        <is>
          <t>051-332-8133</t>
        </is>
      </c>
      <c r="H672" s="15" t="n">
        <v>99</v>
      </c>
      <c r="I672" s="15" t="n">
        <v>0</v>
      </c>
      <c r="J672" s="15" t="n">
        <v>15</v>
      </c>
      <c r="K672" s="15" t="n">
        <v>20</v>
      </c>
      <c r="L672" s="15" t="n">
        <v>15</v>
      </c>
      <c r="M672" s="15" t="n">
        <v>14</v>
      </c>
      <c r="N672" s="15" t="n">
        <v>29</v>
      </c>
      <c r="O672" s="15" t="n">
        <v>0</v>
      </c>
      <c r="P672" s="15" t="n">
        <v>0</v>
      </c>
      <c r="Q672" s="15" t="n">
        <v>0</v>
      </c>
      <c r="R672" s="15" t="n">
        <v>2</v>
      </c>
      <c r="S672" s="15" t="n">
        <v>15</v>
      </c>
      <c r="T672" s="14">
        <f>IF(COUNT(I672:S672)=0,"",SUM(I672:S672))</f>
        <v/>
      </c>
      <c r="U672" t="inlineStr"/>
    </row>
    <row r="673">
      <c r="A673" t="inlineStr">
        <is>
          <t>모아또래 어린이집</t>
        </is>
      </c>
      <c r="B673" t="inlineStr">
        <is>
          <t>어린이집</t>
        </is>
      </c>
      <c r="C673" t="inlineStr">
        <is>
          <t>가정</t>
        </is>
      </c>
      <c r="D673" t="inlineStr">
        <is>
          <t>북구</t>
        </is>
      </c>
      <c r="E673" t="inlineStr">
        <is>
          <t>부산광역시 북구 만덕1로 25-12 102동 101호(만덕동, 만덕주공2단지아파트)</t>
        </is>
      </c>
      <c r="F673" t="inlineStr"/>
      <c r="G673" t="inlineStr">
        <is>
          <t>051-342-0396</t>
        </is>
      </c>
      <c r="H673" s="15" t="n">
        <v>19</v>
      </c>
      <c r="I673" s="15" t="n">
        <v>9</v>
      </c>
      <c r="J673" s="15" t="n">
        <v>8</v>
      </c>
      <c r="K673" s="15" t="n">
        <v>0</v>
      </c>
      <c r="L673" s="15" t="n">
        <v>0</v>
      </c>
      <c r="M673" s="15" t="n">
        <v>0</v>
      </c>
      <c r="N673" s="15" t="n">
        <v>0</v>
      </c>
      <c r="O673" s="15" t="n">
        <v>0</v>
      </c>
      <c r="P673" s="15" t="n">
        <v>0</v>
      </c>
      <c r="Q673" s="15" t="n">
        <v>0</v>
      </c>
      <c r="R673" s="15" t="n">
        <v>0</v>
      </c>
      <c r="S673" s="15" t="n">
        <v>4</v>
      </c>
      <c r="T673" s="14">
        <f>IF(COUNT(I673:S673)=0,"",SUM(I673:S673))</f>
        <v/>
      </c>
      <c r="U673" t="inlineStr"/>
    </row>
    <row r="674">
      <c r="A674" t="inlineStr">
        <is>
          <t>미래어린이집</t>
        </is>
      </c>
      <c r="B674" t="inlineStr">
        <is>
          <t>어린이집</t>
        </is>
      </c>
      <c r="C674" t="inlineStr">
        <is>
          <t>사회복지법인</t>
        </is>
      </c>
      <c r="D674" t="inlineStr">
        <is>
          <t>북구</t>
        </is>
      </c>
      <c r="E674" t="inlineStr">
        <is>
          <t>부산광역시 북구 산성로65번길 6-4</t>
        </is>
      </c>
      <c r="F674" s="11" t="inlineStr">
        <is>
          <t>http://miraeart.or.kr</t>
        </is>
      </c>
      <c r="G674" t="inlineStr">
        <is>
          <t>051-341-1515</t>
        </is>
      </c>
      <c r="H674" s="15" t="n">
        <v>49</v>
      </c>
      <c r="I674" s="15" t="n">
        <v>3</v>
      </c>
      <c r="J674" s="15" t="n">
        <v>4</v>
      </c>
      <c r="K674" s="15" t="n">
        <v>0</v>
      </c>
      <c r="L674" s="15" t="n">
        <v>0</v>
      </c>
      <c r="M674" s="15" t="n">
        <v>0</v>
      </c>
      <c r="N674" s="15" t="n">
        <v>0</v>
      </c>
      <c r="O674" s="15" t="n">
        <v>5</v>
      </c>
      <c r="P674" s="15" t="n">
        <v>12</v>
      </c>
      <c r="Q674" s="15" t="n">
        <v>0</v>
      </c>
      <c r="R674" s="15" t="n">
        <v>0</v>
      </c>
      <c r="S674" s="15" t="n">
        <v>3</v>
      </c>
      <c r="T674" s="14">
        <f>IF(COUNT(I674:S674)=0,"",SUM(I674:S674))</f>
        <v/>
      </c>
      <c r="U674" t="inlineStr"/>
    </row>
    <row r="675">
      <c r="A675" t="inlineStr">
        <is>
          <t>미소가득어린이집</t>
        </is>
      </c>
      <c r="B675" t="inlineStr">
        <is>
          <t>어린이집</t>
        </is>
      </c>
      <c r="C675" t="inlineStr">
        <is>
          <t>가정</t>
        </is>
      </c>
      <c r="D675" t="inlineStr">
        <is>
          <t>북구</t>
        </is>
      </c>
      <c r="E675" t="inlineStr">
        <is>
          <t>부산광역시 북구 덕천로234번길 34 207동 104호(만덕동, 럭키2단지아파트)</t>
        </is>
      </c>
      <c r="F675" t="inlineStr"/>
      <c r="G675" t="inlineStr">
        <is>
          <t>051-331-1057</t>
        </is>
      </c>
      <c r="H675" s="15" t="n">
        <v>20</v>
      </c>
      <c r="I675" s="15" t="n">
        <v>5</v>
      </c>
      <c r="J675" s="15" t="n">
        <v>5</v>
      </c>
      <c r="K675" s="15" t="n">
        <v>7</v>
      </c>
      <c r="L675" s="15" t="n">
        <v>0</v>
      </c>
      <c r="M675" s="15" t="n">
        <v>0</v>
      </c>
      <c r="N675" s="15" t="n">
        <v>0</v>
      </c>
      <c r="O675" s="15" t="n">
        <v>0</v>
      </c>
      <c r="P675" s="15" t="n">
        <v>0</v>
      </c>
      <c r="Q675" s="15" t="n">
        <v>0</v>
      </c>
      <c r="R675" s="15" t="n">
        <v>0</v>
      </c>
      <c r="S675" s="15" t="n">
        <v>4</v>
      </c>
      <c r="T675" s="14">
        <f>IF(COUNT(I675:S675)=0,"",SUM(I675:S675))</f>
        <v/>
      </c>
      <c r="U675" t="inlineStr"/>
    </row>
    <row r="676">
      <c r="A676" t="inlineStr">
        <is>
          <t>반도유보라어린이집</t>
        </is>
      </c>
      <c r="B676" t="inlineStr">
        <is>
          <t>어린이집</t>
        </is>
      </c>
      <c r="C676" t="inlineStr">
        <is>
          <t>국공립</t>
        </is>
      </c>
      <c r="D676" t="inlineStr">
        <is>
          <t>북구</t>
        </is>
      </c>
      <c r="E676" t="inlineStr">
        <is>
          <t>부산광역시 북구 백양대로 1136 구포동,리버파크반도유보라아파트</t>
        </is>
      </c>
      <c r="F676" t="inlineStr"/>
      <c r="G676" t="inlineStr">
        <is>
          <t>051-341-2547</t>
        </is>
      </c>
      <c r="H676" s="15" t="n">
        <v>37</v>
      </c>
      <c r="I676" s="15" t="n">
        <v>5</v>
      </c>
      <c r="J676" s="15" t="n">
        <v>19</v>
      </c>
      <c r="K676" s="15" t="n">
        <v>12</v>
      </c>
      <c r="L676" s="15" t="n">
        <v>0</v>
      </c>
      <c r="M676" s="15" t="n">
        <v>0</v>
      </c>
      <c r="N676" s="15" t="n">
        <v>0</v>
      </c>
      <c r="O676" s="15" t="n">
        <v>0</v>
      </c>
      <c r="P676" s="15" t="n">
        <v>0</v>
      </c>
      <c r="Q676" s="15" t="n">
        <v>0</v>
      </c>
      <c r="R676" s="15" t="n">
        <v>0</v>
      </c>
      <c r="S676" s="15" t="n">
        <v>15</v>
      </c>
      <c r="T676" s="14">
        <f>IF(COUNT(I676:S676)=0,"",SUM(I676:S676))</f>
        <v/>
      </c>
      <c r="U676" t="inlineStr"/>
    </row>
    <row r="677">
      <c r="A677" t="inlineStr">
        <is>
          <t>백조명문어린이집</t>
        </is>
      </c>
      <c r="B677" t="inlineStr">
        <is>
          <t>어린이집</t>
        </is>
      </c>
      <c r="C677" t="inlineStr">
        <is>
          <t>민간</t>
        </is>
      </c>
      <c r="D677" t="inlineStr">
        <is>
          <t>북구</t>
        </is>
      </c>
      <c r="E677" t="inlineStr">
        <is>
          <t>부산광역시 북구 효열로 39 (금곡동)</t>
        </is>
      </c>
      <c r="F677" t="inlineStr"/>
      <c r="G677" t="inlineStr">
        <is>
          <t>051-361-5877</t>
        </is>
      </c>
      <c r="H677" s="15" t="n">
        <v>36</v>
      </c>
      <c r="I677" s="15" t="n">
        <v>4</v>
      </c>
      <c r="J677" s="15" t="n">
        <v>0</v>
      </c>
      <c r="K677" s="15" t="n">
        <v>7</v>
      </c>
      <c r="L677" s="15" t="n">
        <v>0</v>
      </c>
      <c r="M677" s="15" t="n">
        <v>0</v>
      </c>
      <c r="N677" s="15" t="n">
        <v>0</v>
      </c>
      <c r="O677" s="15" t="n">
        <v>13</v>
      </c>
      <c r="P677" s="15" t="n">
        <v>0</v>
      </c>
      <c r="Q677" s="15" t="n">
        <v>0</v>
      </c>
      <c r="R677" s="15" t="n">
        <v>0</v>
      </c>
      <c r="S677" s="15" t="n">
        <v>5</v>
      </c>
      <c r="T677" s="14">
        <f>IF(COUNT(I677:S677)=0,"",SUM(I677:S677))</f>
        <v/>
      </c>
      <c r="U677" t="inlineStr"/>
    </row>
    <row r="678">
      <c r="A678" t="inlineStr">
        <is>
          <t>백조사랑어린이집</t>
        </is>
      </c>
      <c r="B678" t="inlineStr">
        <is>
          <t>어린이집</t>
        </is>
      </c>
      <c r="C678" t="inlineStr">
        <is>
          <t>가정</t>
        </is>
      </c>
      <c r="D678" t="inlineStr">
        <is>
          <t>북구</t>
        </is>
      </c>
      <c r="E678" t="inlineStr">
        <is>
          <t>부산광역시 북구 시랑로 158 1동 109호(구포동,백조그린타운)</t>
        </is>
      </c>
      <c r="F678" t="inlineStr"/>
      <c r="G678" t="inlineStr">
        <is>
          <t>051-336-5009</t>
        </is>
      </c>
      <c r="H678" s="15" t="n">
        <v>20</v>
      </c>
      <c r="I678" s="15" t="n">
        <v>0</v>
      </c>
      <c r="J678" s="15" t="n">
        <v>0</v>
      </c>
      <c r="K678" s="15" t="n">
        <v>6</v>
      </c>
      <c r="L678" s="15" t="n">
        <v>0</v>
      </c>
      <c r="M678" s="15" t="n">
        <v>0</v>
      </c>
      <c r="N678" s="15" t="n">
        <v>0</v>
      </c>
      <c r="O678" s="15" t="n">
        <v>6</v>
      </c>
      <c r="P678" s="15" t="n">
        <v>0</v>
      </c>
      <c r="Q678" s="15" t="n">
        <v>0</v>
      </c>
      <c r="R678" s="15" t="n">
        <v>0</v>
      </c>
      <c r="S678" s="15" t="n">
        <v>20</v>
      </c>
      <c r="T678" s="14">
        <f>IF(COUNT(I678:S678)=0,"",SUM(I678:S678))</f>
        <v/>
      </c>
      <c r="U678" t="inlineStr"/>
    </row>
    <row r="679">
      <c r="A679" t="inlineStr">
        <is>
          <t>베베 어린이집</t>
        </is>
      </c>
      <c r="B679" t="inlineStr">
        <is>
          <t>어린이집</t>
        </is>
      </c>
      <c r="C679" t="inlineStr">
        <is>
          <t>민간</t>
        </is>
      </c>
      <c r="D679" t="inlineStr">
        <is>
          <t>북구</t>
        </is>
      </c>
      <c r="E679" t="inlineStr">
        <is>
          <t>부산광역시 북구 만덕대로155번길 15 삼정그린코아 아파트 관리동</t>
        </is>
      </c>
      <c r="F679" t="inlineStr"/>
      <c r="G679" t="inlineStr">
        <is>
          <t>051-331-1941</t>
        </is>
      </c>
      <c r="H679" s="15" t="n">
        <v>37</v>
      </c>
      <c r="I679" s="15" t="n">
        <v>9</v>
      </c>
      <c r="J679" s="15" t="n">
        <v>13</v>
      </c>
      <c r="K679" s="15" t="n">
        <v>6</v>
      </c>
      <c r="L679" s="15" t="n">
        <v>0</v>
      </c>
      <c r="M679" s="15" t="n">
        <v>0</v>
      </c>
      <c r="N679" s="15" t="n">
        <v>0</v>
      </c>
      <c r="O679" s="15" t="n">
        <v>5</v>
      </c>
      <c r="P679" s="15" t="n">
        <v>0</v>
      </c>
      <c r="Q679" s="15" t="n">
        <v>0</v>
      </c>
      <c r="R679" s="15" t="n">
        <v>0</v>
      </c>
      <c r="S679" s="15" t="n">
        <v>5</v>
      </c>
      <c r="T679" s="14">
        <f>IF(COUNT(I679:S679)=0,"",SUM(I679:S679))</f>
        <v/>
      </c>
      <c r="U679" t="inlineStr"/>
    </row>
    <row r="680">
      <c r="A680" t="inlineStr">
        <is>
          <t>베스티움에코포레어린이집</t>
        </is>
      </c>
      <c r="B680" t="inlineStr">
        <is>
          <t>어린이집</t>
        </is>
      </c>
      <c r="C680" t="inlineStr">
        <is>
          <t>국공립</t>
        </is>
      </c>
      <c r="D680" t="inlineStr">
        <is>
          <t>북구</t>
        </is>
      </c>
      <c r="E680" t="inlineStr">
        <is>
          <t>부산광역시 북구 상리로 86 관리동어린이집(만덕동, 백양산베스티움에코포레)</t>
        </is>
      </c>
      <c r="F680" t="inlineStr"/>
      <c r="G680" t="inlineStr">
        <is>
          <t>051-991-3004</t>
        </is>
      </c>
      <c r="H680" s="15" t="n">
        <v>26</v>
      </c>
      <c r="I680" s="15" t="n">
        <v>6</v>
      </c>
      <c r="J680" s="15" t="n">
        <v>10</v>
      </c>
      <c r="K680" s="15" t="n">
        <v>10</v>
      </c>
      <c r="L680" s="15" t="n">
        <v>0</v>
      </c>
      <c r="M680" s="15" t="n">
        <v>0</v>
      </c>
      <c r="N680" s="15" t="n">
        <v>0</v>
      </c>
      <c r="O680" s="15" t="n">
        <v>0</v>
      </c>
      <c r="P680" s="15" t="n">
        <v>0</v>
      </c>
      <c r="Q680" s="15" t="n">
        <v>0</v>
      </c>
      <c r="R680" s="15" t="n">
        <v>0</v>
      </c>
      <c r="S680" s="15" t="n">
        <v>15</v>
      </c>
      <c r="T680" s="14">
        <f>IF(COUNT(I680:S680)=0,"",SUM(I680:S680))</f>
        <v/>
      </c>
      <c r="U680" t="inlineStr"/>
    </row>
    <row r="681">
      <c r="A681" t="inlineStr">
        <is>
          <t>벽산블루밍어린이집</t>
        </is>
      </c>
      <c r="B681" t="inlineStr">
        <is>
          <t>어린이집</t>
        </is>
      </c>
      <c r="C681" t="inlineStr">
        <is>
          <t>가정</t>
        </is>
      </c>
      <c r="D681" t="inlineStr">
        <is>
          <t>북구</t>
        </is>
      </c>
      <c r="E681" t="inlineStr">
        <is>
          <t>부산광역시 북구 양달로9번길 21</t>
        </is>
      </c>
      <c r="F681" t="inlineStr"/>
      <c r="G681" t="inlineStr">
        <is>
          <t>051-362-8316</t>
        </is>
      </c>
      <c r="H681" s="15" t="n">
        <v>20</v>
      </c>
      <c r="I681" s="15" t="n">
        <v>0</v>
      </c>
      <c r="J681" s="15" t="n">
        <v>0</v>
      </c>
      <c r="K681" s="15" t="n">
        <v>5</v>
      </c>
      <c r="L681" s="15" t="n">
        <v>0</v>
      </c>
      <c r="M681" s="15" t="n">
        <v>0</v>
      </c>
      <c r="N681" s="15" t="n">
        <v>0</v>
      </c>
      <c r="O681" s="15" t="n">
        <v>3</v>
      </c>
      <c r="P681" s="15" t="n">
        <v>0</v>
      </c>
      <c r="Q681" s="15" t="n">
        <v>0</v>
      </c>
      <c r="R681" s="15" t="n">
        <v>0</v>
      </c>
      <c r="S681" s="15" t="n">
        <v>3</v>
      </c>
      <c r="T681" s="14">
        <f>IF(COUNT(I681:S681)=0,"",SUM(I681:S681))</f>
        <v/>
      </c>
      <c r="U681" t="inlineStr"/>
    </row>
    <row r="682">
      <c r="A682" t="inlineStr">
        <is>
          <t>부민병원어린이집</t>
        </is>
      </c>
      <c r="B682" t="inlineStr">
        <is>
          <t>어린이집</t>
        </is>
      </c>
      <c r="C682" t="inlineStr">
        <is>
          <t>직장</t>
        </is>
      </c>
      <c r="D682" t="inlineStr">
        <is>
          <t>북구</t>
        </is>
      </c>
      <c r="E682" t="inlineStr">
        <is>
          <t>부산광역시 북구 의성로95번길 11</t>
        </is>
      </c>
      <c r="F682" t="inlineStr"/>
      <c r="G682" t="inlineStr">
        <is>
          <t>051-333-3507</t>
        </is>
      </c>
      <c r="H682" s="15" t="n">
        <v>20</v>
      </c>
      <c r="I682" s="15" t="n">
        <v>0</v>
      </c>
      <c r="J682" s="15" t="n">
        <v>0</v>
      </c>
      <c r="K682" s="15" t="n">
        <v>0</v>
      </c>
      <c r="L682" s="15" t="n">
        <v>0</v>
      </c>
      <c r="M682" s="15" t="n">
        <v>0</v>
      </c>
      <c r="N682" s="15" t="n">
        <v>0</v>
      </c>
      <c r="O682" s="15" t="n">
        <v>6</v>
      </c>
      <c r="P682" s="15" t="n">
        <v>0</v>
      </c>
      <c r="Q682" s="15" t="n">
        <v>0</v>
      </c>
      <c r="R682" s="15" t="n">
        <v>0</v>
      </c>
      <c r="S682" s="15" t="n">
        <v>0</v>
      </c>
      <c r="T682" s="14">
        <f>IF(COUNT(I682:S682)=0,"",SUM(I682:S682))</f>
        <v/>
      </c>
      <c r="U682" t="inlineStr"/>
    </row>
    <row r="683">
      <c r="A683" t="inlineStr">
        <is>
          <t>부산북부경찰서어린이집</t>
        </is>
      </c>
      <c r="B683" t="inlineStr">
        <is>
          <t>어린이집</t>
        </is>
      </c>
      <c r="C683" t="inlineStr">
        <is>
          <t>직장</t>
        </is>
      </c>
      <c r="D683" t="inlineStr">
        <is>
          <t>북구</t>
        </is>
      </c>
      <c r="E683" t="inlineStr">
        <is>
          <t>부산광역시 북구 모분재로15번길 57</t>
        </is>
      </c>
      <c r="F683" s="11" t="inlineStr">
        <is>
          <t>https://hansol-bsbbpolice.kidsnote.ac</t>
        </is>
      </c>
      <c r="G683" t="inlineStr">
        <is>
          <t>051-338-7775</t>
        </is>
      </c>
      <c r="H683" s="15" t="n">
        <v>130</v>
      </c>
      <c r="I683" s="15" t="n">
        <v>6</v>
      </c>
      <c r="J683" s="15" t="n">
        <v>14</v>
      </c>
      <c r="K683" s="15" t="n">
        <v>8</v>
      </c>
      <c r="L683" s="15" t="n">
        <v>8</v>
      </c>
      <c r="M683" s="15" t="n">
        <v>0</v>
      </c>
      <c r="N683" s="15" t="n">
        <v>0</v>
      </c>
      <c r="O683" s="15" t="n">
        <v>0</v>
      </c>
      <c r="P683" s="15" t="n">
        <v>0</v>
      </c>
      <c r="Q683" s="15" t="n">
        <v>0</v>
      </c>
      <c r="R683" s="15" t="n">
        <v>0</v>
      </c>
      <c r="S683" s="15" t="n">
        <v>23</v>
      </c>
      <c r="T683" s="14">
        <f>IF(COUNT(I683:S683)=0,"",SUM(I683:S683))</f>
        <v/>
      </c>
      <c r="U683" t="inlineStr"/>
    </row>
    <row r="684">
      <c r="A684" t="inlineStr">
        <is>
          <t>브레인어린이집</t>
        </is>
      </c>
      <c r="B684" t="inlineStr">
        <is>
          <t>어린이집</t>
        </is>
      </c>
      <c r="C684" t="inlineStr">
        <is>
          <t>가정</t>
        </is>
      </c>
      <c r="D684" t="inlineStr">
        <is>
          <t>북구</t>
        </is>
      </c>
      <c r="E684" t="inlineStr">
        <is>
          <t>부산광역시 북구 화명신도시로 100 209동 104호(화명동, 코오롱하늘채2차아파트)</t>
        </is>
      </c>
      <c r="F684" t="inlineStr"/>
      <c r="G684" t="inlineStr">
        <is>
          <t>051-365-1115</t>
        </is>
      </c>
      <c r="H684" s="15" t="n">
        <v>20</v>
      </c>
      <c r="I684" s="15" t="n">
        <v>1</v>
      </c>
      <c r="J684" s="15" t="n">
        <v>0</v>
      </c>
      <c r="K684" s="15" t="n">
        <v>6</v>
      </c>
      <c r="L684" s="15" t="n">
        <v>0</v>
      </c>
      <c r="M684" s="15" t="n">
        <v>0</v>
      </c>
      <c r="N684" s="15" t="n">
        <v>0</v>
      </c>
      <c r="O684" s="15" t="n">
        <v>2</v>
      </c>
      <c r="P684" s="15" t="n">
        <v>0</v>
      </c>
      <c r="Q684" s="15" t="n">
        <v>0</v>
      </c>
      <c r="R684" s="15" t="n">
        <v>0</v>
      </c>
      <c r="S684" s="15" t="n">
        <v>5</v>
      </c>
      <c r="T684" s="14">
        <f>IF(COUNT(I684:S684)=0,"",SUM(I684:S684))</f>
        <v/>
      </c>
      <c r="U684" t="inlineStr"/>
    </row>
    <row r="685">
      <c r="A685" t="inlineStr">
        <is>
          <t>빛고운어린이집</t>
        </is>
      </c>
      <c r="B685" t="inlineStr">
        <is>
          <t>어린이집</t>
        </is>
      </c>
      <c r="C685" t="inlineStr">
        <is>
          <t>민간</t>
        </is>
      </c>
      <c r="D685" t="inlineStr">
        <is>
          <t>북구</t>
        </is>
      </c>
      <c r="E685" t="inlineStr">
        <is>
          <t>부산광역시 북구 화명신도시로 209 관리동내 (금곡동. 화명뜨란채아파트)</t>
        </is>
      </c>
      <c r="F685" s="11" t="inlineStr">
        <is>
          <t>http://goun5559@hanmail.net</t>
        </is>
      </c>
      <c r="G685" t="inlineStr">
        <is>
          <t>051-363-5559</t>
        </is>
      </c>
      <c r="H685" s="15" t="n">
        <v>39</v>
      </c>
      <c r="I685" s="15" t="n">
        <v>9</v>
      </c>
      <c r="J685" s="15" t="n">
        <v>9</v>
      </c>
      <c r="K685" s="15" t="n">
        <v>7</v>
      </c>
      <c r="L685" s="15" t="n">
        <v>7</v>
      </c>
      <c r="M685" s="15" t="n">
        <v>0</v>
      </c>
      <c r="N685" s="15" t="n">
        <v>0</v>
      </c>
      <c r="O685" s="15" t="n">
        <v>0</v>
      </c>
      <c r="P685" s="15" t="n">
        <v>0</v>
      </c>
      <c r="Q685" s="15" t="n">
        <v>0</v>
      </c>
      <c r="R685" s="15" t="n">
        <v>0</v>
      </c>
      <c r="S685" s="15" t="n">
        <v>3</v>
      </c>
      <c r="T685" s="14">
        <f>IF(COUNT(I685:S685)=0,"",SUM(I685:S685))</f>
        <v/>
      </c>
      <c r="U685" t="inlineStr"/>
    </row>
    <row r="686">
      <c r="A686" t="inlineStr">
        <is>
          <t>사과나무어린이집</t>
        </is>
      </c>
      <c r="B686" t="inlineStr">
        <is>
          <t>어린이집</t>
        </is>
      </c>
      <c r="C686" t="inlineStr">
        <is>
          <t>가정</t>
        </is>
      </c>
      <c r="D686" t="inlineStr">
        <is>
          <t>북구</t>
        </is>
      </c>
      <c r="E686" t="inlineStr">
        <is>
          <t>부산광역시 북구 화명신도시로 39 715동 103호(화명동, 대림쌍용강변타운)</t>
        </is>
      </c>
      <c r="F686" s="11" t="inlineStr">
        <is>
          <t>http://bek2474hanmail.net</t>
        </is>
      </c>
      <c r="G686" t="inlineStr">
        <is>
          <t>070-8639-0365</t>
        </is>
      </c>
      <c r="H686" s="15" t="n">
        <v>20</v>
      </c>
      <c r="I686" s="15" t="n">
        <v>2</v>
      </c>
      <c r="J686" s="15" t="n">
        <v>0</v>
      </c>
      <c r="K686" s="15" t="n">
        <v>0</v>
      </c>
      <c r="L686" s="15" t="n">
        <v>0</v>
      </c>
      <c r="M686" s="15" t="n">
        <v>0</v>
      </c>
      <c r="N686" s="15" t="n">
        <v>0</v>
      </c>
      <c r="O686" s="15" t="n">
        <v>3</v>
      </c>
      <c r="P686" s="15" t="n">
        <v>0</v>
      </c>
      <c r="Q686" s="15" t="n">
        <v>0</v>
      </c>
      <c r="R686" s="15" t="n">
        <v>0</v>
      </c>
      <c r="S686" s="15" t="n">
        <v>2</v>
      </c>
      <c r="T686" s="14">
        <f>IF(COUNT(I686:S686)=0,"",SUM(I686:S686))</f>
        <v/>
      </c>
      <c r="U686" t="inlineStr"/>
    </row>
    <row r="687">
      <c r="A687" t="inlineStr">
        <is>
          <t>사랑나무어린이집</t>
        </is>
      </c>
      <c r="B687" t="inlineStr">
        <is>
          <t>어린이집</t>
        </is>
      </c>
      <c r="C687" t="inlineStr">
        <is>
          <t>민간</t>
        </is>
      </c>
      <c r="D687" t="inlineStr">
        <is>
          <t>북구</t>
        </is>
      </c>
      <c r="E687" t="inlineStr">
        <is>
          <t>부산광역시 북구 학사로17번길 31 수정강변타운아파트 관리동</t>
        </is>
      </c>
      <c r="F687" t="inlineStr"/>
      <c r="G687" t="inlineStr">
        <is>
          <t>051-364-1255</t>
        </is>
      </c>
      <c r="H687" s="15" t="n">
        <v>43</v>
      </c>
      <c r="I687" s="15" t="n">
        <v>5</v>
      </c>
      <c r="J687" s="15" t="n">
        <v>19</v>
      </c>
      <c r="K687" s="15" t="n">
        <v>12</v>
      </c>
      <c r="L687" s="15" t="n">
        <v>0</v>
      </c>
      <c r="M687" s="15" t="n">
        <v>0</v>
      </c>
      <c r="N687" s="15" t="n">
        <v>0</v>
      </c>
      <c r="O687" s="15" t="n">
        <v>0</v>
      </c>
      <c r="P687" s="15" t="n">
        <v>7</v>
      </c>
      <c r="Q687" s="15" t="n">
        <v>0</v>
      </c>
      <c r="R687" s="15" t="n">
        <v>0</v>
      </c>
      <c r="S687" s="15" t="n">
        <v>3</v>
      </c>
      <c r="T687" s="14">
        <f>IF(COUNT(I687:S687)=0,"",SUM(I687:S687))</f>
        <v/>
      </c>
      <c r="U687" t="inlineStr"/>
    </row>
    <row r="688">
      <c r="A688" t="inlineStr">
        <is>
          <t>산새소리어린이집</t>
        </is>
      </c>
      <c r="B688" t="inlineStr">
        <is>
          <t>어린이집</t>
        </is>
      </c>
      <c r="C688" t="inlineStr">
        <is>
          <t>민간</t>
        </is>
      </c>
      <c r="D688" t="inlineStr">
        <is>
          <t>북구</t>
        </is>
      </c>
      <c r="E688" t="inlineStr">
        <is>
          <t>부산광역시 북구 만덕1로104번길 46 (덕천동)</t>
        </is>
      </c>
      <c r="F688" s="11" t="inlineStr">
        <is>
          <t>http://cafe.daum.net/sansae001</t>
        </is>
      </c>
      <c r="G688" t="inlineStr">
        <is>
          <t>051-334-8339</t>
        </is>
      </c>
      <c r="H688" s="15" t="n">
        <v>131</v>
      </c>
      <c r="I688" s="15" t="n">
        <v>8</v>
      </c>
      <c r="J688" s="15" t="n">
        <v>30</v>
      </c>
      <c r="K688" s="15" t="n">
        <v>17</v>
      </c>
      <c r="L688" s="15" t="n">
        <v>31</v>
      </c>
      <c r="M688" s="15" t="n">
        <v>21</v>
      </c>
      <c r="N688" s="15" t="n">
        <v>0</v>
      </c>
      <c r="O688" s="15" t="n">
        <v>0</v>
      </c>
      <c r="P688" s="15" t="n">
        <v>17</v>
      </c>
      <c r="Q688" s="15" t="n">
        <v>0</v>
      </c>
      <c r="R688" s="15" t="n">
        <v>0</v>
      </c>
      <c r="S688" s="15" t="n">
        <v>24</v>
      </c>
      <c r="T688" s="14">
        <f>IF(COUNT(I688:S688)=0,"",SUM(I688:S688))</f>
        <v/>
      </c>
      <c r="U688" t="inlineStr"/>
    </row>
    <row r="689">
      <c r="A689" t="inlineStr">
        <is>
          <t>삼정어린이집</t>
        </is>
      </c>
      <c r="B689" t="inlineStr">
        <is>
          <t>어린이집</t>
        </is>
      </c>
      <c r="C689" t="inlineStr">
        <is>
          <t>민간</t>
        </is>
      </c>
      <c r="D689" t="inlineStr">
        <is>
          <t>북구</t>
        </is>
      </c>
      <c r="E689" t="inlineStr">
        <is>
          <t>부산광역시 북구 백양대로1016번길 10 삼정그린코아 관리동1층</t>
        </is>
      </c>
      <c r="F689" t="inlineStr"/>
      <c r="G689" t="inlineStr">
        <is>
          <t>051-342-0529</t>
        </is>
      </c>
      <c r="H689" s="15" t="n">
        <v>39</v>
      </c>
      <c r="I689" s="15" t="n">
        <v>0</v>
      </c>
      <c r="J689" s="15" t="n">
        <v>5</v>
      </c>
      <c r="K689" s="15" t="n">
        <v>0</v>
      </c>
      <c r="L689" s="15" t="n">
        <v>0</v>
      </c>
      <c r="M689" s="15" t="n">
        <v>0</v>
      </c>
      <c r="N689" s="15" t="n">
        <v>0</v>
      </c>
      <c r="O689" s="15" t="n">
        <v>6</v>
      </c>
      <c r="P689" s="15" t="n">
        <v>0</v>
      </c>
      <c r="Q689" s="15" t="n">
        <v>0</v>
      </c>
      <c r="R689" s="15" t="n">
        <v>0</v>
      </c>
      <c r="S689" s="15" t="n">
        <v>3</v>
      </c>
      <c r="T689" s="14">
        <f>IF(COUNT(I689:S689)=0,"",SUM(I689:S689))</f>
        <v/>
      </c>
      <c r="U689" t="inlineStr"/>
    </row>
    <row r="690">
      <c r="A690" t="inlineStr">
        <is>
          <t>삼한어린이집</t>
        </is>
      </c>
      <c r="B690" t="inlineStr">
        <is>
          <t>어린이집</t>
        </is>
      </c>
      <c r="C690" t="inlineStr">
        <is>
          <t>가정</t>
        </is>
      </c>
      <c r="D690" t="inlineStr">
        <is>
          <t>북구</t>
        </is>
      </c>
      <c r="E690" t="inlineStr">
        <is>
          <t>부산광역시 북구 화명대로 97-10 104동 102호(화명동, 삼한힐파크)</t>
        </is>
      </c>
      <c r="F690" t="inlineStr"/>
      <c r="G690" t="inlineStr">
        <is>
          <t>051-363-3493</t>
        </is>
      </c>
      <c r="H690" s="15" t="n">
        <v>19</v>
      </c>
      <c r="I690" s="15" t="n">
        <v>3</v>
      </c>
      <c r="J690" s="15" t="n">
        <v>5</v>
      </c>
      <c r="K690" s="15" t="n">
        <v>7</v>
      </c>
      <c r="L690" s="15" t="n">
        <v>0</v>
      </c>
      <c r="M690" s="15" t="n">
        <v>0</v>
      </c>
      <c r="N690" s="15" t="n">
        <v>0</v>
      </c>
      <c r="O690" s="15" t="n">
        <v>3</v>
      </c>
      <c r="P690" s="15" t="n">
        <v>0</v>
      </c>
      <c r="Q690" s="15" t="n">
        <v>0</v>
      </c>
      <c r="R690" s="15" t="n">
        <v>0</v>
      </c>
      <c r="S690" s="15" t="n">
        <v>5</v>
      </c>
      <c r="T690" s="14">
        <f>IF(COUNT(I690:S690)=0,"",SUM(I690:S690))</f>
        <v/>
      </c>
      <c r="U690" t="inlineStr"/>
    </row>
    <row r="691">
      <c r="A691" t="inlineStr">
        <is>
          <t>새들어린이집</t>
        </is>
      </c>
      <c r="B691" t="inlineStr">
        <is>
          <t>어린이집</t>
        </is>
      </c>
      <c r="C691" t="inlineStr">
        <is>
          <t>가정</t>
        </is>
      </c>
      <c r="D691" t="inlineStr">
        <is>
          <t>북구</t>
        </is>
      </c>
      <c r="E691" t="inlineStr">
        <is>
          <t>부산광역시 북구 의성로128번길 26-1</t>
        </is>
      </c>
      <c r="F691" t="inlineStr"/>
      <c r="G691" t="inlineStr">
        <is>
          <t>051-343-5606</t>
        </is>
      </c>
      <c r="H691" s="15" t="n">
        <v>20</v>
      </c>
      <c r="I691" s="15" t="n">
        <v>0</v>
      </c>
      <c r="J691" s="15" t="n">
        <v>0</v>
      </c>
      <c r="K691" s="15" t="n">
        <v>6</v>
      </c>
      <c r="L691" s="15" t="n">
        <v>0</v>
      </c>
      <c r="M691" s="15" t="n">
        <v>0</v>
      </c>
      <c r="N691" s="15" t="n">
        <v>0</v>
      </c>
      <c r="O691" s="15" t="n">
        <v>2</v>
      </c>
      <c r="P691" s="15" t="n">
        <v>0</v>
      </c>
      <c r="Q691" s="15" t="n">
        <v>0</v>
      </c>
      <c r="R691" s="15" t="n">
        <v>0</v>
      </c>
      <c r="S691" s="15" t="n">
        <v>5</v>
      </c>
      <c r="T691" s="14">
        <f>IF(COUNT(I691:S691)=0,"",SUM(I691:S691))</f>
        <v/>
      </c>
      <c r="U691" t="inlineStr"/>
    </row>
    <row r="692">
      <c r="A692" t="inlineStr">
        <is>
          <t>샘터어린이집</t>
        </is>
      </c>
      <c r="B692" t="inlineStr">
        <is>
          <t>어린이집</t>
        </is>
      </c>
      <c r="C692" t="inlineStr">
        <is>
          <t>사회복지법인</t>
        </is>
      </c>
      <c r="D692" t="inlineStr">
        <is>
          <t>북구</t>
        </is>
      </c>
      <c r="E692" t="inlineStr">
        <is>
          <t>부산광역시 북구 시랑로114번길 45 (구포동)</t>
        </is>
      </c>
      <c r="F692" s="11" t="inlineStr">
        <is>
          <t>http://www.saemteo.kg.kr.</t>
        </is>
      </c>
      <c r="G692" t="inlineStr">
        <is>
          <t>051-336-0114</t>
        </is>
      </c>
      <c r="H692" s="15" t="n">
        <v>32</v>
      </c>
      <c r="I692" s="15" t="n">
        <v>0</v>
      </c>
      <c r="J692" s="15" t="n">
        <v>0</v>
      </c>
      <c r="K692" s="15" t="n">
        <v>0</v>
      </c>
      <c r="L692" s="15" t="n">
        <v>0</v>
      </c>
      <c r="M692" s="15" t="n">
        <v>0</v>
      </c>
      <c r="N692" s="15" t="n">
        <v>0</v>
      </c>
      <c r="O692" s="15" t="n">
        <v>0</v>
      </c>
      <c r="P692" s="15" t="n">
        <v>0</v>
      </c>
      <c r="Q692" s="15" t="n">
        <v>0</v>
      </c>
      <c r="R692" s="15" t="n">
        <v>23</v>
      </c>
      <c r="S692" s="15" t="n">
        <v>0</v>
      </c>
      <c r="T692" s="14">
        <f>IF(COUNT(I692:S692)=0,"",SUM(I692:S692))</f>
        <v/>
      </c>
      <c r="U692" t="inlineStr"/>
    </row>
    <row r="693">
      <c r="A693" t="inlineStr">
        <is>
          <t>서광자연어린이집</t>
        </is>
      </c>
      <c r="B693" t="inlineStr">
        <is>
          <t>어린이집</t>
        </is>
      </c>
      <c r="C693" t="inlineStr">
        <is>
          <t>민간</t>
        </is>
      </c>
      <c r="D693" t="inlineStr">
        <is>
          <t>북구</t>
        </is>
      </c>
      <c r="E693" t="inlineStr">
        <is>
          <t>부산광역시 북구 덕천로381번길 41 (만덕동)</t>
        </is>
      </c>
      <c r="F693" t="inlineStr"/>
      <c r="G693" t="inlineStr">
        <is>
          <t>051-335-8868</t>
        </is>
      </c>
      <c r="H693" s="15" t="n">
        <v>184</v>
      </c>
      <c r="I693" s="15" t="n">
        <v>0</v>
      </c>
      <c r="J693" s="15" t="n">
        <v>0</v>
      </c>
      <c r="K693" s="15" t="n">
        <v>25</v>
      </c>
      <c r="L693" s="15" t="n">
        <v>45</v>
      </c>
      <c r="M693" s="15" t="n">
        <v>55</v>
      </c>
      <c r="N693" s="15" t="n">
        <v>39</v>
      </c>
      <c r="O693" s="15" t="n">
        <v>0</v>
      </c>
      <c r="P693" s="15" t="n">
        <v>0</v>
      </c>
      <c r="Q693" s="15" t="n">
        <v>0</v>
      </c>
      <c r="R693" s="15" t="n">
        <v>0</v>
      </c>
      <c r="S693" s="15" t="n">
        <v>73</v>
      </c>
      <c r="T693" s="14">
        <f>IF(COUNT(I693:S693)=0,"",SUM(I693:S693))</f>
        <v/>
      </c>
      <c r="U693" t="inlineStr"/>
    </row>
    <row r="694">
      <c r="A694" t="inlineStr">
        <is>
          <t>수정캐슬어린이집</t>
        </is>
      </c>
      <c r="B694" t="inlineStr">
        <is>
          <t>어린이집</t>
        </is>
      </c>
      <c r="C694" t="inlineStr">
        <is>
          <t>민간</t>
        </is>
      </c>
      <c r="D694" t="inlineStr">
        <is>
          <t>북구</t>
        </is>
      </c>
      <c r="E694" t="inlineStr">
        <is>
          <t>부산광역시 북구 화명대로94번길 104 수정캐슬어린이집</t>
        </is>
      </c>
      <c r="F694" t="inlineStr"/>
      <c r="G694" t="inlineStr">
        <is>
          <t>051-365-2336</t>
        </is>
      </c>
      <c r="H694" s="15" t="n">
        <v>69</v>
      </c>
      <c r="I694" s="15" t="n">
        <v>8</v>
      </c>
      <c r="J694" s="15" t="n">
        <v>14</v>
      </c>
      <c r="K694" s="15" t="n">
        <v>28</v>
      </c>
      <c r="L694" s="15" t="n">
        <v>0</v>
      </c>
      <c r="M694" s="15" t="n">
        <v>0</v>
      </c>
      <c r="N694" s="15" t="n">
        <v>0</v>
      </c>
      <c r="O694" s="15" t="n">
        <v>5</v>
      </c>
      <c r="P694" s="15" t="n">
        <v>0</v>
      </c>
      <c r="Q694" s="15" t="n">
        <v>0</v>
      </c>
      <c r="R694" s="15" t="n">
        <v>0</v>
      </c>
      <c r="S694" s="15" t="n">
        <v>0</v>
      </c>
      <c r="T694" s="14">
        <f>IF(COUNT(I694:S694)=0,"",SUM(I694:S694))</f>
        <v/>
      </c>
      <c r="U694" t="inlineStr"/>
    </row>
    <row r="695">
      <c r="A695" t="inlineStr">
        <is>
          <t>숲소리어린이집</t>
        </is>
      </c>
      <c r="B695" t="inlineStr">
        <is>
          <t>어린이집</t>
        </is>
      </c>
      <c r="C695" t="inlineStr">
        <is>
          <t>민간</t>
        </is>
      </c>
      <c r="D695" t="inlineStr">
        <is>
          <t>북구</t>
        </is>
      </c>
      <c r="E695" t="inlineStr">
        <is>
          <t>부산광역시 북구 효열로 135 동원역삼정그린코아아파트 107동</t>
        </is>
      </c>
      <c r="F695" t="inlineStr"/>
      <c r="G695" t="inlineStr">
        <is>
          <t>051-365-0070</t>
        </is>
      </c>
      <c r="H695" s="15" t="n">
        <v>39</v>
      </c>
      <c r="I695" s="15" t="n">
        <v>3</v>
      </c>
      <c r="J695" s="15" t="n">
        <v>9</v>
      </c>
      <c r="K695" s="15" t="n">
        <v>7</v>
      </c>
      <c r="L695" s="15" t="n">
        <v>0</v>
      </c>
      <c r="M695" s="15" t="n">
        <v>0</v>
      </c>
      <c r="N695" s="15" t="n">
        <v>0</v>
      </c>
      <c r="O695" s="15" t="n">
        <v>0</v>
      </c>
      <c r="P695" s="15" t="n">
        <v>0</v>
      </c>
      <c r="Q695" s="15" t="n">
        <v>0</v>
      </c>
      <c r="R695" s="15" t="n">
        <v>0</v>
      </c>
      <c r="S695" s="15" t="n">
        <v>2</v>
      </c>
      <c r="T695" s="14">
        <f>IF(COUNT(I695:S695)=0,"",SUM(I695:S695))</f>
        <v/>
      </c>
      <c r="U695" t="inlineStr"/>
    </row>
    <row r="696">
      <c r="A696" t="inlineStr">
        <is>
          <t>숲속경남어린이집</t>
        </is>
      </c>
      <c r="B696" t="inlineStr">
        <is>
          <t>어린이집</t>
        </is>
      </c>
      <c r="C696" t="inlineStr">
        <is>
          <t>민간</t>
        </is>
      </c>
      <c r="D696" t="inlineStr">
        <is>
          <t>북구</t>
        </is>
      </c>
      <c r="E696" t="inlineStr">
        <is>
          <t>부산광역시 북구 대천천길 37 경남아너스빌 관리사무소 1층 숲속경남어린이집</t>
        </is>
      </c>
      <c r="F696" t="inlineStr"/>
      <c r="G696" t="inlineStr">
        <is>
          <t>051-362-7750</t>
        </is>
      </c>
      <c r="H696" s="15" t="n">
        <v>39</v>
      </c>
      <c r="I696" s="15" t="n">
        <v>5</v>
      </c>
      <c r="J696" s="15" t="n">
        <v>8</v>
      </c>
      <c r="K696" s="15" t="n">
        <v>5</v>
      </c>
      <c r="L696" s="15" t="n">
        <v>0</v>
      </c>
      <c r="M696" s="15" t="n">
        <v>0</v>
      </c>
      <c r="N696" s="15" t="n">
        <v>0</v>
      </c>
      <c r="O696" s="15" t="n">
        <v>5</v>
      </c>
      <c r="P696" s="15" t="n">
        <v>0</v>
      </c>
      <c r="Q696" s="15" t="n">
        <v>0</v>
      </c>
      <c r="R696" s="15" t="n">
        <v>0</v>
      </c>
      <c r="S696" s="15" t="n">
        <v>5</v>
      </c>
      <c r="T696" s="14">
        <f>IF(COUNT(I696:S696)=0,"",SUM(I696:S696))</f>
        <v/>
      </c>
      <c r="U696" t="inlineStr"/>
    </row>
    <row r="697">
      <c r="A697" t="inlineStr">
        <is>
          <t>신대성어린이집</t>
        </is>
      </c>
      <c r="B697" t="inlineStr">
        <is>
          <t>어린이집</t>
        </is>
      </c>
      <c r="C697" t="inlineStr">
        <is>
          <t>민간</t>
        </is>
      </c>
      <c r="D697" t="inlineStr">
        <is>
          <t>북구</t>
        </is>
      </c>
      <c r="E697" t="inlineStr">
        <is>
          <t>부산광역시 북구 구남언덕로 14 (구포동)</t>
        </is>
      </c>
      <c r="F697" s="11" t="inlineStr">
        <is>
          <t>http://cafe.naver.com</t>
        </is>
      </c>
      <c r="G697" t="inlineStr">
        <is>
          <t>051-337-6679</t>
        </is>
      </c>
      <c r="H697" s="15" t="n">
        <v>61</v>
      </c>
      <c r="I697" s="15" t="n">
        <v>3</v>
      </c>
      <c r="J697" s="15" t="n">
        <v>13</v>
      </c>
      <c r="K697" s="15" t="n">
        <v>12</v>
      </c>
      <c r="L697" s="15" t="n">
        <v>10</v>
      </c>
      <c r="M697" s="15" t="n">
        <v>0</v>
      </c>
      <c r="N697" s="15" t="n">
        <v>0</v>
      </c>
      <c r="O697" s="15" t="n">
        <v>0</v>
      </c>
      <c r="P697" s="15" t="n">
        <v>13</v>
      </c>
      <c r="Q697" s="15" t="n">
        <v>0</v>
      </c>
      <c r="R697" s="15" t="n">
        <v>0</v>
      </c>
      <c r="S697" s="15" t="n">
        <v>53</v>
      </c>
      <c r="T697" s="14">
        <f>IF(COUNT(I697:S697)=0,"",SUM(I697:S697))</f>
        <v/>
      </c>
      <c r="U697" t="inlineStr"/>
    </row>
    <row r="698">
      <c r="A698" t="inlineStr">
        <is>
          <t>쌍용앙팡어린이집</t>
        </is>
      </c>
      <c r="B698" t="inlineStr">
        <is>
          <t>어린이집</t>
        </is>
      </c>
      <c r="C698" t="inlineStr">
        <is>
          <t>민간</t>
        </is>
      </c>
      <c r="D698" t="inlineStr">
        <is>
          <t>북구</t>
        </is>
      </c>
      <c r="E698" t="inlineStr">
        <is>
          <t>부산광역시 북구 만덕3로 49 쌍용스윗닷홈 관리동 (만덕동)</t>
        </is>
      </c>
      <c r="F698" t="inlineStr"/>
      <c r="G698" t="inlineStr">
        <is>
          <t>051-341-6656</t>
        </is>
      </c>
      <c r="H698" s="15" t="n">
        <v>27</v>
      </c>
      <c r="I698" s="15" t="n">
        <v>5</v>
      </c>
      <c r="J698" s="15" t="n">
        <v>9</v>
      </c>
      <c r="K698" s="15" t="n">
        <v>7</v>
      </c>
      <c r="L698" s="15" t="n">
        <v>0</v>
      </c>
      <c r="M698" s="15" t="n">
        <v>0</v>
      </c>
      <c r="N698" s="15" t="n">
        <v>0</v>
      </c>
      <c r="O698" s="15" t="n">
        <v>0</v>
      </c>
      <c r="P698" s="15" t="n">
        <v>0</v>
      </c>
      <c r="Q698" s="15" t="n">
        <v>0</v>
      </c>
      <c r="R698" s="15" t="n">
        <v>0</v>
      </c>
      <c r="S698" s="15" t="n">
        <v>3</v>
      </c>
      <c r="T698" s="14">
        <f>IF(COUNT(I698:S698)=0,"",SUM(I698:S698))</f>
        <v/>
      </c>
      <c r="U698" t="inlineStr"/>
    </row>
    <row r="699">
      <c r="A699" t="inlineStr">
        <is>
          <t>아기꿈어린이집</t>
        </is>
      </c>
      <c r="B699" t="inlineStr">
        <is>
          <t>어린이집</t>
        </is>
      </c>
      <c r="C699" t="inlineStr">
        <is>
          <t>가정</t>
        </is>
      </c>
      <c r="D699" t="inlineStr">
        <is>
          <t>북구</t>
        </is>
      </c>
      <c r="E699" t="inlineStr">
        <is>
          <t>부산광역시 북구 덕천로276번길 60 108동 105호(만덕동, 백양디이스트)</t>
        </is>
      </c>
      <c r="F699" t="inlineStr"/>
      <c r="G699" t="inlineStr">
        <is>
          <t>051-331-2838</t>
        </is>
      </c>
      <c r="H699" s="15" t="n">
        <v>19</v>
      </c>
      <c r="I699" s="15" t="n">
        <v>0</v>
      </c>
      <c r="J699" s="15" t="n">
        <v>5</v>
      </c>
      <c r="K699" s="15" t="n">
        <v>0</v>
      </c>
      <c r="L699" s="15" t="n">
        <v>0</v>
      </c>
      <c r="M699" s="15" t="n">
        <v>0</v>
      </c>
      <c r="N699" s="15" t="n">
        <v>0</v>
      </c>
      <c r="O699" s="15" t="n">
        <v>9</v>
      </c>
      <c r="P699" s="15" t="n">
        <v>0</v>
      </c>
      <c r="Q699" s="15" t="n">
        <v>0</v>
      </c>
      <c r="R699" s="15" t="n">
        <v>0</v>
      </c>
      <c r="S699" s="15" t="n">
        <v>13</v>
      </c>
      <c r="T699" s="14">
        <f>IF(COUNT(I699:S699)=0,"",SUM(I699:S699))</f>
        <v/>
      </c>
      <c r="U699" t="inlineStr"/>
    </row>
    <row r="700">
      <c r="A700" t="inlineStr">
        <is>
          <t>아람어린이집</t>
        </is>
      </c>
      <c r="B700" t="inlineStr">
        <is>
          <t>어린이집</t>
        </is>
      </c>
      <c r="C700" t="inlineStr">
        <is>
          <t>민간</t>
        </is>
      </c>
      <c r="D700" t="inlineStr">
        <is>
          <t>북구</t>
        </is>
      </c>
      <c r="E700" t="inlineStr">
        <is>
          <t>부산광역시 북구 함박봉로 22 덕천동 롯데아파트 보육시설</t>
        </is>
      </c>
      <c r="F700" t="inlineStr"/>
      <c r="G700" t="inlineStr">
        <is>
          <t>051-338-8749</t>
        </is>
      </c>
      <c r="H700" s="15" t="n">
        <v>36</v>
      </c>
      <c r="I700" s="15" t="n">
        <v>2</v>
      </c>
      <c r="J700" s="15" t="n">
        <v>8</v>
      </c>
      <c r="K700" s="15" t="n">
        <v>12</v>
      </c>
      <c r="L700" s="15" t="n">
        <v>0</v>
      </c>
      <c r="M700" s="15" t="n">
        <v>0</v>
      </c>
      <c r="N700" s="15" t="n">
        <v>0</v>
      </c>
      <c r="O700" s="15" t="n">
        <v>0</v>
      </c>
      <c r="P700" s="15" t="n">
        <v>0</v>
      </c>
      <c r="Q700" s="15" t="n">
        <v>0</v>
      </c>
      <c r="R700" s="15" t="n">
        <v>0</v>
      </c>
      <c r="S700" s="15" t="n">
        <v>0</v>
      </c>
      <c r="T700" s="14">
        <f>IF(COUNT(I700:S700)=0,"",SUM(I700:S700))</f>
        <v/>
      </c>
      <c r="U700" t="inlineStr"/>
    </row>
    <row r="701">
      <c r="A701" t="inlineStr">
        <is>
          <t>아이꿈영재스쿨어린이집</t>
        </is>
      </c>
      <c r="B701" t="inlineStr">
        <is>
          <t>어린이집</t>
        </is>
      </c>
      <c r="C701" t="inlineStr">
        <is>
          <t>가정</t>
        </is>
      </c>
      <c r="D701" t="inlineStr">
        <is>
          <t>북구</t>
        </is>
      </c>
      <c r="E701" t="inlineStr">
        <is>
          <t>부산광역시 북구 금곡대로 228 105동 103호(화명동,동원로얄듀크아파트)</t>
        </is>
      </c>
      <c r="F701" t="inlineStr"/>
      <c r="G701" t="inlineStr">
        <is>
          <t>051-335-3236</t>
        </is>
      </c>
      <c r="H701" s="15" t="n">
        <v>20</v>
      </c>
      <c r="I701" s="15" t="n">
        <v>1</v>
      </c>
      <c r="J701" s="15" t="n">
        <v>0</v>
      </c>
      <c r="K701" s="15" t="n">
        <v>0</v>
      </c>
      <c r="L701" s="15" t="n">
        <v>0</v>
      </c>
      <c r="M701" s="15" t="n">
        <v>0</v>
      </c>
      <c r="N701" s="15" t="n">
        <v>0</v>
      </c>
      <c r="O701" s="15" t="n">
        <v>1</v>
      </c>
      <c r="P701" s="15" t="n">
        <v>0</v>
      </c>
      <c r="Q701" s="15" t="n">
        <v>0</v>
      </c>
      <c r="R701" s="15" t="n">
        <v>0</v>
      </c>
      <c r="S701" s="15" t="n">
        <v>2</v>
      </c>
      <c r="T701" s="14">
        <f>IF(COUNT(I701:S701)=0,"",SUM(I701:S701))</f>
        <v/>
      </c>
      <c r="U701" t="inlineStr"/>
    </row>
    <row r="702">
      <c r="A702" t="inlineStr">
        <is>
          <t>아이동산어린이집</t>
        </is>
      </c>
      <c r="B702" t="inlineStr">
        <is>
          <t>어린이집</t>
        </is>
      </c>
      <c r="C702" t="inlineStr">
        <is>
          <t>가정</t>
        </is>
      </c>
      <c r="D702" t="inlineStr">
        <is>
          <t>북구</t>
        </is>
      </c>
      <c r="E702" t="inlineStr">
        <is>
          <t>부산광역시 북구 만덕대로155번길 15 101동 102호(덕천동, 덕천삼정그린코아)</t>
        </is>
      </c>
      <c r="F702" t="inlineStr"/>
      <c r="G702" t="inlineStr">
        <is>
          <t>051-332-6461</t>
        </is>
      </c>
      <c r="H702" s="15" t="n">
        <v>20</v>
      </c>
      <c r="I702" s="15" t="n">
        <v>6</v>
      </c>
      <c r="J702" s="15" t="n">
        <v>8</v>
      </c>
      <c r="K702" s="15" t="n">
        <v>6</v>
      </c>
      <c r="L702" s="15" t="n">
        <v>0</v>
      </c>
      <c r="M702" s="15" t="n">
        <v>0</v>
      </c>
      <c r="N702" s="15" t="n">
        <v>0</v>
      </c>
      <c r="O702" s="15" t="n">
        <v>0</v>
      </c>
      <c r="P702" s="15" t="n">
        <v>0</v>
      </c>
      <c r="Q702" s="15" t="n">
        <v>0</v>
      </c>
      <c r="R702" s="15" t="n">
        <v>0</v>
      </c>
      <c r="S702" s="15" t="n">
        <v>5</v>
      </c>
      <c r="T702" s="14">
        <f>IF(COUNT(I702:S702)=0,"",SUM(I702:S702))</f>
        <v/>
      </c>
      <c r="U702" t="inlineStr"/>
    </row>
    <row r="703">
      <c r="A703" t="inlineStr">
        <is>
          <t>아이랑어린이집</t>
        </is>
      </c>
      <c r="B703" t="inlineStr">
        <is>
          <t>어린이집</t>
        </is>
      </c>
      <c r="C703" t="inlineStr">
        <is>
          <t>가정</t>
        </is>
      </c>
      <c r="D703" t="inlineStr">
        <is>
          <t>북구</t>
        </is>
      </c>
      <c r="E703" t="inlineStr">
        <is>
          <t>부산광역시 북구 금곡대로 268 401동 101호(화명동, 대림타운)</t>
        </is>
      </c>
      <c r="F703" t="inlineStr"/>
      <c r="G703" t="inlineStr">
        <is>
          <t>051-363-3939</t>
        </is>
      </c>
      <c r="H703" s="15" t="n">
        <v>19</v>
      </c>
      <c r="I703" s="15" t="n">
        <v>6</v>
      </c>
      <c r="J703" s="15" t="n">
        <v>5</v>
      </c>
      <c r="K703" s="15" t="n">
        <v>5</v>
      </c>
      <c r="L703" s="15" t="n">
        <v>0</v>
      </c>
      <c r="M703" s="15" t="n">
        <v>0</v>
      </c>
      <c r="N703" s="15" t="n">
        <v>0</v>
      </c>
      <c r="O703" s="15" t="n">
        <v>3</v>
      </c>
      <c r="P703" s="15" t="n">
        <v>0</v>
      </c>
      <c r="Q703" s="15" t="n">
        <v>0</v>
      </c>
      <c r="R703" s="15" t="n">
        <v>0</v>
      </c>
      <c r="S703" s="15" t="n">
        <v>5</v>
      </c>
      <c r="T703" s="14">
        <f>IF(COUNT(I703:S703)=0,"",SUM(I703:S703))</f>
        <v/>
      </c>
      <c r="U703" t="inlineStr"/>
    </row>
    <row r="704">
      <c r="A704" t="inlineStr">
        <is>
          <t>아이맘어린이집</t>
        </is>
      </c>
      <c r="B704" t="inlineStr">
        <is>
          <t>어린이집</t>
        </is>
      </c>
      <c r="C704" t="inlineStr">
        <is>
          <t>가정</t>
        </is>
      </c>
      <c r="D704" t="inlineStr">
        <is>
          <t>북구</t>
        </is>
      </c>
      <c r="E704" t="inlineStr">
        <is>
          <t>부산광역시 북구 덕천로276번길 60 102동 103호(만덕동, 동문굿모닝힐)</t>
        </is>
      </c>
      <c r="F704" t="inlineStr"/>
      <c r="G704" t="inlineStr">
        <is>
          <t>051-337-3040</t>
        </is>
      </c>
      <c r="H704" s="15" t="n">
        <v>20</v>
      </c>
      <c r="I704" s="15" t="n">
        <v>3</v>
      </c>
      <c r="J704" s="15" t="n">
        <v>8</v>
      </c>
      <c r="K704" s="15" t="n">
        <v>4</v>
      </c>
      <c r="L704" s="15" t="n">
        <v>0</v>
      </c>
      <c r="M704" s="15" t="n">
        <v>0</v>
      </c>
      <c r="N704" s="15" t="n">
        <v>0</v>
      </c>
      <c r="O704" s="15" t="n">
        <v>0</v>
      </c>
      <c r="P704" s="15" t="n">
        <v>0</v>
      </c>
      <c r="Q704" s="15" t="n">
        <v>0</v>
      </c>
      <c r="R704" s="15" t="n">
        <v>0</v>
      </c>
      <c r="S704" s="15" t="n">
        <v>4</v>
      </c>
      <c r="T704" s="14">
        <f>IF(COUNT(I704:S704)=0,"",SUM(I704:S704))</f>
        <v/>
      </c>
      <c r="U704" t="inlineStr"/>
    </row>
    <row r="705">
      <c r="A705" t="inlineStr">
        <is>
          <t>아이사랑어린이집</t>
        </is>
      </c>
      <c r="B705" t="inlineStr">
        <is>
          <t>어린이집</t>
        </is>
      </c>
      <c r="C705" t="inlineStr">
        <is>
          <t>가정</t>
        </is>
      </c>
      <c r="D705" t="inlineStr">
        <is>
          <t>북구</t>
        </is>
      </c>
      <c r="E705" t="inlineStr">
        <is>
          <t>부산광역시 북구 덕천로259번길 30 101동 109호(만덕동, 대성타워)</t>
        </is>
      </c>
      <c r="F705" t="inlineStr"/>
      <c r="G705" t="inlineStr">
        <is>
          <t>051-363-7608</t>
        </is>
      </c>
      <c r="H705" s="15" t="n">
        <v>19</v>
      </c>
      <c r="I705" s="15" t="n">
        <v>6</v>
      </c>
      <c r="J705" s="15" t="n">
        <v>8</v>
      </c>
      <c r="K705" s="15" t="n">
        <v>5</v>
      </c>
      <c r="L705" s="15" t="n">
        <v>0</v>
      </c>
      <c r="M705" s="15" t="n">
        <v>0</v>
      </c>
      <c r="N705" s="15" t="n">
        <v>0</v>
      </c>
      <c r="O705" s="15" t="n">
        <v>0</v>
      </c>
      <c r="P705" s="15" t="n">
        <v>0</v>
      </c>
      <c r="Q705" s="15" t="n">
        <v>0</v>
      </c>
      <c r="R705" s="15" t="n">
        <v>0</v>
      </c>
      <c r="S705" s="15" t="n">
        <v>5</v>
      </c>
      <c r="T705" s="14">
        <f>IF(COUNT(I705:S705)=0,"",SUM(I705:S705))</f>
        <v/>
      </c>
      <c r="U705" t="inlineStr"/>
    </row>
    <row r="706">
      <c r="A706" t="inlineStr">
        <is>
          <t>아이캐슬어린이집</t>
        </is>
      </c>
      <c r="B706" t="inlineStr">
        <is>
          <t>어린이집</t>
        </is>
      </c>
      <c r="C706" t="inlineStr">
        <is>
          <t>가정</t>
        </is>
      </c>
      <c r="D706" t="inlineStr">
        <is>
          <t>북구</t>
        </is>
      </c>
      <c r="E706" t="inlineStr">
        <is>
          <t>부산광역시 북구 금곡대로 166 101동 103호(화명동,화명롯데캐슬카이저)</t>
        </is>
      </c>
      <c r="F706" t="inlineStr"/>
      <c r="G706" t="inlineStr">
        <is>
          <t>051-904-0760</t>
        </is>
      </c>
      <c r="H706" s="15" t="n">
        <v>20</v>
      </c>
      <c r="I706" s="15" t="n">
        <v>4</v>
      </c>
      <c r="J706" s="15" t="n">
        <v>10</v>
      </c>
      <c r="K706" s="15" t="n">
        <v>6</v>
      </c>
      <c r="L706" s="15" t="n">
        <v>0</v>
      </c>
      <c r="M706" s="15" t="n">
        <v>0</v>
      </c>
      <c r="N706" s="15" t="n">
        <v>0</v>
      </c>
      <c r="O706" s="15" t="n">
        <v>0</v>
      </c>
      <c r="P706" s="15" t="n">
        <v>0</v>
      </c>
      <c r="Q706" s="15" t="n">
        <v>0</v>
      </c>
      <c r="R706" s="15" t="n">
        <v>0</v>
      </c>
      <c r="S706" s="15" t="n">
        <v>5</v>
      </c>
      <c r="T706" s="14">
        <f>IF(COUNT(I706:S706)=0,"",SUM(I706:S706))</f>
        <v/>
      </c>
      <c r="U706" t="inlineStr"/>
    </row>
    <row r="707">
      <c r="A707" t="inlineStr">
        <is>
          <t>예담어린이집</t>
        </is>
      </c>
      <c r="B707" t="inlineStr">
        <is>
          <t>어린이집</t>
        </is>
      </c>
      <c r="C707" t="inlineStr">
        <is>
          <t>민간</t>
        </is>
      </c>
      <c r="D707" t="inlineStr">
        <is>
          <t>북구</t>
        </is>
      </c>
      <c r="E707" t="inlineStr">
        <is>
          <t>부산광역시 북구 팽나무로 48-1</t>
        </is>
      </c>
      <c r="F707" t="inlineStr"/>
      <c r="G707" t="inlineStr">
        <is>
          <t>051-335-0509</t>
        </is>
      </c>
      <c r="H707" s="15" t="n">
        <v>96</v>
      </c>
      <c r="I707" s="15" t="n">
        <v>0</v>
      </c>
      <c r="J707" s="15" t="n">
        <v>5</v>
      </c>
      <c r="K707" s="15" t="n">
        <v>6</v>
      </c>
      <c r="L707" s="15" t="n">
        <v>19</v>
      </c>
      <c r="M707" s="15" t="n">
        <v>0</v>
      </c>
      <c r="N707" s="15" t="n">
        <v>0</v>
      </c>
      <c r="O707" s="15" t="n">
        <v>3</v>
      </c>
      <c r="P707" s="15" t="n">
        <v>32</v>
      </c>
      <c r="Q707" s="15" t="n">
        <v>0</v>
      </c>
      <c r="R707" s="15" t="n">
        <v>0</v>
      </c>
      <c r="S707" s="15" t="n">
        <v>23</v>
      </c>
      <c r="T707" s="14">
        <f>IF(COUNT(I707:S707)=0,"",SUM(I707:S707))</f>
        <v/>
      </c>
      <c r="U707" t="inlineStr"/>
    </row>
    <row r="708">
      <c r="A708" t="inlineStr">
        <is>
          <t>예인어린이집</t>
        </is>
      </c>
      <c r="B708" t="inlineStr">
        <is>
          <t>어린이집</t>
        </is>
      </c>
      <c r="C708" t="inlineStr">
        <is>
          <t>사회복지법인</t>
        </is>
      </c>
      <c r="D708" t="inlineStr">
        <is>
          <t>북구</t>
        </is>
      </c>
      <c r="E708" t="inlineStr">
        <is>
          <t>부산광역시 북구 낙동북로772번길 18 (구포동)</t>
        </is>
      </c>
      <c r="F708" t="inlineStr"/>
      <c r="G708" t="inlineStr">
        <is>
          <t>051-333-7613</t>
        </is>
      </c>
      <c r="H708" s="15" t="n">
        <v>70</v>
      </c>
      <c r="I708" s="15" t="n">
        <v>8</v>
      </c>
      <c r="J708" s="15" t="n">
        <v>15</v>
      </c>
      <c r="K708" s="15" t="n">
        <v>21</v>
      </c>
      <c r="L708" s="15" t="n">
        <v>0</v>
      </c>
      <c r="M708" s="15" t="n">
        <v>0</v>
      </c>
      <c r="N708" s="15" t="n">
        <v>0</v>
      </c>
      <c r="O708" s="15" t="n">
        <v>3</v>
      </c>
      <c r="P708" s="15" t="n">
        <v>0</v>
      </c>
      <c r="Q708" s="15" t="n">
        <v>0</v>
      </c>
      <c r="R708" s="15" t="n">
        <v>0</v>
      </c>
      <c r="S708" s="15" t="n">
        <v>5</v>
      </c>
      <c r="T708" s="14">
        <f>IF(COUNT(I708:S708)=0,"",SUM(I708:S708))</f>
        <v/>
      </c>
      <c r="U708" t="inlineStr"/>
    </row>
    <row r="709">
      <c r="A709" t="inlineStr">
        <is>
          <t>오감발달어린이집</t>
        </is>
      </c>
      <c r="B709" t="inlineStr">
        <is>
          <t>어린이집</t>
        </is>
      </c>
      <c r="C709" t="inlineStr">
        <is>
          <t>가정</t>
        </is>
      </c>
      <c r="D709" t="inlineStr">
        <is>
          <t>북구</t>
        </is>
      </c>
      <c r="E709" t="inlineStr">
        <is>
          <t>부산광역시 북구 덕천로276번길 60 116동 102호(만덕동, 동문굿모닝힐)</t>
        </is>
      </c>
      <c r="F709" t="inlineStr"/>
      <c r="G709" t="inlineStr">
        <is>
          <t>051-335-7009</t>
        </is>
      </c>
      <c r="H709" s="15" t="n">
        <v>20</v>
      </c>
      <c r="I709" s="15" t="n">
        <v>2</v>
      </c>
      <c r="J709" s="15" t="n">
        <v>10</v>
      </c>
      <c r="K709" s="15" t="n">
        <v>6</v>
      </c>
      <c r="L709" s="15" t="n">
        <v>0</v>
      </c>
      <c r="M709" s="15" t="n">
        <v>0</v>
      </c>
      <c r="N709" s="15" t="n">
        <v>0</v>
      </c>
      <c r="O709" s="15" t="n">
        <v>0</v>
      </c>
      <c r="P709" s="15" t="n">
        <v>0</v>
      </c>
      <c r="Q709" s="15" t="n">
        <v>0</v>
      </c>
      <c r="R709" s="15" t="n">
        <v>0</v>
      </c>
      <c r="S709" s="15" t="n">
        <v>0</v>
      </c>
      <c r="T709" s="14">
        <f>IF(COUNT(I709:S709)=0,"",SUM(I709:S709))</f>
        <v/>
      </c>
      <c r="U709" t="inlineStr"/>
    </row>
    <row r="710">
      <c r="A710" t="inlineStr">
        <is>
          <t>우리동네어린이집</t>
        </is>
      </c>
      <c r="B710" t="inlineStr">
        <is>
          <t>어린이집</t>
        </is>
      </c>
      <c r="C710" t="inlineStr">
        <is>
          <t>가정</t>
        </is>
      </c>
      <c r="D710" t="inlineStr">
        <is>
          <t>북구</t>
        </is>
      </c>
      <c r="E710" t="inlineStr">
        <is>
          <t>부산광역시 북구 덕천로234번길 34 205동 104호(만덕동, 럭키2단지아파트)</t>
        </is>
      </c>
      <c r="F710" t="inlineStr"/>
      <c r="G710" t="inlineStr">
        <is>
          <t>051-338-1963</t>
        </is>
      </c>
      <c r="H710" s="15" t="n">
        <v>20</v>
      </c>
      <c r="I710" s="15" t="n">
        <v>2</v>
      </c>
      <c r="J710" s="15" t="n">
        <v>3</v>
      </c>
      <c r="K710" s="15" t="n">
        <v>4</v>
      </c>
      <c r="L710" s="15" t="n">
        <v>0</v>
      </c>
      <c r="M710" s="15" t="n">
        <v>0</v>
      </c>
      <c r="N710" s="15" t="n">
        <v>0</v>
      </c>
      <c r="O710" s="15" t="n">
        <v>0</v>
      </c>
      <c r="P710" s="15" t="n">
        <v>0</v>
      </c>
      <c r="Q710" s="15" t="n">
        <v>0</v>
      </c>
      <c r="R710" s="15" t="n">
        <v>0</v>
      </c>
      <c r="S710" s="15" t="n">
        <v>5</v>
      </c>
      <c r="T710" s="14">
        <f>IF(COUNT(I710:S710)=0,"",SUM(I710:S710))</f>
        <v/>
      </c>
      <c r="U710" t="inlineStr"/>
    </row>
    <row r="711">
      <c r="A711" t="inlineStr">
        <is>
          <t>유림아츠어린이집</t>
        </is>
      </c>
      <c r="B711" t="inlineStr">
        <is>
          <t>어린이집</t>
        </is>
      </c>
      <c r="C711" t="inlineStr">
        <is>
          <t>민간</t>
        </is>
      </c>
      <c r="D711" t="inlineStr">
        <is>
          <t>북구</t>
        </is>
      </c>
      <c r="E711" t="inlineStr">
        <is>
          <t>부산광역시 북구 낙동북로 737 유림노르웨이숲 아파트  관리동 유림아츠어린이집</t>
        </is>
      </c>
      <c r="F711" s="11" t="inlineStr">
        <is>
          <t>http://jangsh0410@hanmail.net</t>
        </is>
      </c>
      <c r="G711" t="inlineStr">
        <is>
          <t>051-335-0410</t>
        </is>
      </c>
      <c r="H711" s="15" t="n">
        <v>39</v>
      </c>
      <c r="I711" s="15" t="n">
        <v>3</v>
      </c>
      <c r="J711" s="15" t="n">
        <v>3</v>
      </c>
      <c r="K711" s="15" t="n">
        <v>0</v>
      </c>
      <c r="L711" s="15" t="n">
        <v>0</v>
      </c>
      <c r="M711" s="15" t="n">
        <v>0</v>
      </c>
      <c r="N711" s="15" t="n">
        <v>0</v>
      </c>
      <c r="O711" s="15" t="n">
        <v>4</v>
      </c>
      <c r="P711" s="15" t="n">
        <v>6</v>
      </c>
      <c r="Q711" s="15" t="n">
        <v>0</v>
      </c>
      <c r="R711" s="15" t="n">
        <v>0</v>
      </c>
      <c r="S711" s="15" t="n">
        <v>0</v>
      </c>
      <c r="T711" s="14">
        <f>IF(COUNT(I711:S711)=0,"",SUM(I711:S711))</f>
        <v/>
      </c>
      <c r="U711" t="inlineStr"/>
    </row>
    <row r="712">
      <c r="A712" t="inlineStr">
        <is>
          <t>율리꿈나무어린이집</t>
        </is>
      </c>
      <c r="B712" t="inlineStr">
        <is>
          <t>어린이집</t>
        </is>
      </c>
      <c r="C712" t="inlineStr">
        <is>
          <t>민간</t>
        </is>
      </c>
      <c r="D712" t="inlineStr">
        <is>
          <t>북구</t>
        </is>
      </c>
      <c r="E712" t="inlineStr">
        <is>
          <t>부산광역시 북구 효열로 1 율리벽산블루밍 1단지 아파트 내 관리동 어린이집</t>
        </is>
      </c>
      <c r="F712" t="inlineStr"/>
      <c r="G712" t="inlineStr">
        <is>
          <t>051-363-8090</t>
        </is>
      </c>
      <c r="H712" s="15" t="n">
        <v>39</v>
      </c>
      <c r="I712" s="15" t="n">
        <v>5</v>
      </c>
      <c r="J712" s="15" t="n">
        <v>3</v>
      </c>
      <c r="K712" s="15" t="n">
        <v>7</v>
      </c>
      <c r="L712" s="15" t="n">
        <v>0</v>
      </c>
      <c r="M712" s="15" t="n">
        <v>0</v>
      </c>
      <c r="N712" s="15" t="n">
        <v>0</v>
      </c>
      <c r="O712" s="15" t="n">
        <v>0</v>
      </c>
      <c r="P712" s="15" t="n">
        <v>0</v>
      </c>
      <c r="Q712" s="15" t="n">
        <v>0</v>
      </c>
      <c r="R712" s="15" t="n">
        <v>0</v>
      </c>
      <c r="S712" s="15" t="n">
        <v>5</v>
      </c>
      <c r="T712" s="14">
        <f>IF(COUNT(I712:S712)=0,"",SUM(I712:S712))</f>
        <v/>
      </c>
      <c r="U712" t="inlineStr"/>
    </row>
    <row r="713">
      <c r="A713" t="inlineStr">
        <is>
          <t>은하수황토어린이집</t>
        </is>
      </c>
      <c r="B713" t="inlineStr">
        <is>
          <t>어린이집</t>
        </is>
      </c>
      <c r="C713" t="inlineStr">
        <is>
          <t>민간</t>
        </is>
      </c>
      <c r="D713" t="inlineStr">
        <is>
          <t>북구</t>
        </is>
      </c>
      <c r="E713" t="inlineStr">
        <is>
          <t>부산광역시 북구 만덕대로290번길 38-7 (만덕동)</t>
        </is>
      </c>
      <c r="F713" t="inlineStr"/>
      <c r="G713" t="inlineStr">
        <is>
          <t>051-331-3553</t>
        </is>
      </c>
      <c r="H713" s="15" t="n">
        <v>39</v>
      </c>
      <c r="I713" s="15" t="n">
        <v>3</v>
      </c>
      <c r="J713" s="15" t="n">
        <v>2</v>
      </c>
      <c r="K713" s="15" t="n">
        <v>7</v>
      </c>
      <c r="L713" s="15" t="n">
        <v>0</v>
      </c>
      <c r="M713" s="15" t="n">
        <v>0</v>
      </c>
      <c r="N713" s="15" t="n">
        <v>0</v>
      </c>
      <c r="O713" s="15" t="n">
        <v>0</v>
      </c>
      <c r="P713" s="15" t="n">
        <v>4</v>
      </c>
      <c r="Q713" s="15" t="n">
        <v>0</v>
      </c>
      <c r="R713" s="15" t="n">
        <v>0</v>
      </c>
      <c r="S713" s="15" t="n">
        <v>11</v>
      </c>
      <c r="T713" s="14">
        <f>IF(COUNT(I713:S713)=0,"",SUM(I713:S713))</f>
        <v/>
      </c>
      <c r="U713" t="inlineStr"/>
    </row>
    <row r="714">
      <c r="A714" t="inlineStr">
        <is>
          <t>장선어린이집</t>
        </is>
      </c>
      <c r="B714" t="inlineStr">
        <is>
          <t>어린이집</t>
        </is>
      </c>
      <c r="C714" t="inlineStr">
        <is>
          <t>사회복지법인</t>
        </is>
      </c>
      <c r="D714" t="inlineStr">
        <is>
          <t>북구</t>
        </is>
      </c>
      <c r="E714" t="inlineStr">
        <is>
          <t>부산광역시 북구 시랑로114번길 45 (구포동)</t>
        </is>
      </c>
      <c r="F714" s="11" t="inlineStr">
        <is>
          <t>http://jangsun.kg.kr</t>
        </is>
      </c>
      <c r="G714" t="inlineStr">
        <is>
          <t>051-332-4966</t>
        </is>
      </c>
      <c r="H714" s="15" t="n">
        <v>45</v>
      </c>
      <c r="I714" s="15" t="n">
        <v>0</v>
      </c>
      <c r="J714" s="15" t="n">
        <v>4</v>
      </c>
      <c r="K714" s="15" t="n">
        <v>7</v>
      </c>
      <c r="L714" s="15" t="n">
        <v>0</v>
      </c>
      <c r="M714" s="15" t="n">
        <v>0</v>
      </c>
      <c r="N714" s="15" t="n">
        <v>0</v>
      </c>
      <c r="O714" s="15" t="n">
        <v>0</v>
      </c>
      <c r="P714" s="15" t="n">
        <v>10</v>
      </c>
      <c r="Q714" s="15" t="n">
        <v>0</v>
      </c>
      <c r="R714" s="15" t="n">
        <v>0</v>
      </c>
      <c r="S714" s="15" t="n">
        <v>5</v>
      </c>
      <c r="T714" s="14">
        <f>IF(COUNT(I714:S714)=0,"",SUM(I714:S714))</f>
        <v/>
      </c>
      <c r="U714" t="inlineStr"/>
    </row>
    <row r="715">
      <c r="A715" t="inlineStr">
        <is>
          <t>쿵쿵어린이집</t>
        </is>
      </c>
      <c r="B715" t="inlineStr">
        <is>
          <t>어린이집</t>
        </is>
      </c>
      <c r="C715" t="inlineStr">
        <is>
          <t>협동</t>
        </is>
      </c>
      <c r="D715" t="inlineStr">
        <is>
          <t>북구</t>
        </is>
      </c>
      <c r="E715" t="inlineStr">
        <is>
          <t>부산광역시 북구 산성로65번길 16 (화명동)</t>
        </is>
      </c>
      <c r="F715" s="11" t="inlineStr">
        <is>
          <t>https://kungkungkids.modoo.at/</t>
        </is>
      </c>
      <c r="G715" t="inlineStr">
        <is>
          <t>051-342-2595</t>
        </is>
      </c>
      <c r="H715" s="15" t="n">
        <v>39</v>
      </c>
      <c r="I715" s="15" t="n">
        <v>0</v>
      </c>
      <c r="J715" s="15" t="n">
        <v>0</v>
      </c>
      <c r="K715" s="15" t="n">
        <v>4</v>
      </c>
      <c r="L715" s="15" t="n">
        <v>0</v>
      </c>
      <c r="M715" s="15" t="n">
        <v>0</v>
      </c>
      <c r="N715" s="15" t="n">
        <v>0</v>
      </c>
      <c r="O715" s="15" t="n">
        <v>4</v>
      </c>
      <c r="P715" s="15" t="n">
        <v>12</v>
      </c>
      <c r="Q715" s="15" t="n">
        <v>0</v>
      </c>
      <c r="R715" s="15" t="n">
        <v>0</v>
      </c>
      <c r="S715" s="15" t="n">
        <v>12</v>
      </c>
      <c r="T715" s="14">
        <f>IF(COUNT(I715:S715)=0,"",SUM(I715:S715))</f>
        <v/>
      </c>
      <c r="U715" t="inlineStr"/>
    </row>
    <row r="716">
      <c r="A716" t="inlineStr">
        <is>
          <t>크레용어린이집</t>
        </is>
      </c>
      <c r="B716" t="inlineStr">
        <is>
          <t>어린이집</t>
        </is>
      </c>
      <c r="C716" t="inlineStr">
        <is>
          <t>가정</t>
        </is>
      </c>
      <c r="D716" t="inlineStr">
        <is>
          <t>북구</t>
        </is>
      </c>
      <c r="E716" t="inlineStr">
        <is>
          <t>부산광역시 북구 화명신도시로 156 105동 103호 (화명동,롯데낙천대)</t>
        </is>
      </c>
      <c r="F716" t="inlineStr"/>
      <c r="G716" t="inlineStr">
        <is>
          <t>051-361-4622</t>
        </is>
      </c>
      <c r="H716" s="15" t="n">
        <v>19</v>
      </c>
      <c r="I716" s="15" t="n">
        <v>4</v>
      </c>
      <c r="J716" s="15" t="n">
        <v>8</v>
      </c>
      <c r="K716" s="15" t="n">
        <v>7</v>
      </c>
      <c r="L716" s="15" t="n">
        <v>0</v>
      </c>
      <c r="M716" s="15" t="n">
        <v>0</v>
      </c>
      <c r="N716" s="15" t="n">
        <v>0</v>
      </c>
      <c r="O716" s="15" t="n">
        <v>0</v>
      </c>
      <c r="P716" s="15" t="n">
        <v>0</v>
      </c>
      <c r="Q716" s="15" t="n">
        <v>0</v>
      </c>
      <c r="R716" s="15" t="n">
        <v>0</v>
      </c>
      <c r="S716" s="15" t="n">
        <v>6</v>
      </c>
      <c r="T716" s="14">
        <f>IF(COUNT(I716:S716)=0,"",SUM(I716:S716))</f>
        <v/>
      </c>
      <c r="U716" t="inlineStr"/>
    </row>
    <row r="717">
      <c r="A717" t="inlineStr">
        <is>
          <t>키즈킹덤어린이집</t>
        </is>
      </c>
      <c r="B717" t="inlineStr">
        <is>
          <t>어린이집</t>
        </is>
      </c>
      <c r="C717" t="inlineStr">
        <is>
          <t>민간</t>
        </is>
      </c>
      <c r="D717" t="inlineStr">
        <is>
          <t>북구</t>
        </is>
      </c>
      <c r="E717" t="inlineStr">
        <is>
          <t>부산광역시 북구 산성로 71 (화명동)</t>
        </is>
      </c>
      <c r="F717" t="inlineStr"/>
      <c r="G717" t="inlineStr">
        <is>
          <t>051-361-9446</t>
        </is>
      </c>
      <c r="H717" s="15" t="n">
        <v>123</v>
      </c>
      <c r="I717" s="15" t="n">
        <v>0</v>
      </c>
      <c r="J717" s="15" t="n">
        <v>3</v>
      </c>
      <c r="K717" s="15" t="n">
        <v>4</v>
      </c>
      <c r="L717" s="15" t="n">
        <v>0</v>
      </c>
      <c r="M717" s="15" t="n">
        <v>0</v>
      </c>
      <c r="N717" s="15" t="n">
        <v>0</v>
      </c>
      <c r="O717" s="15" t="n">
        <v>0</v>
      </c>
      <c r="P717" s="15" t="n">
        <v>19</v>
      </c>
      <c r="Q717" s="15" t="n">
        <v>0</v>
      </c>
      <c r="R717" s="15" t="n">
        <v>0</v>
      </c>
      <c r="S717" s="15" t="n">
        <v>18</v>
      </c>
      <c r="T717" s="14">
        <f>IF(COUNT(I717:S717)=0,"",SUM(I717:S717))</f>
        <v/>
      </c>
      <c r="U717" t="inlineStr"/>
    </row>
    <row r="718">
      <c r="A718" t="inlineStr">
        <is>
          <t>태경어린이집</t>
        </is>
      </c>
      <c r="B718" t="inlineStr">
        <is>
          <t>어린이집</t>
        </is>
      </c>
      <c r="C718" t="inlineStr">
        <is>
          <t>가정</t>
        </is>
      </c>
      <c r="D718" t="inlineStr">
        <is>
          <t>북구</t>
        </is>
      </c>
      <c r="E718" t="inlineStr">
        <is>
          <t>부산광역시 북구 시랑로138번길 8 1동 103호(구포동, 태경)</t>
        </is>
      </c>
      <c r="F718" s="11" t="inlineStr">
        <is>
          <t>http://cafe.daum.net/taekyung77</t>
        </is>
      </c>
      <c r="G718" t="inlineStr">
        <is>
          <t>051-331-1242</t>
        </is>
      </c>
      <c r="H718" s="15" t="n">
        <v>19</v>
      </c>
      <c r="I718" s="15" t="n">
        <v>0</v>
      </c>
      <c r="J718" s="15" t="n">
        <v>7</v>
      </c>
      <c r="K718" s="15" t="n">
        <v>5</v>
      </c>
      <c r="L718" s="15" t="n">
        <v>0</v>
      </c>
      <c r="M718" s="15" t="n">
        <v>0</v>
      </c>
      <c r="N718" s="15" t="n">
        <v>0</v>
      </c>
      <c r="O718" s="15" t="n">
        <v>2</v>
      </c>
      <c r="P718" s="15" t="n">
        <v>0</v>
      </c>
      <c r="Q718" s="15" t="n">
        <v>0</v>
      </c>
      <c r="R718" s="15" t="n">
        <v>0</v>
      </c>
      <c r="S718" s="15" t="n">
        <v>5</v>
      </c>
      <c r="T718" s="14">
        <f>IF(COUNT(I718:S718)=0,"",SUM(I718:S718))</f>
        <v/>
      </c>
      <c r="U718" t="inlineStr"/>
    </row>
    <row r="719">
      <c r="A719" t="inlineStr">
        <is>
          <t>푸르메어린이집</t>
        </is>
      </c>
      <c r="B719" t="inlineStr">
        <is>
          <t>어린이집</t>
        </is>
      </c>
      <c r="C719" t="inlineStr">
        <is>
          <t>민간</t>
        </is>
      </c>
      <c r="D719" t="inlineStr">
        <is>
          <t>북구</t>
        </is>
      </c>
      <c r="E719" t="inlineStr">
        <is>
          <t>부산광역시 북구 금곡대로 166 화명롯데캐슬카이저 506동 뒷편</t>
        </is>
      </c>
      <c r="F719" t="inlineStr"/>
      <c r="G719" t="inlineStr">
        <is>
          <t>051-361-3554</t>
        </is>
      </c>
      <c r="H719" s="15" t="n">
        <v>74</v>
      </c>
      <c r="I719" s="15" t="n">
        <v>6</v>
      </c>
      <c r="J719" s="15" t="n">
        <v>23</v>
      </c>
      <c r="K719" s="15" t="n">
        <v>21</v>
      </c>
      <c r="L719" s="15" t="n">
        <v>0</v>
      </c>
      <c r="M719" s="15" t="n">
        <v>0</v>
      </c>
      <c r="N719" s="15" t="n">
        <v>0</v>
      </c>
      <c r="O719" s="15" t="n">
        <v>0</v>
      </c>
      <c r="P719" s="15" t="n">
        <v>0</v>
      </c>
      <c r="Q719" s="15" t="n">
        <v>0</v>
      </c>
      <c r="R719" s="15" t="n">
        <v>0</v>
      </c>
      <c r="S719" s="15" t="n">
        <v>5</v>
      </c>
      <c r="T719" s="14">
        <f>IF(COUNT(I719:S719)=0,"",SUM(I719:S719))</f>
        <v/>
      </c>
      <c r="U719" t="inlineStr"/>
    </row>
    <row r="720">
      <c r="A720" t="inlineStr">
        <is>
          <t>푸른숲미래어린이집</t>
        </is>
      </c>
      <c r="B720" t="inlineStr">
        <is>
          <t>어린이집</t>
        </is>
      </c>
      <c r="C720" t="inlineStr">
        <is>
          <t>가정</t>
        </is>
      </c>
      <c r="D720" t="inlineStr">
        <is>
          <t>북구</t>
        </is>
      </c>
      <c r="E720" t="inlineStr">
        <is>
          <t>부산광역시 북구 금곡대로 264-1 408동 104호(화명동, 대림타운)</t>
        </is>
      </c>
      <c r="F720" s="11" t="inlineStr">
        <is>
          <t>http://beakminhee@hanmail.net</t>
        </is>
      </c>
      <c r="G720" t="inlineStr">
        <is>
          <t>051-331-3679</t>
        </is>
      </c>
      <c r="H720" s="15" t="n">
        <v>19</v>
      </c>
      <c r="I720" s="15" t="n">
        <v>4</v>
      </c>
      <c r="J720" s="15" t="n">
        <v>0</v>
      </c>
      <c r="K720" s="15" t="n">
        <v>7</v>
      </c>
      <c r="L720" s="15" t="n">
        <v>0</v>
      </c>
      <c r="M720" s="15" t="n">
        <v>0</v>
      </c>
      <c r="N720" s="15" t="n">
        <v>0</v>
      </c>
      <c r="O720" s="15" t="n">
        <v>2</v>
      </c>
      <c r="P720" s="15" t="n">
        <v>0</v>
      </c>
      <c r="Q720" s="15" t="n">
        <v>0</v>
      </c>
      <c r="R720" s="15" t="n">
        <v>0</v>
      </c>
      <c r="S720" s="15" t="n">
        <v>5</v>
      </c>
      <c r="T720" s="14">
        <f>IF(COUNT(I720:S720)=0,"",SUM(I720:S720))</f>
        <v/>
      </c>
      <c r="U720" t="inlineStr"/>
    </row>
    <row r="721">
      <c r="A721" t="inlineStr">
        <is>
          <t>푸른초원어린이집</t>
        </is>
      </c>
      <c r="B721" t="inlineStr">
        <is>
          <t>어린이집</t>
        </is>
      </c>
      <c r="C721" t="inlineStr">
        <is>
          <t>민간</t>
        </is>
      </c>
      <c r="D721" t="inlineStr">
        <is>
          <t>북구</t>
        </is>
      </c>
      <c r="E721" t="inlineStr">
        <is>
          <t>부산광역시 북구 화명신도시로 156 롯데낙천대아파트 관리동 (화명동)</t>
        </is>
      </c>
      <c r="F721" t="inlineStr"/>
      <c r="G721" t="inlineStr">
        <is>
          <t>051-363-0077</t>
        </is>
      </c>
      <c r="H721" s="15" t="n">
        <v>31</v>
      </c>
      <c r="I721" s="15" t="n">
        <v>6</v>
      </c>
      <c r="J721" s="15" t="n">
        <v>9</v>
      </c>
      <c r="K721" s="15" t="n">
        <v>10</v>
      </c>
      <c r="L721" s="15" t="n">
        <v>0</v>
      </c>
      <c r="M721" s="15" t="n">
        <v>0</v>
      </c>
      <c r="N721" s="15" t="n">
        <v>0</v>
      </c>
      <c r="O721" s="15" t="n">
        <v>0</v>
      </c>
      <c r="P721" s="15" t="n">
        <v>0</v>
      </c>
      <c r="Q721" s="15" t="n">
        <v>0</v>
      </c>
      <c r="R721" s="15" t="n">
        <v>0</v>
      </c>
      <c r="S721" s="15" t="n">
        <v>5</v>
      </c>
      <c r="T721" s="14">
        <f>IF(COUNT(I721:S721)=0,"",SUM(I721:S721))</f>
        <v/>
      </c>
      <c r="U721" t="inlineStr"/>
    </row>
    <row r="722">
      <c r="A722" t="inlineStr">
        <is>
          <t>하늘채리틀베어어린이집</t>
        </is>
      </c>
      <c r="B722" t="inlineStr">
        <is>
          <t>어린이집</t>
        </is>
      </c>
      <c r="C722" t="inlineStr">
        <is>
          <t>가정</t>
        </is>
      </c>
      <c r="D722" t="inlineStr">
        <is>
          <t>북구</t>
        </is>
      </c>
      <c r="E722" t="inlineStr">
        <is>
          <t>부산광역시 북구 화명신도시로 100 코오롱하늘채 관리동 1층</t>
        </is>
      </c>
      <c r="F722" t="inlineStr"/>
      <c r="G722" t="inlineStr">
        <is>
          <t>051-362-1970</t>
        </is>
      </c>
      <c r="H722" s="15" t="n">
        <v>20</v>
      </c>
      <c r="I722" s="15" t="n">
        <v>3</v>
      </c>
      <c r="J722" s="15" t="n">
        <v>10</v>
      </c>
      <c r="K722" s="15" t="n">
        <v>7</v>
      </c>
      <c r="L722" s="15" t="n">
        <v>0</v>
      </c>
      <c r="M722" s="15" t="n">
        <v>0</v>
      </c>
      <c r="N722" s="15" t="n">
        <v>0</v>
      </c>
      <c r="O722" s="15" t="n">
        <v>0</v>
      </c>
      <c r="P722" s="15" t="n">
        <v>0</v>
      </c>
      <c r="Q722" s="15" t="n">
        <v>0</v>
      </c>
      <c r="R722" s="15" t="n">
        <v>0</v>
      </c>
      <c r="S722" s="15" t="n">
        <v>4</v>
      </c>
      <c r="T722" s="14">
        <f>IF(COUNT(I722:S722)=0,"",SUM(I722:S722))</f>
        <v/>
      </c>
      <c r="U722" t="inlineStr"/>
    </row>
    <row r="723">
      <c r="A723" t="inlineStr">
        <is>
          <t>하늘채봄봄어린이집</t>
        </is>
      </c>
      <c r="B723" t="inlineStr">
        <is>
          <t>어린이집</t>
        </is>
      </c>
      <c r="C723" t="inlineStr">
        <is>
          <t>민간</t>
        </is>
      </c>
      <c r="D723" t="inlineStr">
        <is>
          <t>북구</t>
        </is>
      </c>
      <c r="E723" t="inlineStr">
        <is>
          <t>부산광역시 북구 화명신도시로 70 코오롱하늘채아파트 관리동 (화명동)</t>
        </is>
      </c>
      <c r="F723" t="inlineStr"/>
      <c r="G723" t="inlineStr">
        <is>
          <t>051-363-6658</t>
        </is>
      </c>
      <c r="H723" s="15" t="n">
        <v>27</v>
      </c>
      <c r="I723" s="15" t="n">
        <v>3</v>
      </c>
      <c r="J723" s="15" t="n">
        <v>8</v>
      </c>
      <c r="K723" s="15" t="n">
        <v>7</v>
      </c>
      <c r="L723" s="15" t="n">
        <v>0</v>
      </c>
      <c r="M723" s="15" t="n">
        <v>0</v>
      </c>
      <c r="N723" s="15" t="n">
        <v>0</v>
      </c>
      <c r="O723" s="15" t="n">
        <v>0</v>
      </c>
      <c r="P723" s="15" t="n">
        <v>0</v>
      </c>
      <c r="Q723" s="15" t="n">
        <v>0</v>
      </c>
      <c r="R723" s="15" t="n">
        <v>0</v>
      </c>
      <c r="S723" s="15" t="n">
        <v>4</v>
      </c>
      <c r="T723" s="14">
        <f>IF(COUNT(I723:S723)=0,"",SUM(I723:S723))</f>
        <v/>
      </c>
      <c r="U723" t="inlineStr"/>
    </row>
    <row r="724">
      <c r="A724" t="inlineStr">
        <is>
          <t>한솔어린이집</t>
        </is>
      </c>
      <c r="B724" t="inlineStr">
        <is>
          <t>어린이집</t>
        </is>
      </c>
      <c r="C724" t="inlineStr">
        <is>
          <t>사회복지법인</t>
        </is>
      </c>
      <c r="D724" t="inlineStr">
        <is>
          <t>북구</t>
        </is>
      </c>
      <c r="E724" t="inlineStr">
        <is>
          <t>부산광역시 북구 상학산복길 159 (만덕동)</t>
        </is>
      </c>
      <c r="F724" s="11" t="inlineStr">
        <is>
          <t>https://cafe.daum.net/hansol3653838</t>
        </is>
      </c>
      <c r="G724" t="inlineStr">
        <is>
          <t>051-365-3838</t>
        </is>
      </c>
      <c r="H724" s="15" t="n">
        <v>39</v>
      </c>
      <c r="I724" s="15" t="n">
        <v>0</v>
      </c>
      <c r="J724" s="15" t="n">
        <v>0</v>
      </c>
      <c r="K724" s="15" t="n">
        <v>0</v>
      </c>
      <c r="L724" s="15" t="n">
        <v>0</v>
      </c>
      <c r="M724" s="15" t="n">
        <v>0</v>
      </c>
      <c r="N724" s="15" t="n">
        <v>0</v>
      </c>
      <c r="O724" s="15" t="n">
        <v>0</v>
      </c>
      <c r="P724" s="15" t="n">
        <v>0</v>
      </c>
      <c r="Q724" s="15" t="n">
        <v>0</v>
      </c>
      <c r="R724" s="15" t="n">
        <v>31</v>
      </c>
      <c r="S724" s="15" t="n">
        <v>0</v>
      </c>
      <c r="T724" s="14">
        <f>IF(COUNT(I724:S724)=0,"",SUM(I724:S724))</f>
        <v/>
      </c>
      <c r="U724" t="inlineStr"/>
    </row>
    <row r="725">
      <c r="A725" t="inlineStr">
        <is>
          <t>해나루어린이집</t>
        </is>
      </c>
      <c r="B725" t="inlineStr">
        <is>
          <t>어린이집</t>
        </is>
      </c>
      <c r="C725" t="inlineStr">
        <is>
          <t>민간</t>
        </is>
      </c>
      <c r="D725" t="inlineStr">
        <is>
          <t>북구</t>
        </is>
      </c>
      <c r="E725" t="inlineStr">
        <is>
          <t>부산광역시 북구 금곡대로470번길 29 신화명리버뷰아파트 관리동</t>
        </is>
      </c>
      <c r="F725" t="inlineStr"/>
      <c r="G725" t="inlineStr">
        <is>
          <t>051-365-2006</t>
        </is>
      </c>
      <c r="H725" s="15" t="n">
        <v>49</v>
      </c>
      <c r="I725" s="15" t="n">
        <v>6</v>
      </c>
      <c r="J725" s="15" t="n">
        <v>5</v>
      </c>
      <c r="K725" s="15" t="n">
        <v>11</v>
      </c>
      <c r="L725" s="15" t="n">
        <v>0</v>
      </c>
      <c r="M725" s="15" t="n">
        <v>0</v>
      </c>
      <c r="N725" s="15" t="n">
        <v>0</v>
      </c>
      <c r="O725" s="15" t="n">
        <v>8</v>
      </c>
      <c r="P725" s="15" t="n">
        <v>0</v>
      </c>
      <c r="Q725" s="15" t="n">
        <v>0</v>
      </c>
      <c r="R725" s="15" t="n">
        <v>0</v>
      </c>
      <c r="S725" s="15" t="n">
        <v>4</v>
      </c>
      <c r="T725" s="14">
        <f>IF(COUNT(I725:S725)=0,"",SUM(I725:S725))</f>
        <v/>
      </c>
      <c r="U725" t="inlineStr"/>
    </row>
    <row r="726">
      <c r="A726" t="inlineStr">
        <is>
          <t>해와달어린이집</t>
        </is>
      </c>
      <c r="B726" t="inlineStr">
        <is>
          <t>어린이집</t>
        </is>
      </c>
      <c r="C726" t="inlineStr">
        <is>
          <t>가정</t>
        </is>
      </c>
      <c r="D726" t="inlineStr">
        <is>
          <t>북구</t>
        </is>
      </c>
      <c r="E726" t="inlineStr">
        <is>
          <t>부산광역시 북구 금곡대로 268 405동 104호(화명동, 대림타운)</t>
        </is>
      </c>
      <c r="F726" t="inlineStr"/>
      <c r="G726" t="inlineStr">
        <is>
          <t>051-363-8674</t>
        </is>
      </c>
      <c r="H726" s="15" t="n">
        <v>20</v>
      </c>
      <c r="I726" s="15" t="n">
        <v>8</v>
      </c>
      <c r="J726" s="15" t="n">
        <v>5</v>
      </c>
      <c r="K726" s="15" t="n">
        <v>7</v>
      </c>
      <c r="L726" s="15" t="n">
        <v>0</v>
      </c>
      <c r="M726" s="15" t="n">
        <v>0</v>
      </c>
      <c r="N726" s="15" t="n">
        <v>0</v>
      </c>
      <c r="O726" s="15" t="n">
        <v>0</v>
      </c>
      <c r="P726" s="15" t="n">
        <v>0</v>
      </c>
      <c r="Q726" s="15" t="n">
        <v>0</v>
      </c>
      <c r="R726" s="15" t="n">
        <v>0</v>
      </c>
      <c r="S726" s="15" t="n">
        <v>5</v>
      </c>
      <c r="T726" s="14">
        <f>IF(COUNT(I726:S726)=0,"",SUM(I726:S726))</f>
        <v/>
      </c>
      <c r="U726" t="inlineStr"/>
    </row>
    <row r="727">
      <c r="A727" t="inlineStr">
        <is>
          <t>해인어린이집</t>
        </is>
      </c>
      <c r="B727" t="inlineStr">
        <is>
          <t>어린이집</t>
        </is>
      </c>
      <c r="C727" t="inlineStr">
        <is>
          <t>민간</t>
        </is>
      </c>
      <c r="D727" t="inlineStr">
        <is>
          <t>북구</t>
        </is>
      </c>
      <c r="E727" t="inlineStr">
        <is>
          <t>부산광역시 북구 모분재로105번길 15 (구포동)</t>
        </is>
      </c>
      <c r="F727" s="11" t="inlineStr">
        <is>
          <t>http://cafe.naver.com/haein8677</t>
        </is>
      </c>
      <c r="G727" t="inlineStr">
        <is>
          <t>051-334-8677</t>
        </is>
      </c>
      <c r="H727" s="15" t="n">
        <v>93</v>
      </c>
      <c r="I727" s="15" t="n">
        <v>6</v>
      </c>
      <c r="J727" s="15" t="n">
        <v>10</v>
      </c>
      <c r="K727" s="15" t="n">
        <v>7</v>
      </c>
      <c r="L727" s="15" t="n">
        <v>9</v>
      </c>
      <c r="M727" s="15" t="n">
        <v>11</v>
      </c>
      <c r="N727" s="15" t="n">
        <v>12</v>
      </c>
      <c r="O727" s="15" t="n">
        <v>5</v>
      </c>
      <c r="P727" s="15" t="n">
        <v>0</v>
      </c>
      <c r="Q727" s="15" t="n">
        <v>0</v>
      </c>
      <c r="R727" s="15" t="n">
        <v>0</v>
      </c>
      <c r="S727" s="15" t="n">
        <v>27</v>
      </c>
      <c r="T727" s="14">
        <f>IF(COUNT(I727:S727)=0,"",SUM(I727:S727))</f>
        <v/>
      </c>
      <c r="U727" t="inlineStr"/>
    </row>
    <row r="728">
      <c r="A728" t="inlineStr">
        <is>
          <t>햇살가득한어린이집</t>
        </is>
      </c>
      <c r="B728" t="inlineStr">
        <is>
          <t>어린이집</t>
        </is>
      </c>
      <c r="C728" t="inlineStr">
        <is>
          <t>민간</t>
        </is>
      </c>
      <c r="D728" t="inlineStr">
        <is>
          <t>북구</t>
        </is>
      </c>
      <c r="E728" t="inlineStr">
        <is>
          <t>부산광역시 북구 덕천로52번길 25 (덕천동)</t>
        </is>
      </c>
      <c r="F728" s="11" t="inlineStr">
        <is>
          <t>http://cafe.daum.net/sunfullkid</t>
        </is>
      </c>
      <c r="G728" t="inlineStr">
        <is>
          <t>051-332-9740</t>
        </is>
      </c>
      <c r="H728" s="15" t="n">
        <v>99</v>
      </c>
      <c r="I728" s="15" t="n">
        <v>6</v>
      </c>
      <c r="J728" s="15" t="n">
        <v>9</v>
      </c>
      <c r="K728" s="15" t="n">
        <v>19</v>
      </c>
      <c r="L728" s="15" t="n">
        <v>0</v>
      </c>
      <c r="M728" s="15" t="n">
        <v>9</v>
      </c>
      <c r="N728" s="15" t="n">
        <v>11</v>
      </c>
      <c r="O728" s="15" t="n">
        <v>0</v>
      </c>
      <c r="P728" s="15" t="n">
        <v>8</v>
      </c>
      <c r="Q728" s="15" t="n">
        <v>0</v>
      </c>
      <c r="R728" s="15" t="n">
        <v>0</v>
      </c>
      <c r="S728" s="15" t="n">
        <v>28</v>
      </c>
      <c r="T728" s="14">
        <f>IF(COUNT(I728:S728)=0,"",SUM(I728:S728))</f>
        <v/>
      </c>
      <c r="U728" t="inlineStr"/>
    </row>
    <row r="729">
      <c r="A729" t="inlineStr">
        <is>
          <t>햇살마루어린이집</t>
        </is>
      </c>
      <c r="B729" t="inlineStr">
        <is>
          <t>어린이집</t>
        </is>
      </c>
      <c r="C729" t="inlineStr">
        <is>
          <t>가정</t>
        </is>
      </c>
      <c r="D729" t="inlineStr">
        <is>
          <t>북구</t>
        </is>
      </c>
      <c r="E729" t="inlineStr">
        <is>
          <t>부산광역시 북구 금곡대로 166 505동 102호 (화명동, 화명롯데캐슬카이저)</t>
        </is>
      </c>
      <c r="F729" t="inlineStr"/>
      <c r="G729" t="inlineStr">
        <is>
          <t>051-364-1213</t>
        </is>
      </c>
      <c r="H729" s="15" t="n">
        <v>20</v>
      </c>
      <c r="I729" s="15" t="n">
        <v>6</v>
      </c>
      <c r="J729" s="15" t="n">
        <v>3</v>
      </c>
      <c r="K729" s="15" t="n">
        <v>6</v>
      </c>
      <c r="L729" s="15" t="n">
        <v>0</v>
      </c>
      <c r="M729" s="15" t="n">
        <v>0</v>
      </c>
      <c r="N729" s="15" t="n">
        <v>0</v>
      </c>
      <c r="O729" s="15" t="n">
        <v>5</v>
      </c>
      <c r="P729" s="15" t="n">
        <v>0</v>
      </c>
      <c r="Q729" s="15" t="n">
        <v>0</v>
      </c>
      <c r="R729" s="15" t="n">
        <v>0</v>
      </c>
      <c r="S729" s="15" t="n">
        <v>5</v>
      </c>
      <c r="T729" s="14">
        <f>IF(COUNT(I729:S729)=0,"",SUM(I729:S729))</f>
        <v/>
      </c>
      <c r="U729" t="inlineStr"/>
    </row>
    <row r="730">
      <c r="A730" t="inlineStr">
        <is>
          <t>행복한어린이집</t>
        </is>
      </c>
      <c r="B730" t="inlineStr">
        <is>
          <t>어린이집</t>
        </is>
      </c>
      <c r="C730" t="inlineStr">
        <is>
          <t>가정</t>
        </is>
      </c>
      <c r="D730" t="inlineStr">
        <is>
          <t>북구</t>
        </is>
      </c>
      <c r="E730" t="inlineStr">
        <is>
          <t>부산광역시 북구 화명신도시로 100 201동 106호(화명동, 코오롱하늘채아파트)</t>
        </is>
      </c>
      <c r="F730" s="11" t="inlineStr">
        <is>
          <t>http://(2013.9.1)대표자변경</t>
        </is>
      </c>
      <c r="G730" t="inlineStr">
        <is>
          <t>051-335-8025</t>
        </is>
      </c>
      <c r="H730" s="15" t="n">
        <v>19</v>
      </c>
      <c r="I730" s="15" t="n">
        <v>5</v>
      </c>
      <c r="J730" s="15" t="n">
        <v>5</v>
      </c>
      <c r="K730" s="15" t="n">
        <v>6</v>
      </c>
      <c r="L730" s="15" t="n">
        <v>0</v>
      </c>
      <c r="M730" s="15" t="n">
        <v>0</v>
      </c>
      <c r="N730" s="15" t="n">
        <v>0</v>
      </c>
      <c r="O730" s="15" t="n">
        <v>0</v>
      </c>
      <c r="P730" s="15" t="n">
        <v>0</v>
      </c>
      <c r="Q730" s="15" t="n">
        <v>0</v>
      </c>
      <c r="R730" s="15" t="n">
        <v>0</v>
      </c>
      <c r="S730" s="15" t="n">
        <v>5</v>
      </c>
      <c r="T730" s="14">
        <f>IF(COUNT(I730:S730)=0,"",SUM(I730:S730))</f>
        <v/>
      </c>
      <c r="U730" t="inlineStr"/>
    </row>
    <row r="731">
      <c r="A731" t="inlineStr">
        <is>
          <t>현대아이꿈터어린이집</t>
        </is>
      </c>
      <c r="B731" t="inlineStr">
        <is>
          <t>어린이집</t>
        </is>
      </c>
      <c r="C731" t="inlineStr">
        <is>
          <t>민간</t>
        </is>
      </c>
      <c r="D731" t="inlineStr">
        <is>
          <t>북구</t>
        </is>
      </c>
      <c r="E731" t="inlineStr">
        <is>
          <t>부산광역시 북구 화명신도시로 48 현대2차아파트 관리동</t>
        </is>
      </c>
      <c r="F731" t="inlineStr"/>
      <c r="G731" t="inlineStr">
        <is>
          <t>051-363-9994</t>
        </is>
      </c>
      <c r="H731" s="15" t="n">
        <v>26</v>
      </c>
      <c r="I731" s="15" t="n">
        <v>2</v>
      </c>
      <c r="J731" s="15" t="n">
        <v>9</v>
      </c>
      <c r="K731" s="15" t="n">
        <v>12</v>
      </c>
      <c r="L731" s="15" t="n">
        <v>0</v>
      </c>
      <c r="M731" s="15" t="n">
        <v>0</v>
      </c>
      <c r="N731" s="15" t="n">
        <v>0</v>
      </c>
      <c r="O731" s="15" t="n">
        <v>2</v>
      </c>
      <c r="P731" s="15" t="n">
        <v>0</v>
      </c>
      <c r="Q731" s="15" t="n">
        <v>0</v>
      </c>
      <c r="R731" s="15" t="n">
        <v>0</v>
      </c>
      <c r="S731" s="15" t="n">
        <v>4</v>
      </c>
      <c r="T731" s="14">
        <f>IF(COUNT(I731:S731)=0,"",SUM(I731:S731))</f>
        <v/>
      </c>
      <c r="U731" t="inlineStr"/>
    </row>
    <row r="732">
      <c r="A732" t="inlineStr">
        <is>
          <t>현대조은어린이집</t>
        </is>
      </c>
      <c r="B732" t="inlineStr">
        <is>
          <t>어린이집</t>
        </is>
      </c>
      <c r="C732" t="inlineStr">
        <is>
          <t>가정</t>
        </is>
      </c>
      <c r="D732" t="inlineStr">
        <is>
          <t>북구</t>
        </is>
      </c>
      <c r="E732" t="inlineStr">
        <is>
          <t>부산광역시 북구 백양대로 1003 105동 110호(구포동, 현대아파트)</t>
        </is>
      </c>
      <c r="F732" t="inlineStr"/>
      <c r="G732" t="inlineStr">
        <is>
          <t>051-333-8413</t>
        </is>
      </c>
      <c r="H732" s="15" t="n">
        <v>19</v>
      </c>
      <c r="I732" s="15" t="n">
        <v>2</v>
      </c>
      <c r="J732" s="15" t="n">
        <v>5</v>
      </c>
      <c r="K732" s="15" t="n">
        <v>7</v>
      </c>
      <c r="L732" s="15" t="n">
        <v>0</v>
      </c>
      <c r="M732" s="15" t="n">
        <v>0</v>
      </c>
      <c r="N732" s="15" t="n">
        <v>0</v>
      </c>
      <c r="O732" s="15" t="n">
        <v>1</v>
      </c>
      <c r="P732" s="15" t="n">
        <v>0</v>
      </c>
      <c r="Q732" s="15" t="n">
        <v>0</v>
      </c>
      <c r="R732" s="15" t="n">
        <v>0</v>
      </c>
      <c r="S732" s="15" t="n">
        <v>3</v>
      </c>
      <c r="T732" s="14">
        <f>IF(COUNT(I732:S732)=0,"",SUM(I732:S732))</f>
        <v/>
      </c>
      <c r="U732" t="inlineStr"/>
    </row>
    <row r="733">
      <c r="A733" t="inlineStr">
        <is>
          <t>화명어린이집</t>
        </is>
      </c>
      <c r="B733" t="inlineStr">
        <is>
          <t>어린이집</t>
        </is>
      </c>
      <c r="C733" t="inlineStr">
        <is>
          <t>국공립</t>
        </is>
      </c>
      <c r="D733" t="inlineStr">
        <is>
          <t>북구</t>
        </is>
      </c>
      <c r="E733" t="inlineStr">
        <is>
          <t>부산광역시 북구 금곡대로 166 화명롯데캐슬카이저 내 화명어린이집</t>
        </is>
      </c>
      <c r="F733" t="inlineStr"/>
      <c r="G733" t="inlineStr">
        <is>
          <t>051-332-4453</t>
        </is>
      </c>
      <c r="H733" s="15" t="n">
        <v>79</v>
      </c>
      <c r="I733" s="15" t="n">
        <v>9</v>
      </c>
      <c r="J733" s="15" t="n">
        <v>15</v>
      </c>
      <c r="K733" s="15" t="n">
        <v>21</v>
      </c>
      <c r="L733" s="15" t="n">
        <v>13</v>
      </c>
      <c r="M733" s="15" t="n">
        <v>0</v>
      </c>
      <c r="N733" s="15" t="n">
        <v>0</v>
      </c>
      <c r="O733" s="15" t="n">
        <v>0</v>
      </c>
      <c r="P733" s="15" t="n">
        <v>5</v>
      </c>
      <c r="Q733" s="15" t="n">
        <v>0</v>
      </c>
      <c r="R733" s="15" t="n">
        <v>0</v>
      </c>
      <c r="S733" s="15" t="n">
        <v>4</v>
      </c>
      <c r="T733" s="14">
        <f>IF(COUNT(I733:S733)=0,"",SUM(I733:S733))</f>
        <v/>
      </c>
      <c r="U733" t="inlineStr"/>
    </row>
    <row r="734">
      <c r="A734" t="inlineStr">
        <is>
          <t>화명유림어린이집</t>
        </is>
      </c>
      <c r="B734" t="inlineStr">
        <is>
          <t>어린이집</t>
        </is>
      </c>
      <c r="C734" t="inlineStr">
        <is>
          <t>국공립</t>
        </is>
      </c>
      <c r="D734" t="inlineStr">
        <is>
          <t>북구</t>
        </is>
      </c>
      <c r="E734" t="inlineStr">
        <is>
          <t>부산광역시 북구 화명대로 110</t>
        </is>
      </c>
      <c r="F734" t="inlineStr"/>
      <c r="G734" t="inlineStr">
        <is>
          <t>051-363-9933</t>
        </is>
      </c>
      <c r="H734" s="15" t="n">
        <v>49</v>
      </c>
      <c r="I734" s="15" t="n">
        <v>6</v>
      </c>
      <c r="J734" s="15" t="n">
        <v>18</v>
      </c>
      <c r="K734" s="15" t="n">
        <v>21</v>
      </c>
      <c r="L734" s="15" t="n">
        <v>0</v>
      </c>
      <c r="M734" s="15" t="n">
        <v>0</v>
      </c>
      <c r="N734" s="15" t="n">
        <v>0</v>
      </c>
      <c r="O734" s="15" t="n">
        <v>0</v>
      </c>
      <c r="P734" s="15" t="n">
        <v>0</v>
      </c>
      <c r="Q734" s="15" t="n">
        <v>0</v>
      </c>
      <c r="R734" s="15" t="n">
        <v>4</v>
      </c>
      <c r="S734" s="15" t="n">
        <v>5</v>
      </c>
      <c r="T734" s="14">
        <f>IF(COUNT(I734:S734)=0,"",SUM(I734:S734))</f>
        <v/>
      </c>
      <c r="U734" t="inlineStr"/>
    </row>
    <row r="735">
      <c r="A735" t="inlineStr">
        <is>
          <t>화명초등어린이집</t>
        </is>
      </c>
      <c r="B735" t="inlineStr">
        <is>
          <t>어린이집</t>
        </is>
      </c>
      <c r="C735" t="inlineStr">
        <is>
          <t>국공립</t>
        </is>
      </c>
      <c r="D735" t="inlineStr">
        <is>
          <t>북구</t>
        </is>
      </c>
      <c r="E735" t="inlineStr">
        <is>
          <t>부산광역시 북구 대천천길 65 화명초등학교내 화명초등어린이집</t>
        </is>
      </c>
      <c r="F735" t="inlineStr"/>
      <c r="G735" t="inlineStr">
        <is>
          <t>051-337-7251</t>
        </is>
      </c>
      <c r="H735" s="15" t="n">
        <v>49</v>
      </c>
      <c r="I735" s="15" t="n">
        <v>0</v>
      </c>
      <c r="J735" s="15" t="n">
        <v>4</v>
      </c>
      <c r="K735" s="15" t="n">
        <v>5</v>
      </c>
      <c r="L735" s="15" t="n">
        <v>0</v>
      </c>
      <c r="M735" s="15" t="n">
        <v>0</v>
      </c>
      <c r="N735" s="15" t="n">
        <v>0</v>
      </c>
      <c r="O735" s="15" t="n">
        <v>8</v>
      </c>
      <c r="P735" s="15" t="n">
        <v>0</v>
      </c>
      <c r="Q735" s="15" t="n">
        <v>0</v>
      </c>
      <c r="R735" s="15" t="n">
        <v>0</v>
      </c>
      <c r="S735" s="15" t="n">
        <v>0</v>
      </c>
      <c r="T735" s="14">
        <f>IF(COUNT(I735:S735)=0,"",SUM(I735:S735))</f>
        <v/>
      </c>
      <c r="U735" t="inlineStr"/>
    </row>
    <row r="736">
      <c r="A736" t="inlineStr">
        <is>
          <t>화명푸르지오헤리센트어린이집</t>
        </is>
      </c>
      <c r="B736" t="inlineStr">
        <is>
          <t>어린이집</t>
        </is>
      </c>
      <c r="C736" t="inlineStr">
        <is>
          <t>국공립</t>
        </is>
      </c>
      <c r="D736" t="inlineStr">
        <is>
          <t>북구</t>
        </is>
      </c>
      <c r="E736" t="inlineStr">
        <is>
          <t>부산광역시 북구 산성로 28 (화명동, 화명푸르지오헤리센트)</t>
        </is>
      </c>
      <c r="F736" t="inlineStr"/>
      <c r="G736" t="inlineStr">
        <is>
          <t>051-711-0994</t>
        </is>
      </c>
      <c r="H736" s="15" t="n">
        <v>69</v>
      </c>
      <c r="I736" s="15" t="n">
        <v>9</v>
      </c>
      <c r="J736" s="15" t="n">
        <v>20</v>
      </c>
      <c r="K736" s="15" t="n">
        <v>28</v>
      </c>
      <c r="L736" s="15" t="n">
        <v>0</v>
      </c>
      <c r="M736" s="15" t="n">
        <v>0</v>
      </c>
      <c r="N736" s="15" t="n">
        <v>0</v>
      </c>
      <c r="O736" s="15" t="n">
        <v>0</v>
      </c>
      <c r="P736" s="15" t="n">
        <v>0</v>
      </c>
      <c r="Q736" s="15" t="n">
        <v>0</v>
      </c>
      <c r="R736" s="15" t="n">
        <v>0</v>
      </c>
      <c r="S736" s="15" t="n">
        <v>0</v>
      </c>
      <c r="T736" s="14">
        <f>IF(COUNT(I736:S736)=0,"",SUM(I736:S736))</f>
        <v/>
      </c>
      <c r="U736" t="inlineStr"/>
    </row>
    <row r="737">
      <c r="A737" t="inlineStr">
        <is>
          <t>화명플리체어린이집</t>
        </is>
      </c>
      <c r="B737" t="inlineStr">
        <is>
          <t>어린이집</t>
        </is>
      </c>
      <c r="C737" t="inlineStr">
        <is>
          <t>국공립</t>
        </is>
      </c>
      <c r="D737" t="inlineStr">
        <is>
          <t>북구</t>
        </is>
      </c>
      <c r="E737" t="inlineStr">
        <is>
          <t>부산광역시 북구 대천천길 109 관리동 어린이집(화명동, 화명플리체비스타동원)</t>
        </is>
      </c>
      <c r="F737" t="inlineStr"/>
      <c r="G737" t="inlineStr">
        <is>
          <t>051-929-5005</t>
        </is>
      </c>
      <c r="H737" s="15" t="n">
        <v>44</v>
      </c>
      <c r="I737" s="15" t="n">
        <v>11</v>
      </c>
      <c r="J737" s="15" t="n">
        <v>19</v>
      </c>
      <c r="K737" s="15" t="n">
        <v>14</v>
      </c>
      <c r="L737" s="15" t="n">
        <v>0</v>
      </c>
      <c r="M737" s="15" t="n">
        <v>0</v>
      </c>
      <c r="N737" s="15" t="n">
        <v>0</v>
      </c>
      <c r="O737" s="15" t="n">
        <v>0</v>
      </c>
      <c r="P737" s="15" t="n">
        <v>0</v>
      </c>
      <c r="Q737" s="15" t="n">
        <v>0</v>
      </c>
      <c r="R737" s="15" t="n">
        <v>0</v>
      </c>
      <c r="S737" s="15" t="n">
        <v>4</v>
      </c>
      <c r="T737" s="14">
        <f>IF(COUNT(I737:S737)=0,"",SUM(I737:S737))</f>
        <v/>
      </c>
      <c r="U737" t="inlineStr"/>
    </row>
    <row r="738">
      <c r="A738" t="inlineStr">
        <is>
          <t>화명힐스어린이집</t>
        </is>
      </c>
      <c r="B738" t="inlineStr">
        <is>
          <t>어린이집</t>
        </is>
      </c>
      <c r="C738" t="inlineStr">
        <is>
          <t>민간</t>
        </is>
      </c>
      <c r="D738" t="inlineStr">
        <is>
          <t>북구</t>
        </is>
      </c>
      <c r="E738" t="inlineStr">
        <is>
          <t>부산광역시 북구 화명대로 68 e편한세상 화명힐스아파트 관리동</t>
        </is>
      </c>
      <c r="F738" t="inlineStr"/>
      <c r="G738" t="inlineStr">
        <is>
          <t>051-361-7009</t>
        </is>
      </c>
      <c r="H738" s="15" t="n">
        <v>61</v>
      </c>
      <c r="I738" s="15" t="n">
        <v>18</v>
      </c>
      <c r="J738" s="15" t="n">
        <v>15</v>
      </c>
      <c r="K738" s="15" t="n">
        <v>18</v>
      </c>
      <c r="L738" s="15" t="n">
        <v>0</v>
      </c>
      <c r="M738" s="15" t="n">
        <v>0</v>
      </c>
      <c r="N738" s="15" t="n">
        <v>0</v>
      </c>
      <c r="O738" s="15" t="n">
        <v>0</v>
      </c>
      <c r="P738" s="15" t="n">
        <v>0</v>
      </c>
      <c r="Q738" s="15" t="n">
        <v>0</v>
      </c>
      <c r="R738" s="15" t="n">
        <v>0</v>
      </c>
      <c r="S738" s="15" t="n">
        <v>5</v>
      </c>
      <c r="T738" s="14">
        <f>IF(COUNT(I738:S738)=0,"",SUM(I738:S738))</f>
        <v/>
      </c>
      <c r="U738" t="inlineStr"/>
    </row>
    <row r="739">
      <c r="A739" t="inlineStr">
        <is>
          <t>효림어린이집</t>
        </is>
      </c>
      <c r="B739" t="inlineStr">
        <is>
          <t>어린이집</t>
        </is>
      </c>
      <c r="C739" t="inlineStr">
        <is>
          <t>민간</t>
        </is>
      </c>
      <c r="D739" t="inlineStr">
        <is>
          <t>북구</t>
        </is>
      </c>
      <c r="E739" t="inlineStr">
        <is>
          <t>부산광역시 북구 백양대로1016번길 100-47</t>
        </is>
      </c>
      <c r="F739" t="inlineStr"/>
      <c r="G739" t="inlineStr">
        <is>
          <t>051-334-0019</t>
        </is>
      </c>
      <c r="H739" s="15" t="n">
        <v>39</v>
      </c>
      <c r="I739" s="15" t="n">
        <v>0</v>
      </c>
      <c r="J739" s="15" t="n">
        <v>5</v>
      </c>
      <c r="K739" s="15" t="n">
        <v>12</v>
      </c>
      <c r="L739" s="15" t="n">
        <v>0</v>
      </c>
      <c r="M739" s="15" t="n">
        <v>0</v>
      </c>
      <c r="N739" s="15" t="n">
        <v>0</v>
      </c>
      <c r="O739" s="15" t="n">
        <v>3</v>
      </c>
      <c r="P739" s="15" t="n">
        <v>0</v>
      </c>
      <c r="Q739" s="15" t="n">
        <v>0</v>
      </c>
      <c r="R739" s="15" t="n">
        <v>0</v>
      </c>
      <c r="S739" s="15" t="n">
        <v>0</v>
      </c>
      <c r="T739" s="14">
        <f>IF(COUNT(I739:S739)=0,"",SUM(I739:S739))</f>
        <v/>
      </c>
      <c r="U739" t="inlineStr"/>
    </row>
    <row r="740">
      <c r="A740" t="inlineStr">
        <is>
          <t>휴먼시아어린이집</t>
        </is>
      </c>
      <c r="B740" t="inlineStr">
        <is>
          <t>어린이집</t>
        </is>
      </c>
      <c r="C740" t="inlineStr">
        <is>
          <t>가정</t>
        </is>
      </c>
      <c r="D740" t="inlineStr">
        <is>
          <t>북구</t>
        </is>
      </c>
      <c r="E740" t="inlineStr">
        <is>
          <t>부산광역시 북구 만덕1로51번길 11 , 202동 관리동어린이집(만덕동, 만덕3휴먼시아)</t>
        </is>
      </c>
      <c r="F740" t="inlineStr"/>
      <c r="G740" t="inlineStr">
        <is>
          <t>051-343-1555</t>
        </is>
      </c>
      <c r="H740" s="15" t="n">
        <v>20</v>
      </c>
      <c r="I740" s="15" t="n">
        <v>6</v>
      </c>
      <c r="J740" s="15" t="n">
        <v>5</v>
      </c>
      <c r="K740" s="15" t="n">
        <v>8</v>
      </c>
      <c r="L740" s="15" t="n">
        <v>0</v>
      </c>
      <c r="M740" s="15" t="n">
        <v>0</v>
      </c>
      <c r="N740" s="15" t="n">
        <v>0</v>
      </c>
      <c r="O740" s="15" t="n">
        <v>0</v>
      </c>
      <c r="P740" s="15" t="n">
        <v>0</v>
      </c>
      <c r="Q740" s="15" t="n">
        <v>0</v>
      </c>
      <c r="R740" s="15" t="n">
        <v>0</v>
      </c>
      <c r="S740" s="15" t="n">
        <v>5</v>
      </c>
      <c r="T740" s="14">
        <f>IF(COUNT(I740:S740)=0,"",SUM(I740:S740))</f>
        <v/>
      </c>
      <c r="U740" t="inlineStr"/>
    </row>
    <row r="741">
      <c r="A741" t="inlineStr">
        <is>
          <t>감전꽃동산어린이집</t>
        </is>
      </c>
      <c r="B741" t="inlineStr">
        <is>
          <t>어린이집</t>
        </is>
      </c>
      <c r="C741" t="inlineStr">
        <is>
          <t>국공립</t>
        </is>
      </c>
      <c r="D741" t="inlineStr">
        <is>
          <t>사상구</t>
        </is>
      </c>
      <c r="E741" t="inlineStr">
        <is>
          <t>부산광역시 사상구 새벽시장로56번길 30 (감전동)</t>
        </is>
      </c>
      <c r="F741" t="inlineStr"/>
      <c r="G741" t="inlineStr">
        <is>
          <t>051-316-3001</t>
        </is>
      </c>
      <c r="H741" s="15" t="n">
        <v>71</v>
      </c>
      <c r="I741" s="15" t="n">
        <v>3</v>
      </c>
      <c r="J741" s="15" t="n">
        <v>13</v>
      </c>
      <c r="K741" s="15" t="n">
        <v>21</v>
      </c>
      <c r="L741" s="15" t="n">
        <v>6</v>
      </c>
      <c r="M741" s="15" t="n">
        <v>12</v>
      </c>
      <c r="N741" s="15" t="n">
        <v>9</v>
      </c>
      <c r="O741" s="15" t="n">
        <v>6</v>
      </c>
      <c r="P741" s="15" t="n">
        <v>0</v>
      </c>
      <c r="Q741" s="15" t="n">
        <v>0</v>
      </c>
      <c r="R741" s="15" t="n">
        <v>0</v>
      </c>
      <c r="S741" s="15" t="n">
        <v>28</v>
      </c>
      <c r="T741" s="14">
        <f>IF(COUNT(I741:S741)=0,"",SUM(I741:S741))</f>
        <v/>
      </c>
      <c r="U741" t="inlineStr"/>
    </row>
    <row r="742">
      <c r="A742" t="inlineStr">
        <is>
          <t>강변해맑은어린이집</t>
        </is>
      </c>
      <c r="B742" t="inlineStr">
        <is>
          <t>어린이집</t>
        </is>
      </c>
      <c r="C742" t="inlineStr">
        <is>
          <t>가정</t>
        </is>
      </c>
      <c r="D742" t="inlineStr">
        <is>
          <t>사상구</t>
        </is>
      </c>
      <c r="E742" t="inlineStr">
        <is>
          <t>부산광역시 사상구 낙동대로1210번길 34 103동 105호(괘법동, 사상강변동원아파트)</t>
        </is>
      </c>
      <c r="F742" t="inlineStr"/>
      <c r="G742" t="inlineStr">
        <is>
          <t>051-326-1822</t>
        </is>
      </c>
      <c r="H742" s="15" t="n">
        <v>19</v>
      </c>
      <c r="I742" s="15" t="n">
        <v>0</v>
      </c>
      <c r="J742" s="15" t="n">
        <v>4</v>
      </c>
      <c r="K742" s="15" t="n">
        <v>7</v>
      </c>
      <c r="L742" s="15" t="n">
        <v>0</v>
      </c>
      <c r="M742" s="15" t="n">
        <v>0</v>
      </c>
      <c r="N742" s="15" t="n">
        <v>0</v>
      </c>
      <c r="O742" s="15" t="n">
        <v>2</v>
      </c>
      <c r="P742" s="15" t="n">
        <v>0</v>
      </c>
      <c r="Q742" s="15" t="n">
        <v>0</v>
      </c>
      <c r="R742" s="15" t="n">
        <v>0</v>
      </c>
      <c r="S742" s="15" t="n">
        <v>8</v>
      </c>
      <c r="T742" s="14">
        <f>IF(COUNT(I742:S742)=0,"",SUM(I742:S742))</f>
        <v/>
      </c>
      <c r="U742" t="inlineStr"/>
    </row>
    <row r="743">
      <c r="A743" t="inlineStr">
        <is>
          <t>경동메르빌어린이집</t>
        </is>
      </c>
      <c r="B743" t="inlineStr">
        <is>
          <t>어린이집</t>
        </is>
      </c>
      <c r="C743" t="inlineStr">
        <is>
          <t>민간</t>
        </is>
      </c>
      <c r="D743" t="inlineStr">
        <is>
          <t>사상구</t>
        </is>
      </c>
      <c r="E743" t="inlineStr">
        <is>
          <t>부산광역시 사상구 덕상로 8-37 201동(덕포동,경동메르빌아파트)</t>
        </is>
      </c>
      <c r="F743" t="inlineStr"/>
      <c r="G743" t="inlineStr">
        <is>
          <t>051-305-3821</t>
        </is>
      </c>
      <c r="H743" s="15" t="n">
        <v>39</v>
      </c>
      <c r="I743" s="15" t="n">
        <v>1</v>
      </c>
      <c r="J743" s="15" t="n">
        <v>5</v>
      </c>
      <c r="K743" s="15" t="n">
        <v>8</v>
      </c>
      <c r="L743" s="15" t="n">
        <v>0</v>
      </c>
      <c r="M743" s="15" t="n">
        <v>0</v>
      </c>
      <c r="N743" s="15" t="n">
        <v>0</v>
      </c>
      <c r="O743" s="15" t="n">
        <v>0</v>
      </c>
      <c r="P743" s="15" t="n">
        <v>0</v>
      </c>
      <c r="Q743" s="15" t="n">
        <v>0</v>
      </c>
      <c r="R743" s="15" t="n">
        <v>0</v>
      </c>
      <c r="S743" s="15" t="n">
        <v>3</v>
      </c>
      <c r="T743" s="14">
        <f>IF(COUNT(I743:S743)=0,"",SUM(I743:S743))</f>
        <v/>
      </c>
      <c r="U743" t="inlineStr"/>
    </row>
    <row r="744">
      <c r="A744" t="inlineStr">
        <is>
          <t>근로복지공단부산어린이집</t>
        </is>
      </c>
      <c r="B744" t="inlineStr">
        <is>
          <t>어린이집</t>
        </is>
      </c>
      <c r="C744" t="inlineStr">
        <is>
          <t>법인·단체등</t>
        </is>
      </c>
      <c r="D744" t="inlineStr">
        <is>
          <t>사상구</t>
        </is>
      </c>
      <c r="E744" t="inlineStr">
        <is>
          <t>부산광역시 사상구 사상로 255 (괘법동)</t>
        </is>
      </c>
      <c r="F744" s="11" t="inlineStr">
        <is>
          <t>https://www.comwel.or.kr/kids/busan/intro.do</t>
        </is>
      </c>
      <c r="G744" t="inlineStr">
        <is>
          <t>051-311-7204</t>
        </is>
      </c>
      <c r="H744" s="15" t="n">
        <v>126</v>
      </c>
      <c r="I744" s="15" t="n">
        <v>9</v>
      </c>
      <c r="J744" s="15" t="n">
        <v>14</v>
      </c>
      <c r="K744" s="15" t="n">
        <v>24</v>
      </c>
      <c r="L744" s="15" t="n">
        <v>14</v>
      </c>
      <c r="M744" s="15" t="n">
        <v>20</v>
      </c>
      <c r="N744" s="15" t="n">
        <v>24</v>
      </c>
      <c r="O744" s="15" t="n">
        <v>0</v>
      </c>
      <c r="P744" s="15" t="n">
        <v>0</v>
      </c>
      <c r="Q744" s="15" t="n">
        <v>0</v>
      </c>
      <c r="R744" s="15" t="n">
        <v>0</v>
      </c>
      <c r="S744" s="15" t="n">
        <v>19</v>
      </c>
      <c r="T744" s="14">
        <f>IF(COUNT(I744:S744)=0,"",SUM(I744:S744))</f>
        <v/>
      </c>
      <c r="U744" t="inlineStr"/>
    </row>
    <row r="745">
      <c r="A745" t="inlineStr">
        <is>
          <t>금강어린이집</t>
        </is>
      </c>
      <c r="B745" t="inlineStr">
        <is>
          <t>어린이집</t>
        </is>
      </c>
      <c r="C745" t="inlineStr">
        <is>
          <t>가정</t>
        </is>
      </c>
      <c r="D745" t="inlineStr">
        <is>
          <t>사상구</t>
        </is>
      </c>
      <c r="E745" t="inlineStr">
        <is>
          <t>부산광역시 사상구 대동로64번길 25 103동 110호(학장동, 금강아파트)</t>
        </is>
      </c>
      <c r="F745" t="inlineStr"/>
      <c r="G745" t="inlineStr">
        <is>
          <t>051-317-8880</t>
        </is>
      </c>
      <c r="H745" s="15" t="n">
        <v>18</v>
      </c>
      <c r="I745" s="15" t="n">
        <v>2</v>
      </c>
      <c r="J745" s="15" t="n">
        <v>3</v>
      </c>
      <c r="K745" s="15" t="n">
        <v>4</v>
      </c>
      <c r="L745" s="15" t="n">
        <v>0</v>
      </c>
      <c r="M745" s="15" t="n">
        <v>0</v>
      </c>
      <c r="N745" s="15" t="n">
        <v>0</v>
      </c>
      <c r="O745" s="15" t="n">
        <v>0</v>
      </c>
      <c r="P745" s="15" t="n">
        <v>0</v>
      </c>
      <c r="Q745" s="15" t="n">
        <v>0</v>
      </c>
      <c r="R745" s="15" t="n">
        <v>0</v>
      </c>
      <c r="S745" s="15" t="n">
        <v>4</v>
      </c>
      <c r="T745" s="14">
        <f>IF(COUNT(I745:S745)=0,"",SUM(I745:S745))</f>
        <v/>
      </c>
      <c r="U745" t="inlineStr"/>
    </row>
    <row r="746">
      <c r="A746" t="inlineStr">
        <is>
          <t>꼬마나라어린이집</t>
        </is>
      </c>
      <c r="B746" t="inlineStr">
        <is>
          <t>어린이집</t>
        </is>
      </c>
      <c r="C746" t="inlineStr">
        <is>
          <t>가정</t>
        </is>
      </c>
      <c r="D746" t="inlineStr">
        <is>
          <t>사상구</t>
        </is>
      </c>
      <c r="E746" t="inlineStr">
        <is>
          <t>부산광역시 사상구 백양대로 372-15 109동 103호(주례동, 한일유앤아이아파트)</t>
        </is>
      </c>
      <c r="F746" t="inlineStr"/>
      <c r="G746" t="inlineStr">
        <is>
          <t>051-315-4566</t>
        </is>
      </c>
      <c r="H746" s="15" t="n">
        <v>19</v>
      </c>
      <c r="I746" s="15" t="n">
        <v>3</v>
      </c>
      <c r="J746" s="15" t="n">
        <v>8</v>
      </c>
      <c r="K746" s="15" t="n">
        <v>6</v>
      </c>
      <c r="L746" s="15" t="n">
        <v>0</v>
      </c>
      <c r="M746" s="15" t="n">
        <v>0</v>
      </c>
      <c r="N746" s="15" t="n">
        <v>0</v>
      </c>
      <c r="O746" s="15" t="n">
        <v>0</v>
      </c>
      <c r="P746" s="15" t="n">
        <v>0</v>
      </c>
      <c r="Q746" s="15" t="n">
        <v>0</v>
      </c>
      <c r="R746" s="15" t="n">
        <v>0</v>
      </c>
      <c r="S746" s="15" t="n">
        <v>5</v>
      </c>
      <c r="T746" s="14">
        <f>IF(COUNT(I746:S746)=0,"",SUM(I746:S746))</f>
        <v/>
      </c>
      <c r="U746" t="inlineStr"/>
    </row>
    <row r="747">
      <c r="A747" t="inlineStr">
        <is>
          <t>꿈나래어린이집</t>
        </is>
      </c>
      <c r="B747" t="inlineStr">
        <is>
          <t>어린이집</t>
        </is>
      </c>
      <c r="C747" t="inlineStr">
        <is>
          <t>민간</t>
        </is>
      </c>
      <c r="D747" t="inlineStr">
        <is>
          <t>사상구</t>
        </is>
      </c>
      <c r="E747" t="inlineStr">
        <is>
          <t>부산광역시 사상구 모라로110번길 88 백양그린아파트관리사무실2층</t>
        </is>
      </c>
      <c r="F747" s="11" t="inlineStr">
        <is>
          <t>https://blog.naver.com/kkomnala</t>
        </is>
      </c>
      <c r="G747" t="inlineStr">
        <is>
          <t>051-714-5056</t>
        </is>
      </c>
      <c r="H747" s="15" t="n">
        <v>52</v>
      </c>
      <c r="I747" s="15" t="n">
        <v>7</v>
      </c>
      <c r="J747" s="15" t="n">
        <v>10</v>
      </c>
      <c r="K747" s="15" t="n">
        <v>13</v>
      </c>
      <c r="L747" s="15" t="n">
        <v>0</v>
      </c>
      <c r="M747" s="15" t="n">
        <v>0</v>
      </c>
      <c r="N747" s="15" t="n">
        <v>0</v>
      </c>
      <c r="O747" s="15" t="n">
        <v>3</v>
      </c>
      <c r="P747" s="15" t="n">
        <v>0</v>
      </c>
      <c r="Q747" s="15" t="n">
        <v>0</v>
      </c>
      <c r="R747" s="15" t="n">
        <v>0</v>
      </c>
      <c r="S747" s="15" t="n">
        <v>11</v>
      </c>
      <c r="T747" s="14">
        <f>IF(COUNT(I747:S747)=0,"",SUM(I747:S747))</f>
        <v/>
      </c>
      <c r="U747" t="inlineStr"/>
    </row>
    <row r="748">
      <c r="A748" t="inlineStr">
        <is>
          <t>꿈동산어린이집</t>
        </is>
      </c>
      <c r="B748" t="inlineStr">
        <is>
          <t>어린이집</t>
        </is>
      </c>
      <c r="C748" t="inlineStr">
        <is>
          <t>민간</t>
        </is>
      </c>
      <c r="D748" t="inlineStr">
        <is>
          <t>사상구</t>
        </is>
      </c>
      <c r="E748" t="inlineStr">
        <is>
          <t>부산광역시 사상구 학감대로123번길 19-33 신구덕우성아파트 관리동1층</t>
        </is>
      </c>
      <c r="F748" t="inlineStr"/>
      <c r="G748" t="inlineStr">
        <is>
          <t>051-311-8072</t>
        </is>
      </c>
      <c r="H748" s="15" t="n">
        <v>32</v>
      </c>
      <c r="I748" s="15" t="n">
        <v>2</v>
      </c>
      <c r="J748" s="15" t="n">
        <v>0</v>
      </c>
      <c r="K748" s="15" t="n">
        <v>4</v>
      </c>
      <c r="L748" s="15" t="n">
        <v>0</v>
      </c>
      <c r="M748" s="15" t="n">
        <v>0</v>
      </c>
      <c r="N748" s="15" t="n">
        <v>0</v>
      </c>
      <c r="O748" s="15" t="n">
        <v>3</v>
      </c>
      <c r="P748" s="15" t="n">
        <v>0</v>
      </c>
      <c r="Q748" s="15" t="n">
        <v>0</v>
      </c>
      <c r="R748" s="15" t="n">
        <v>0</v>
      </c>
      <c r="S748" s="15" t="n">
        <v>3</v>
      </c>
      <c r="T748" s="14">
        <f>IF(COUNT(I748:S748)=0,"",SUM(I748:S748))</f>
        <v/>
      </c>
      <c r="U748" t="inlineStr"/>
    </row>
    <row r="749">
      <c r="A749" t="inlineStr">
        <is>
          <t>다누림어린이집</t>
        </is>
      </c>
      <c r="B749" t="inlineStr">
        <is>
          <t>어린이집</t>
        </is>
      </c>
      <c r="C749" t="inlineStr">
        <is>
          <t>국공립</t>
        </is>
      </c>
      <c r="D749" t="inlineStr">
        <is>
          <t>사상구</t>
        </is>
      </c>
      <c r="E749" t="inlineStr">
        <is>
          <t>부산광역시 사상구 가야대로196번길 51 1층(학장동,다누림센터)</t>
        </is>
      </c>
      <c r="F749" s="11" t="inlineStr">
        <is>
          <t>http://suklgsuklg@naver.com</t>
        </is>
      </c>
      <c r="G749" t="inlineStr">
        <is>
          <t>051-315-8383</t>
        </is>
      </c>
      <c r="H749" s="15" t="n">
        <v>85</v>
      </c>
      <c r="I749" s="15" t="n">
        <v>3</v>
      </c>
      <c r="J749" s="15" t="n">
        <v>3</v>
      </c>
      <c r="K749" s="15" t="n">
        <v>4</v>
      </c>
      <c r="L749" s="15" t="n">
        <v>0</v>
      </c>
      <c r="M749" s="15" t="n">
        <v>0</v>
      </c>
      <c r="N749" s="15" t="n">
        <v>0</v>
      </c>
      <c r="O749" s="15" t="n">
        <v>0</v>
      </c>
      <c r="P749" s="15" t="n">
        <v>11</v>
      </c>
      <c r="Q749" s="15" t="n">
        <v>0</v>
      </c>
      <c r="R749" s="15" t="n">
        <v>5</v>
      </c>
      <c r="S749" s="15" t="n">
        <v>0</v>
      </c>
      <c r="T749" s="14">
        <f>IF(COUNT(I749:S749)=0,"",SUM(I749:S749))</f>
        <v/>
      </c>
      <c r="U749" t="inlineStr"/>
    </row>
    <row r="750">
      <c r="A750" t="inlineStr">
        <is>
          <t>다니엘어린이집</t>
        </is>
      </c>
      <c r="B750" t="inlineStr">
        <is>
          <t>어린이집</t>
        </is>
      </c>
      <c r="C750" t="inlineStr">
        <is>
          <t>가정</t>
        </is>
      </c>
      <c r="D750" t="inlineStr">
        <is>
          <t>사상구</t>
        </is>
      </c>
      <c r="E750" t="inlineStr">
        <is>
          <t>부산광역시 사상구 학감대로 109-14 106동 101호(학장동, 신구덕우성)</t>
        </is>
      </c>
      <c r="F750" t="inlineStr"/>
      <c r="G750" t="inlineStr">
        <is>
          <t>051-323-5137</t>
        </is>
      </c>
      <c r="H750" s="15" t="n">
        <v>20</v>
      </c>
      <c r="I750" s="15" t="n">
        <v>0</v>
      </c>
      <c r="J750" s="15" t="n">
        <v>0</v>
      </c>
      <c r="K750" s="15" t="n">
        <v>0</v>
      </c>
      <c r="L750" s="15" t="n">
        <v>0</v>
      </c>
      <c r="M750" s="15" t="n">
        <v>0</v>
      </c>
      <c r="N750" s="15" t="n">
        <v>0</v>
      </c>
      <c r="O750" s="15" t="n">
        <v>12</v>
      </c>
      <c r="P750" s="15" t="n">
        <v>0</v>
      </c>
      <c r="Q750" s="15" t="n">
        <v>0</v>
      </c>
      <c r="R750" s="15" t="n">
        <v>0</v>
      </c>
      <c r="S750" s="15" t="n">
        <v>5</v>
      </c>
      <c r="T750" s="14">
        <f>IF(COUNT(I750:S750)=0,"",SUM(I750:S750))</f>
        <v/>
      </c>
      <c r="U750" t="inlineStr"/>
    </row>
    <row r="751">
      <c r="A751" t="inlineStr">
        <is>
          <t>다솜어린이집</t>
        </is>
      </c>
      <c r="B751" t="inlineStr">
        <is>
          <t>어린이집</t>
        </is>
      </c>
      <c r="C751" t="inlineStr">
        <is>
          <t>가정</t>
        </is>
      </c>
      <c r="D751" t="inlineStr">
        <is>
          <t>사상구</t>
        </is>
      </c>
      <c r="E751" t="inlineStr">
        <is>
          <t>부산광역시 사상구 대동로64번길 25 102동 107호(학장동, 금강아파트)</t>
        </is>
      </c>
      <c r="F751" s="11" t="inlineStr">
        <is>
          <t>https://cafe.naver.com/dasom3277919</t>
        </is>
      </c>
      <c r="G751" t="inlineStr">
        <is>
          <t>051-327-7919</t>
        </is>
      </c>
      <c r="H751" s="15" t="n">
        <v>18</v>
      </c>
      <c r="I751" s="15" t="n">
        <v>2</v>
      </c>
      <c r="J751" s="15" t="n">
        <v>0</v>
      </c>
      <c r="K751" s="15" t="n">
        <v>0</v>
      </c>
      <c r="L751" s="15" t="n">
        <v>0</v>
      </c>
      <c r="M751" s="15" t="n">
        <v>0</v>
      </c>
      <c r="N751" s="15" t="n">
        <v>0</v>
      </c>
      <c r="O751" s="15" t="n">
        <v>4</v>
      </c>
      <c r="P751" s="15" t="n">
        <v>0</v>
      </c>
      <c r="Q751" s="15" t="n">
        <v>0</v>
      </c>
      <c r="R751" s="15" t="n">
        <v>0</v>
      </c>
      <c r="S751" s="15" t="n">
        <v>9</v>
      </c>
      <c r="T751" s="14">
        <f>IF(COUNT(I751:S751)=0,"",SUM(I751:S751))</f>
        <v/>
      </c>
      <c r="U751" t="inlineStr"/>
    </row>
    <row r="752">
      <c r="A752" t="inlineStr">
        <is>
          <t>대림어린이집</t>
        </is>
      </c>
      <c r="B752" t="inlineStr">
        <is>
          <t>어린이집</t>
        </is>
      </c>
      <c r="C752" t="inlineStr">
        <is>
          <t>민간</t>
        </is>
      </c>
      <c r="D752" t="inlineStr">
        <is>
          <t>사상구</t>
        </is>
      </c>
      <c r="E752" t="inlineStr">
        <is>
          <t>부산광역시 사상구 엄궁로 154 501호 (엄궁동, 대림아파트)</t>
        </is>
      </c>
      <c r="F752" t="inlineStr"/>
      <c r="G752" t="inlineStr">
        <is>
          <t>051-326-8112</t>
        </is>
      </c>
      <c r="H752" s="15" t="n">
        <v>44</v>
      </c>
      <c r="I752" s="15" t="n">
        <v>0</v>
      </c>
      <c r="J752" s="15" t="n">
        <v>5</v>
      </c>
      <c r="K752" s="15" t="n">
        <v>5</v>
      </c>
      <c r="L752" s="15" t="n">
        <v>0</v>
      </c>
      <c r="M752" s="15" t="n">
        <v>0</v>
      </c>
      <c r="N752" s="15" t="n">
        <v>0</v>
      </c>
      <c r="O752" s="15" t="n">
        <v>7</v>
      </c>
      <c r="P752" s="15" t="n">
        <v>0</v>
      </c>
      <c r="Q752" s="15" t="n">
        <v>0</v>
      </c>
      <c r="R752" s="15" t="n">
        <v>0</v>
      </c>
      <c r="S752" s="15" t="n">
        <v>4</v>
      </c>
      <c r="T752" s="14">
        <f>IF(COUNT(I752:S752)=0,"",SUM(I752:S752))</f>
        <v/>
      </c>
      <c r="U752" t="inlineStr"/>
    </row>
    <row r="753">
      <c r="A753" t="inlineStr">
        <is>
          <t>덕상어린이집</t>
        </is>
      </c>
      <c r="B753" t="inlineStr">
        <is>
          <t>어린이집</t>
        </is>
      </c>
      <c r="C753" t="inlineStr">
        <is>
          <t>민간</t>
        </is>
      </c>
      <c r="D753" t="inlineStr">
        <is>
          <t>사상구</t>
        </is>
      </c>
      <c r="E753" t="inlineStr">
        <is>
          <t>부산광역시 사상구 백양대로768번길 33 (덕포동)</t>
        </is>
      </c>
      <c r="F753" t="inlineStr"/>
      <c r="G753" t="inlineStr">
        <is>
          <t>051-303-5232</t>
        </is>
      </c>
      <c r="H753" s="15" t="n">
        <v>32</v>
      </c>
      <c r="I753" s="15" t="n">
        <v>0</v>
      </c>
      <c r="J753" s="15" t="n">
        <v>0</v>
      </c>
      <c r="K753" s="15" t="n">
        <v>0</v>
      </c>
      <c r="L753" s="15" t="n">
        <v>0</v>
      </c>
      <c r="M753" s="15" t="n">
        <v>0</v>
      </c>
      <c r="N753" s="15" t="n">
        <v>0</v>
      </c>
      <c r="O753" s="15" t="n">
        <v>11</v>
      </c>
      <c r="P753" s="15" t="n">
        <v>0</v>
      </c>
      <c r="Q753" s="15" t="n">
        <v>0</v>
      </c>
      <c r="R753" s="15" t="n">
        <v>0</v>
      </c>
      <c r="S753" s="15" t="n">
        <v>3</v>
      </c>
      <c r="T753" s="14">
        <f>IF(COUNT(I753:S753)=0,"",SUM(I753:S753))</f>
        <v/>
      </c>
      <c r="U753" t="inlineStr"/>
    </row>
    <row r="754">
      <c r="A754" t="inlineStr">
        <is>
          <t>덕포중흥어린이집</t>
        </is>
      </c>
      <c r="B754" t="inlineStr">
        <is>
          <t>어린이집</t>
        </is>
      </c>
      <c r="C754" t="inlineStr">
        <is>
          <t>국공립</t>
        </is>
      </c>
      <c r="D754" t="inlineStr">
        <is>
          <t>사상구</t>
        </is>
      </c>
      <c r="E754" t="inlineStr">
        <is>
          <t>부산광역시 사상구 사상로 300</t>
        </is>
      </c>
      <c r="F754" t="inlineStr"/>
      <c r="G754" t="inlineStr">
        <is>
          <t>051-304-7731</t>
        </is>
      </c>
      <c r="H754" s="15" t="n">
        <v>60</v>
      </c>
      <c r="I754" s="15" t="n">
        <v>9</v>
      </c>
      <c r="J754" s="15" t="n">
        <v>25</v>
      </c>
      <c r="K754" s="15" t="n">
        <v>26</v>
      </c>
      <c r="L754" s="15" t="n">
        <v>0</v>
      </c>
      <c r="M754" s="15" t="n">
        <v>0</v>
      </c>
      <c r="N754" s="15" t="n">
        <v>0</v>
      </c>
      <c r="O754" s="15" t="n">
        <v>0</v>
      </c>
      <c r="P754" s="15" t="n">
        <v>0</v>
      </c>
      <c r="Q754" s="15" t="n">
        <v>0</v>
      </c>
      <c r="R754" s="15" t="n">
        <v>0</v>
      </c>
      <c r="S754" s="15" t="n">
        <v>12</v>
      </c>
      <c r="T754" s="14">
        <f>IF(COUNT(I754:S754)=0,"",SUM(I754:S754))</f>
        <v/>
      </c>
      <c r="U754" t="inlineStr"/>
    </row>
    <row r="755">
      <c r="A755" t="inlineStr">
        <is>
          <t>도담어린이집</t>
        </is>
      </c>
      <c r="B755" t="inlineStr">
        <is>
          <t>어린이집</t>
        </is>
      </c>
      <c r="C755" t="inlineStr">
        <is>
          <t>민간</t>
        </is>
      </c>
      <c r="D755" t="inlineStr">
        <is>
          <t>사상구</t>
        </is>
      </c>
      <c r="E755" t="inlineStr">
        <is>
          <t>부산광역시 사상구 백양대로342번길 17 신주례엘지아파트 201동앞</t>
        </is>
      </c>
      <c r="F755" s="11" t="inlineStr">
        <is>
          <t>http://www.dodamkids.net</t>
        </is>
      </c>
      <c r="G755" t="inlineStr">
        <is>
          <t>051-312-5004</t>
        </is>
      </c>
      <c r="H755" s="15" t="n">
        <v>97</v>
      </c>
      <c r="I755" s="15" t="n">
        <v>9</v>
      </c>
      <c r="J755" s="15" t="n">
        <v>16</v>
      </c>
      <c r="K755" s="15" t="n">
        <v>12</v>
      </c>
      <c r="L755" s="15" t="n">
        <v>5</v>
      </c>
      <c r="M755" s="15" t="n">
        <v>0</v>
      </c>
      <c r="N755" s="15" t="n">
        <v>0</v>
      </c>
      <c r="O755" s="15" t="n">
        <v>0</v>
      </c>
      <c r="P755" s="15" t="n">
        <v>0</v>
      </c>
      <c r="Q755" s="15" t="n">
        <v>0</v>
      </c>
      <c r="R755" s="15" t="n">
        <v>0</v>
      </c>
      <c r="S755" s="15" t="n">
        <v>7</v>
      </c>
      <c r="T755" s="14">
        <f>IF(COUNT(I755:S755)=0,"",SUM(I755:S755))</f>
        <v/>
      </c>
      <c r="U755" t="inlineStr"/>
    </row>
    <row r="756">
      <c r="A756" t="inlineStr">
        <is>
          <t>동성럭키어린이집</t>
        </is>
      </c>
      <c r="B756" t="inlineStr">
        <is>
          <t>어린이집</t>
        </is>
      </c>
      <c r="C756" t="inlineStr">
        <is>
          <t>민간</t>
        </is>
      </c>
      <c r="D756" t="inlineStr">
        <is>
          <t>사상구</t>
        </is>
      </c>
      <c r="E756" t="inlineStr">
        <is>
          <t>부산광역시 사상구 주례로 116 (주례동)</t>
        </is>
      </c>
      <c r="F756" s="11" t="inlineStr">
        <is>
          <t>https://blog.naver.com/dongsung7120</t>
        </is>
      </c>
      <c r="G756" t="inlineStr">
        <is>
          <t>051-325-7120</t>
        </is>
      </c>
      <c r="H756" s="15" t="n">
        <v>80</v>
      </c>
      <c r="I756" s="15" t="n">
        <v>9</v>
      </c>
      <c r="J756" s="15" t="n">
        <v>10</v>
      </c>
      <c r="K756" s="15" t="n">
        <v>20</v>
      </c>
      <c r="L756" s="15" t="n">
        <v>0</v>
      </c>
      <c r="M756" s="15" t="n">
        <v>0</v>
      </c>
      <c r="N756" s="15" t="n">
        <v>0</v>
      </c>
      <c r="O756" s="15" t="n">
        <v>0</v>
      </c>
      <c r="P756" s="15" t="n">
        <v>0</v>
      </c>
      <c r="Q756" s="15" t="n">
        <v>0</v>
      </c>
      <c r="R756" s="15" t="n">
        <v>0</v>
      </c>
      <c r="S756" s="15" t="n">
        <v>5</v>
      </c>
      <c r="T756" s="14">
        <f>IF(COUNT(I756:S756)=0,"",SUM(I756:S756))</f>
        <v/>
      </c>
      <c r="U756" t="inlineStr"/>
    </row>
    <row r="757">
      <c r="A757" t="inlineStr">
        <is>
          <t>동원과학어린이집</t>
        </is>
      </c>
      <c r="B757" t="inlineStr">
        <is>
          <t>어린이집</t>
        </is>
      </c>
      <c r="C757" t="inlineStr">
        <is>
          <t>민간</t>
        </is>
      </c>
      <c r="D757" t="inlineStr">
        <is>
          <t>사상구</t>
        </is>
      </c>
      <c r="E757" t="inlineStr">
        <is>
          <t>부산광역시 사상구 낙동대로1210번길 34 관리동1층(괘법동,사상강변동원아파트)</t>
        </is>
      </c>
      <c r="F757" t="inlineStr"/>
      <c r="G757" t="inlineStr">
        <is>
          <t>051-323-0801</t>
        </is>
      </c>
      <c r="H757" s="15" t="n">
        <v>43</v>
      </c>
      <c r="I757" s="15" t="n">
        <v>9</v>
      </c>
      <c r="J757" s="15" t="n">
        <v>15</v>
      </c>
      <c r="K757" s="15" t="n">
        <v>15</v>
      </c>
      <c r="L757" s="15" t="n">
        <v>0</v>
      </c>
      <c r="M757" s="15" t="n">
        <v>0</v>
      </c>
      <c r="N757" s="15" t="n">
        <v>0</v>
      </c>
      <c r="O757" s="15" t="n">
        <v>0</v>
      </c>
      <c r="P757" s="15" t="n">
        <v>0</v>
      </c>
      <c r="Q757" s="15" t="n">
        <v>0</v>
      </c>
      <c r="R757" s="15" t="n">
        <v>0</v>
      </c>
      <c r="S757" s="15" t="n">
        <v>5</v>
      </c>
      <c r="T757" s="14">
        <f>IF(COUNT(I757:S757)=0,"",SUM(I757:S757))</f>
        <v/>
      </c>
      <c r="U757" t="inlineStr"/>
    </row>
    <row r="758">
      <c r="A758" t="inlineStr">
        <is>
          <t>동원로얄듀크어린이집</t>
        </is>
      </c>
      <c r="B758" t="inlineStr">
        <is>
          <t>어린이집</t>
        </is>
      </c>
      <c r="C758" t="inlineStr">
        <is>
          <t>국공립</t>
        </is>
      </c>
      <c r="D758" t="inlineStr">
        <is>
          <t>사상구</t>
        </is>
      </c>
      <c r="E758" t="inlineStr">
        <is>
          <t>부산광역시 사상구 백양대로934번길 94 (모라동, 구남역동원로얄듀크아파트)</t>
        </is>
      </c>
      <c r="F758" t="inlineStr"/>
      <c r="G758" t="inlineStr">
        <is>
          <t>051-311-3838</t>
        </is>
      </c>
      <c r="H758" s="15" t="n">
        <v>30</v>
      </c>
      <c r="I758" s="15" t="n">
        <v>3</v>
      </c>
      <c r="J758" s="15" t="n">
        <v>14</v>
      </c>
      <c r="K758" s="15" t="n">
        <v>10</v>
      </c>
      <c r="L758" s="15" t="n">
        <v>0</v>
      </c>
      <c r="M758" s="15" t="n">
        <v>0</v>
      </c>
      <c r="N758" s="15" t="n">
        <v>0</v>
      </c>
      <c r="O758" s="15" t="n">
        <v>3</v>
      </c>
      <c r="P758" s="15" t="n">
        <v>0</v>
      </c>
      <c r="Q758" s="15" t="n">
        <v>0</v>
      </c>
      <c r="R758" s="15" t="n">
        <v>0</v>
      </c>
      <c r="S758" s="15" t="n">
        <v>5</v>
      </c>
      <c r="T758" s="14">
        <f>IF(COUNT(I758:S758)=0,"",SUM(I758:S758))</f>
        <v/>
      </c>
      <c r="U758" t="inlineStr"/>
    </row>
    <row r="759">
      <c r="A759" t="inlineStr">
        <is>
          <t>동화나라어린이집</t>
        </is>
      </c>
      <c r="B759" t="inlineStr">
        <is>
          <t>어린이집</t>
        </is>
      </c>
      <c r="C759" t="inlineStr">
        <is>
          <t>가정</t>
        </is>
      </c>
      <c r="D759" t="inlineStr">
        <is>
          <t>사상구</t>
        </is>
      </c>
      <c r="E759" t="inlineStr">
        <is>
          <t>부산광역시 사상구 백양대로934번길 84 108동 102호(모라동, 모라벽산)</t>
        </is>
      </c>
      <c r="F759" t="inlineStr"/>
      <c r="G759" t="inlineStr">
        <is>
          <t>051-313-8858</t>
        </is>
      </c>
      <c r="H759" s="15" t="n">
        <v>20</v>
      </c>
      <c r="I759" s="15" t="n">
        <v>0</v>
      </c>
      <c r="J759" s="15" t="n">
        <v>0</v>
      </c>
      <c r="K759" s="15" t="n">
        <v>0</v>
      </c>
      <c r="L759" s="15" t="n">
        <v>0</v>
      </c>
      <c r="M759" s="15" t="n">
        <v>0</v>
      </c>
      <c r="N759" s="15" t="n">
        <v>0</v>
      </c>
      <c r="O759" s="15" t="n">
        <v>6</v>
      </c>
      <c r="P759" s="15" t="n">
        <v>0</v>
      </c>
      <c r="Q759" s="15" t="n">
        <v>0</v>
      </c>
      <c r="R759" s="15" t="n">
        <v>0</v>
      </c>
      <c r="S759" s="15" t="n">
        <v>4</v>
      </c>
      <c r="T759" s="14">
        <f>IF(COUNT(I759:S759)=0,"",SUM(I759:S759))</f>
        <v/>
      </c>
      <c r="U759" t="inlineStr"/>
    </row>
    <row r="760">
      <c r="A760" t="inlineStr">
        <is>
          <t>동화속어린이집</t>
        </is>
      </c>
      <c r="B760" t="inlineStr">
        <is>
          <t>어린이집</t>
        </is>
      </c>
      <c r="C760" t="inlineStr">
        <is>
          <t>민간</t>
        </is>
      </c>
      <c r="D760" t="inlineStr">
        <is>
          <t>사상구</t>
        </is>
      </c>
      <c r="E760" t="inlineStr">
        <is>
          <t>부산광역시 사상구 광장로21번길 66 (괘법동, LH아파트관리동)</t>
        </is>
      </c>
      <c r="F760" t="inlineStr"/>
      <c r="G760" t="inlineStr">
        <is>
          <t>051-317-7191</t>
        </is>
      </c>
      <c r="H760" s="15" t="n">
        <v>24</v>
      </c>
      <c r="I760" s="15" t="n">
        <v>6</v>
      </c>
      <c r="J760" s="15" t="n">
        <v>4</v>
      </c>
      <c r="K760" s="15" t="n">
        <v>7</v>
      </c>
      <c r="L760" s="15" t="n">
        <v>0</v>
      </c>
      <c r="M760" s="15" t="n">
        <v>0</v>
      </c>
      <c r="N760" s="15" t="n">
        <v>0</v>
      </c>
      <c r="O760" s="15" t="n">
        <v>5</v>
      </c>
      <c r="P760" s="15" t="n">
        <v>0</v>
      </c>
      <c r="Q760" s="15" t="n">
        <v>0</v>
      </c>
      <c r="R760" s="15" t="n">
        <v>0</v>
      </c>
      <c r="S760" s="15" t="n">
        <v>4</v>
      </c>
      <c r="T760" s="14">
        <f>IF(COUNT(I760:S760)=0,"",SUM(I760:S760))</f>
        <v/>
      </c>
      <c r="U760" t="inlineStr"/>
    </row>
    <row r="761">
      <c r="A761" t="inlineStr">
        <is>
          <t>드림키즈어린이집</t>
        </is>
      </c>
      <c r="B761" t="inlineStr">
        <is>
          <t>어린이집</t>
        </is>
      </c>
      <c r="C761" t="inlineStr">
        <is>
          <t>민간</t>
        </is>
      </c>
      <c r="D761" t="inlineStr">
        <is>
          <t>사상구</t>
        </is>
      </c>
      <c r="E761" t="inlineStr">
        <is>
          <t>부산광역시 사상구 대동로 84 관리동 (학장동, 학장무학)</t>
        </is>
      </c>
      <c r="F761" t="inlineStr"/>
      <c r="G761" t="inlineStr">
        <is>
          <t>051-316-4364</t>
        </is>
      </c>
      <c r="H761" s="15" t="n">
        <v>38</v>
      </c>
      <c r="I761" s="15" t="n">
        <v>1</v>
      </c>
      <c r="J761" s="15" t="n">
        <v>4</v>
      </c>
      <c r="K761" s="15" t="n">
        <v>3</v>
      </c>
      <c r="L761" s="15" t="n">
        <v>0</v>
      </c>
      <c r="M761" s="15" t="n">
        <v>0</v>
      </c>
      <c r="N761" s="15" t="n">
        <v>0</v>
      </c>
      <c r="O761" s="15" t="n">
        <v>0</v>
      </c>
      <c r="P761" s="15" t="n">
        <v>0</v>
      </c>
      <c r="Q761" s="15" t="n">
        <v>0</v>
      </c>
      <c r="R761" s="15" t="n">
        <v>0</v>
      </c>
      <c r="S761" s="15" t="n">
        <v>0</v>
      </c>
      <c r="T761" s="14">
        <f>IF(COUNT(I761:S761)=0,"",SUM(I761:S761))</f>
        <v/>
      </c>
      <c r="U761" t="inlineStr"/>
    </row>
    <row r="762">
      <c r="A762" t="inlineStr">
        <is>
          <t>또래어린이집</t>
        </is>
      </c>
      <c r="B762" t="inlineStr">
        <is>
          <t>어린이집</t>
        </is>
      </c>
      <c r="C762" t="inlineStr">
        <is>
          <t>가정</t>
        </is>
      </c>
      <c r="D762" t="inlineStr">
        <is>
          <t>사상구</t>
        </is>
      </c>
      <c r="E762" t="inlineStr">
        <is>
          <t>부산광역시 사상구 학감대로 109-14 102동 101호(학장동, 신구덕우성)</t>
        </is>
      </c>
      <c r="F762" s="11" t="inlineStr">
        <is>
          <t>http://cafe.daum.net/qntksehfo</t>
        </is>
      </c>
      <c r="G762" t="inlineStr">
        <is>
          <t>051-324-8600</t>
        </is>
      </c>
      <c r="H762" s="15" t="n">
        <v>20</v>
      </c>
      <c r="I762" s="15" t="n">
        <v>4</v>
      </c>
      <c r="J762" s="15" t="n">
        <v>4</v>
      </c>
      <c r="K762" s="15" t="n">
        <v>5</v>
      </c>
      <c r="L762" s="15" t="n">
        <v>0</v>
      </c>
      <c r="M762" s="15" t="n">
        <v>0</v>
      </c>
      <c r="N762" s="15" t="n">
        <v>0</v>
      </c>
      <c r="O762" s="15" t="n">
        <v>0</v>
      </c>
      <c r="P762" s="15" t="n">
        <v>0</v>
      </c>
      <c r="Q762" s="15" t="n">
        <v>0</v>
      </c>
      <c r="R762" s="15" t="n">
        <v>0</v>
      </c>
      <c r="S762" s="15" t="n">
        <v>5</v>
      </c>
      <c r="T762" s="14">
        <f>IF(COUNT(I762:S762)=0,"",SUM(I762:S762))</f>
        <v/>
      </c>
      <c r="U762" t="inlineStr"/>
    </row>
    <row r="763">
      <c r="A763" t="inlineStr">
        <is>
          <t>롯데캐슬어린이집</t>
        </is>
      </c>
      <c r="B763" t="inlineStr">
        <is>
          <t>어린이집</t>
        </is>
      </c>
      <c r="C763" t="inlineStr">
        <is>
          <t>민간</t>
        </is>
      </c>
      <c r="D763" t="inlineStr">
        <is>
          <t>사상구</t>
        </is>
      </c>
      <c r="E763" t="inlineStr">
        <is>
          <t>부산광역시 사상구 엄궁북로 40 507동(엄궁동, 롯데캐슬)</t>
        </is>
      </c>
      <c r="F763" t="inlineStr"/>
      <c r="G763" t="inlineStr">
        <is>
          <t>051-311-0223</t>
        </is>
      </c>
      <c r="H763" s="15" t="n">
        <v>84</v>
      </c>
      <c r="I763" s="15" t="n">
        <v>9</v>
      </c>
      <c r="J763" s="15" t="n">
        <v>19</v>
      </c>
      <c r="K763" s="15" t="n">
        <v>14</v>
      </c>
      <c r="L763" s="15" t="n">
        <v>14</v>
      </c>
      <c r="M763" s="15" t="n">
        <v>0</v>
      </c>
      <c r="N763" s="15" t="n">
        <v>0</v>
      </c>
      <c r="O763" s="15" t="n">
        <v>0</v>
      </c>
      <c r="P763" s="15" t="n">
        <v>0</v>
      </c>
      <c r="Q763" s="15" t="n">
        <v>0</v>
      </c>
      <c r="R763" s="15" t="n">
        <v>0</v>
      </c>
      <c r="S763" s="15" t="n">
        <v>10</v>
      </c>
      <c r="T763" s="14">
        <f>IF(COUNT(I763:S763)=0,"",SUM(I763:S763))</f>
        <v/>
      </c>
      <c r="U763" t="inlineStr"/>
    </row>
    <row r="764">
      <c r="A764" t="inlineStr">
        <is>
          <t>롯데캐슬초록어린이집</t>
        </is>
      </c>
      <c r="B764" t="inlineStr">
        <is>
          <t>어린이집</t>
        </is>
      </c>
      <c r="C764" t="inlineStr">
        <is>
          <t>가정</t>
        </is>
      </c>
      <c r="D764" t="inlineStr">
        <is>
          <t>사상구</t>
        </is>
      </c>
      <c r="E764" t="inlineStr">
        <is>
          <t>부산광역시 사상구 엄궁북로 62 202동 102호(엄궁동, 롯데캐슬리버)</t>
        </is>
      </c>
      <c r="F764" t="inlineStr"/>
      <c r="G764" t="inlineStr">
        <is>
          <t>051-913-6664</t>
        </is>
      </c>
      <c r="H764" s="15" t="n">
        <v>19</v>
      </c>
      <c r="I764" s="15" t="n">
        <v>0</v>
      </c>
      <c r="J764" s="15" t="n">
        <v>7</v>
      </c>
      <c r="K764" s="15" t="n">
        <v>0</v>
      </c>
      <c r="L764" s="15" t="n">
        <v>0</v>
      </c>
      <c r="M764" s="15" t="n">
        <v>0</v>
      </c>
      <c r="N764" s="15" t="n">
        <v>0</v>
      </c>
      <c r="O764" s="15" t="n">
        <v>2</v>
      </c>
      <c r="P764" s="15" t="n">
        <v>0</v>
      </c>
      <c r="Q764" s="15" t="n">
        <v>0</v>
      </c>
      <c r="R764" s="15" t="n">
        <v>0</v>
      </c>
      <c r="S764" s="15" t="n">
        <v>8</v>
      </c>
      <c r="T764" s="14">
        <f>IF(COUNT(I764:S764)=0,"",SUM(I764:S764))</f>
        <v/>
      </c>
      <c r="U764" t="inlineStr"/>
    </row>
    <row r="765">
      <c r="A765" t="inlineStr">
        <is>
          <t>롯데큰별어린이집</t>
        </is>
      </c>
      <c r="B765" t="inlineStr">
        <is>
          <t>어린이집</t>
        </is>
      </c>
      <c r="C765" t="inlineStr">
        <is>
          <t>가정</t>
        </is>
      </c>
      <c r="D765" t="inlineStr">
        <is>
          <t>사상구</t>
        </is>
      </c>
      <c r="E765" t="inlineStr">
        <is>
          <t>부산광역시 사상구 엄궁북로 62 205동 101호(엄궁동,롯데캐슬리버)</t>
        </is>
      </c>
      <c r="F765" t="inlineStr"/>
      <c r="G765" t="inlineStr">
        <is>
          <t>051-313-6002</t>
        </is>
      </c>
      <c r="H765" s="15" t="n">
        <v>19</v>
      </c>
      <c r="I765" s="15" t="n">
        <v>3</v>
      </c>
      <c r="J765" s="15" t="n">
        <v>4</v>
      </c>
      <c r="K765" s="15" t="n">
        <v>6</v>
      </c>
      <c r="L765" s="15" t="n">
        <v>0</v>
      </c>
      <c r="M765" s="15" t="n">
        <v>0</v>
      </c>
      <c r="N765" s="15" t="n">
        <v>0</v>
      </c>
      <c r="O765" s="15" t="n">
        <v>0</v>
      </c>
      <c r="P765" s="15" t="n">
        <v>0</v>
      </c>
      <c r="Q765" s="15" t="n">
        <v>0</v>
      </c>
      <c r="R765" s="15" t="n">
        <v>0</v>
      </c>
      <c r="S765" s="15" t="n">
        <v>4</v>
      </c>
      <c r="T765" s="14">
        <f>IF(COUNT(I765:S765)=0,"",SUM(I765:S765))</f>
        <v/>
      </c>
      <c r="U765" t="inlineStr"/>
    </row>
    <row r="766">
      <c r="A766" t="inlineStr">
        <is>
          <t>모라어린이집</t>
        </is>
      </c>
      <c r="B766" t="inlineStr">
        <is>
          <t>어린이집</t>
        </is>
      </c>
      <c r="C766" t="inlineStr">
        <is>
          <t>국공립</t>
        </is>
      </c>
      <c r="D766" t="inlineStr">
        <is>
          <t>사상구</t>
        </is>
      </c>
      <c r="E766" t="inlineStr">
        <is>
          <t>부산광역시 사상구 모라로110번길 129 모라종합사회복지관 모라어린이집</t>
        </is>
      </c>
      <c r="F766" t="inlineStr"/>
      <c r="G766" t="inlineStr">
        <is>
          <t>051-302-8912</t>
        </is>
      </c>
      <c r="H766" s="15" t="n">
        <v>58</v>
      </c>
      <c r="I766" s="15" t="n">
        <v>6</v>
      </c>
      <c r="J766" s="15" t="n">
        <v>0</v>
      </c>
      <c r="K766" s="15" t="n">
        <v>0</v>
      </c>
      <c r="L766" s="15" t="n">
        <v>10</v>
      </c>
      <c r="M766" s="15" t="n">
        <v>0</v>
      </c>
      <c r="N766" s="15" t="n">
        <v>0</v>
      </c>
      <c r="O766" s="15" t="n">
        <v>10</v>
      </c>
      <c r="P766" s="15" t="n">
        <v>10</v>
      </c>
      <c r="Q766" s="15" t="n">
        <v>0</v>
      </c>
      <c r="R766" s="15" t="n">
        <v>3</v>
      </c>
      <c r="S766" s="15" t="n">
        <v>17</v>
      </c>
      <c r="T766" s="14">
        <f>IF(COUNT(I766:S766)=0,"",SUM(I766:S766))</f>
        <v/>
      </c>
      <c r="U766" t="inlineStr"/>
    </row>
    <row r="767">
      <c r="A767" t="inlineStr">
        <is>
          <t>무덕어린이집</t>
        </is>
      </c>
      <c r="B767" t="inlineStr">
        <is>
          <t>어린이집</t>
        </is>
      </c>
      <c r="C767" t="inlineStr">
        <is>
          <t>민간</t>
        </is>
      </c>
      <c r="D767" t="inlineStr">
        <is>
          <t>사상구</t>
        </is>
      </c>
      <c r="E767" t="inlineStr">
        <is>
          <t>부산광역시 사상구 냉정로 78 (주례동)</t>
        </is>
      </c>
      <c r="F767" s="11" t="inlineStr">
        <is>
          <t>https://blog.naver.com/md_child</t>
        </is>
      </c>
      <c r="G767" t="inlineStr">
        <is>
          <t>051-315-3580</t>
        </is>
      </c>
      <c r="H767" s="15" t="n">
        <v>39</v>
      </c>
      <c r="I767" s="15" t="n">
        <v>0</v>
      </c>
      <c r="J767" s="15" t="n">
        <v>5</v>
      </c>
      <c r="K767" s="15" t="n">
        <v>7</v>
      </c>
      <c r="L767" s="15" t="n">
        <v>0</v>
      </c>
      <c r="M767" s="15" t="n">
        <v>0</v>
      </c>
      <c r="N767" s="15" t="n">
        <v>0</v>
      </c>
      <c r="O767" s="15" t="n">
        <v>0</v>
      </c>
      <c r="P767" s="15" t="n">
        <v>0</v>
      </c>
      <c r="Q767" s="15" t="n">
        <v>0</v>
      </c>
      <c r="R767" s="15" t="n">
        <v>0</v>
      </c>
      <c r="S767" s="15" t="n">
        <v>5</v>
      </c>
      <c r="T767" s="14">
        <f>IF(COUNT(I767:S767)=0,"",SUM(I767:S767))</f>
        <v/>
      </c>
      <c r="U767" t="inlineStr"/>
    </row>
    <row r="768">
      <c r="A768" t="inlineStr">
        <is>
          <t>민들레어린이집</t>
        </is>
      </c>
      <c r="B768" t="inlineStr">
        <is>
          <t>어린이집</t>
        </is>
      </c>
      <c r="C768" t="inlineStr">
        <is>
          <t>국공립</t>
        </is>
      </c>
      <c r="D768" t="inlineStr">
        <is>
          <t>사상구</t>
        </is>
      </c>
      <c r="E768" t="inlineStr">
        <is>
          <t>부산광역시 사상구 모라로192번길 20  -33 백양종합사회복지관 內 민들레어린이집</t>
        </is>
      </c>
      <c r="F768" t="inlineStr"/>
      <c r="G768" t="inlineStr">
        <is>
          <t>051-305-3223</t>
        </is>
      </c>
      <c r="H768" s="15" t="n">
        <v>83</v>
      </c>
      <c r="I768" s="15" t="n">
        <v>0</v>
      </c>
      <c r="J768" s="15" t="n">
        <v>0</v>
      </c>
      <c r="K768" s="15" t="n">
        <v>0</v>
      </c>
      <c r="L768" s="15" t="n">
        <v>0</v>
      </c>
      <c r="M768" s="15" t="n">
        <v>0</v>
      </c>
      <c r="N768" s="15" t="n">
        <v>0</v>
      </c>
      <c r="O768" s="15" t="n">
        <v>7</v>
      </c>
      <c r="P768" s="15" t="n">
        <v>6</v>
      </c>
      <c r="Q768" s="15" t="n">
        <v>0</v>
      </c>
      <c r="R768" s="15" t="n">
        <v>3</v>
      </c>
      <c r="S768" s="15" t="n">
        <v>8</v>
      </c>
      <c r="T768" s="14">
        <f>IF(COUNT(I768:S768)=0,"",SUM(I768:S768))</f>
        <v/>
      </c>
      <c r="U768" t="inlineStr"/>
    </row>
    <row r="769">
      <c r="A769" t="inlineStr">
        <is>
          <t>벧엘어린이집</t>
        </is>
      </c>
      <c r="B769" t="inlineStr">
        <is>
          <t>어린이집</t>
        </is>
      </c>
      <c r="C769" t="inlineStr">
        <is>
          <t>민간</t>
        </is>
      </c>
      <c r="D769" t="inlineStr">
        <is>
          <t>사상구</t>
        </is>
      </c>
      <c r="E769" t="inlineStr">
        <is>
          <t>부산광역시 사상구 백양대로902번길 42 (모라동)</t>
        </is>
      </c>
      <c r="F769" t="inlineStr"/>
      <c r="G769" t="inlineStr">
        <is>
          <t>051-327-7772</t>
        </is>
      </c>
      <c r="H769" s="15" t="n">
        <v>60</v>
      </c>
      <c r="I769" s="15" t="n">
        <v>6</v>
      </c>
      <c r="J769" s="15" t="n">
        <v>9</v>
      </c>
      <c r="K769" s="15" t="n">
        <v>14</v>
      </c>
      <c r="L769" s="15" t="n">
        <v>0</v>
      </c>
      <c r="M769" s="15" t="n">
        <v>0</v>
      </c>
      <c r="N769" s="15" t="n">
        <v>0</v>
      </c>
      <c r="O769" s="15" t="n">
        <v>5</v>
      </c>
      <c r="P769" s="15" t="n">
        <v>0</v>
      </c>
      <c r="Q769" s="15" t="n">
        <v>0</v>
      </c>
      <c r="R769" s="15" t="n">
        <v>0</v>
      </c>
      <c r="S769" s="15" t="n">
        <v>7</v>
      </c>
      <c r="T769" s="14">
        <f>IF(COUNT(I769:S769)=0,"",SUM(I769:S769))</f>
        <v/>
      </c>
      <c r="U769" t="inlineStr"/>
    </row>
    <row r="770">
      <c r="A770" t="inlineStr">
        <is>
          <t>별나라어린이집</t>
        </is>
      </c>
      <c r="B770" t="inlineStr">
        <is>
          <t>어린이집</t>
        </is>
      </c>
      <c r="C770" t="inlineStr">
        <is>
          <t>가정</t>
        </is>
      </c>
      <c r="D770" t="inlineStr">
        <is>
          <t>사상구</t>
        </is>
      </c>
      <c r="E770" t="inlineStr">
        <is>
          <t>부산광역시 사상구 백양대로 372-22 112동 102호(주례동, 반도보라매머드)</t>
        </is>
      </c>
      <c r="F770" t="inlineStr"/>
      <c r="G770" t="inlineStr">
        <is>
          <t>051-325-9816</t>
        </is>
      </c>
      <c r="H770" s="15" t="n">
        <v>20</v>
      </c>
      <c r="I770" s="15" t="n">
        <v>0</v>
      </c>
      <c r="J770" s="15" t="n">
        <v>5</v>
      </c>
      <c r="K770" s="15" t="n">
        <v>5</v>
      </c>
      <c r="L770" s="15" t="n">
        <v>0</v>
      </c>
      <c r="M770" s="15" t="n">
        <v>0</v>
      </c>
      <c r="N770" s="15" t="n">
        <v>0</v>
      </c>
      <c r="O770" s="15" t="n">
        <v>2</v>
      </c>
      <c r="P770" s="15" t="n">
        <v>0</v>
      </c>
      <c r="Q770" s="15" t="n">
        <v>0</v>
      </c>
      <c r="R770" s="15" t="n">
        <v>0</v>
      </c>
      <c r="S770" s="15" t="n">
        <v>5</v>
      </c>
      <c r="T770" s="14">
        <f>IF(COUNT(I770:S770)=0,"",SUM(I770:S770))</f>
        <v/>
      </c>
      <c r="U770" t="inlineStr"/>
    </row>
    <row r="771">
      <c r="A771" t="inlineStr">
        <is>
          <t>보듬이나눔이 감전엘에이치어린이집</t>
        </is>
      </c>
      <c r="B771" t="inlineStr">
        <is>
          <t>어린이집</t>
        </is>
      </c>
      <c r="C771" t="inlineStr">
        <is>
          <t>국공립</t>
        </is>
      </c>
      <c r="D771" t="inlineStr">
        <is>
          <t>사상구</t>
        </is>
      </c>
      <c r="E771" t="inlineStr">
        <is>
          <t>부산광역시 사상구 백양대로 539 주민복지관2층(감전동,감전엘에이치아파트)</t>
        </is>
      </c>
      <c r="F771" t="inlineStr"/>
      <c r="G771" t="inlineStr">
        <is>
          <t>051-325-9017</t>
        </is>
      </c>
      <c r="H771" s="15" t="n">
        <v>46</v>
      </c>
      <c r="I771" s="15" t="n">
        <v>6</v>
      </c>
      <c r="J771" s="15" t="n">
        <v>7</v>
      </c>
      <c r="K771" s="15" t="n">
        <v>7</v>
      </c>
      <c r="L771" s="15" t="n">
        <v>0</v>
      </c>
      <c r="M771" s="15" t="n">
        <v>0</v>
      </c>
      <c r="N771" s="15" t="n">
        <v>0</v>
      </c>
      <c r="O771" s="15" t="n">
        <v>0</v>
      </c>
      <c r="P771" s="15" t="n">
        <v>0</v>
      </c>
      <c r="Q771" s="15" t="n">
        <v>0</v>
      </c>
      <c r="R771" s="15" t="n">
        <v>0</v>
      </c>
      <c r="S771" s="15" t="n">
        <v>3</v>
      </c>
      <c r="T771" s="14">
        <f>IF(COUNT(I771:S771)=0,"",SUM(I771:S771))</f>
        <v/>
      </c>
      <c r="U771" t="inlineStr"/>
    </row>
    <row r="772">
      <c r="A772" t="inlineStr">
        <is>
          <t>부산광역시 한솔어린이집</t>
        </is>
      </c>
      <c r="B772" t="inlineStr">
        <is>
          <t>어린이집</t>
        </is>
      </c>
      <c r="C772" t="inlineStr">
        <is>
          <t>국공립</t>
        </is>
      </c>
      <c r="D772" t="inlineStr">
        <is>
          <t>사상구</t>
        </is>
      </c>
      <c r="E772" t="inlineStr">
        <is>
          <t>부산광역시 사상구 모덕로 82 부산광역시한솔어린이집 (덕포동)</t>
        </is>
      </c>
      <c r="F772" t="inlineStr"/>
      <c r="G772" t="inlineStr">
        <is>
          <t>051-305-9840</t>
        </is>
      </c>
      <c r="H772" s="15" t="n">
        <v>131</v>
      </c>
      <c r="I772" s="15" t="n">
        <v>8</v>
      </c>
      <c r="J772" s="15" t="n">
        <v>20</v>
      </c>
      <c r="K772" s="15" t="n">
        <v>20</v>
      </c>
      <c r="L772" s="15" t="n">
        <v>0</v>
      </c>
      <c r="M772" s="15" t="n">
        <v>0</v>
      </c>
      <c r="N772" s="15" t="n">
        <v>0</v>
      </c>
      <c r="O772" s="15" t="n">
        <v>0</v>
      </c>
      <c r="P772" s="15" t="n">
        <v>6</v>
      </c>
      <c r="Q772" s="15" t="n">
        <v>0</v>
      </c>
      <c r="R772" s="15" t="n">
        <v>0</v>
      </c>
      <c r="S772" s="15" t="n">
        <v>19</v>
      </c>
      <c r="T772" s="14">
        <f>IF(COUNT(I772:S772)=0,"",SUM(I772:S772))</f>
        <v/>
      </c>
      <c r="U772" t="inlineStr"/>
    </row>
    <row r="773">
      <c r="A773" t="inlineStr">
        <is>
          <t>사랑어린이집</t>
        </is>
      </c>
      <c r="B773" t="inlineStr">
        <is>
          <t>어린이집</t>
        </is>
      </c>
      <c r="C773" t="inlineStr">
        <is>
          <t>민간</t>
        </is>
      </c>
      <c r="D773" t="inlineStr">
        <is>
          <t>사상구</t>
        </is>
      </c>
      <c r="E773" t="inlineStr">
        <is>
          <t>부산광역시 사상구 사상로277번길 65 부산광역시 사상구 삼락동418-1</t>
        </is>
      </c>
      <c r="F773" t="inlineStr"/>
      <c r="G773" t="inlineStr">
        <is>
          <t>051-302-6267</t>
        </is>
      </c>
      <c r="H773" s="15" t="n">
        <v>80</v>
      </c>
      <c r="I773" s="15" t="n">
        <v>16</v>
      </c>
      <c r="J773" s="15" t="n">
        <v>15</v>
      </c>
      <c r="K773" s="15" t="n">
        <v>18</v>
      </c>
      <c r="L773" s="15" t="n">
        <v>0</v>
      </c>
      <c r="M773" s="15" t="n">
        <v>0</v>
      </c>
      <c r="N773" s="15" t="n">
        <v>0</v>
      </c>
      <c r="O773" s="15" t="n">
        <v>0</v>
      </c>
      <c r="P773" s="15" t="n">
        <v>0</v>
      </c>
      <c r="Q773" s="15" t="n">
        <v>0</v>
      </c>
      <c r="R773" s="15" t="n">
        <v>0</v>
      </c>
      <c r="S773" s="15" t="n">
        <v>20</v>
      </c>
      <c r="T773" s="14">
        <f>IF(COUNT(I773:S773)=0,"",SUM(I773:S773))</f>
        <v/>
      </c>
      <c r="U773" t="inlineStr"/>
    </row>
    <row r="774">
      <c r="A774" t="inlineStr">
        <is>
          <t>삼성어린이집</t>
        </is>
      </c>
      <c r="B774" t="inlineStr">
        <is>
          <t>어린이집</t>
        </is>
      </c>
      <c r="C774" t="inlineStr">
        <is>
          <t>민간</t>
        </is>
      </c>
      <c r="D774" t="inlineStr">
        <is>
          <t>사상구</t>
        </is>
      </c>
      <c r="E774" t="inlineStr">
        <is>
          <t>부산광역시 사상구 학감대로123번길 75 관리동(학장동, 학장삼성2차아파트)</t>
        </is>
      </c>
      <c r="F774" t="inlineStr"/>
      <c r="G774" t="inlineStr">
        <is>
          <t>051-316-0862</t>
        </is>
      </c>
      <c r="H774" s="15" t="n">
        <v>26</v>
      </c>
      <c r="I774" s="15" t="n">
        <v>3</v>
      </c>
      <c r="J774" s="15" t="n">
        <v>5</v>
      </c>
      <c r="K774" s="15" t="n">
        <v>8</v>
      </c>
      <c r="L774" s="15" t="n">
        <v>0</v>
      </c>
      <c r="M774" s="15" t="n">
        <v>0</v>
      </c>
      <c r="N774" s="15" t="n">
        <v>0</v>
      </c>
      <c r="O774" s="15" t="n">
        <v>0</v>
      </c>
      <c r="P774" s="15" t="n">
        <v>0</v>
      </c>
      <c r="Q774" s="15" t="n">
        <v>0</v>
      </c>
      <c r="R774" s="15" t="n">
        <v>0</v>
      </c>
      <c r="S774" s="15" t="n">
        <v>5</v>
      </c>
      <c r="T774" s="14">
        <f>IF(COUNT(I774:S774)=0,"",SUM(I774:S774))</f>
        <v/>
      </c>
      <c r="U774" t="inlineStr"/>
    </row>
    <row r="775">
      <c r="A775" t="inlineStr">
        <is>
          <t>새누리어린이집</t>
        </is>
      </c>
      <c r="B775" t="inlineStr">
        <is>
          <t>어린이집</t>
        </is>
      </c>
      <c r="C775" t="inlineStr">
        <is>
          <t>가정</t>
        </is>
      </c>
      <c r="D775" t="inlineStr">
        <is>
          <t>사상구</t>
        </is>
      </c>
      <c r="E775" t="inlineStr">
        <is>
          <t>부산광역시 사상구 엄궁로 100 106동 102호(엄궁동, 쌍용스윗닷홈아파트)</t>
        </is>
      </c>
      <c r="F775" t="inlineStr"/>
      <c r="G775" t="inlineStr">
        <is>
          <t>051-326-2279</t>
        </is>
      </c>
      <c r="H775" s="15" t="n">
        <v>19</v>
      </c>
      <c r="I775" s="15" t="n">
        <v>1</v>
      </c>
      <c r="J775" s="15" t="n">
        <v>3</v>
      </c>
      <c r="K775" s="15" t="n">
        <v>0</v>
      </c>
      <c r="L775" s="15" t="n">
        <v>0</v>
      </c>
      <c r="M775" s="15" t="n">
        <v>0</v>
      </c>
      <c r="N775" s="15" t="n">
        <v>0</v>
      </c>
      <c r="O775" s="15" t="n">
        <v>0</v>
      </c>
      <c r="P775" s="15" t="n">
        <v>0</v>
      </c>
      <c r="Q775" s="15" t="n">
        <v>0</v>
      </c>
      <c r="R775" s="15" t="n">
        <v>0</v>
      </c>
      <c r="S775" s="15" t="n">
        <v>3</v>
      </c>
      <c r="T775" s="14">
        <f>IF(COUNT(I775:S775)=0,"",SUM(I775:S775))</f>
        <v/>
      </c>
      <c r="U775" t="inlineStr"/>
    </row>
    <row r="776">
      <c r="A776" t="inlineStr">
        <is>
          <t>센트럴스타힐스어린이집</t>
        </is>
      </c>
      <c r="B776" t="inlineStr">
        <is>
          <t>어린이집</t>
        </is>
      </c>
      <c r="C776" t="inlineStr">
        <is>
          <t>국공립</t>
        </is>
      </c>
      <c r="D776" t="inlineStr">
        <is>
          <t>사상구</t>
        </is>
      </c>
      <c r="E776" t="inlineStr">
        <is>
          <t>부산광역시 사상구 사상로223번길 23 (괘법동, 센트럴스타힐스)</t>
        </is>
      </c>
      <c r="F776" t="inlineStr"/>
      <c r="G776" t="inlineStr">
        <is>
          <t>051-327-2311</t>
        </is>
      </c>
      <c r="H776" s="15" t="n">
        <v>42</v>
      </c>
      <c r="I776" s="15" t="n">
        <v>6</v>
      </c>
      <c r="J776" s="15" t="n">
        <v>15</v>
      </c>
      <c r="K776" s="15" t="n">
        <v>20</v>
      </c>
      <c r="L776" s="15" t="n">
        <v>0</v>
      </c>
      <c r="M776" s="15" t="n">
        <v>0</v>
      </c>
      <c r="N776" s="15" t="n">
        <v>0</v>
      </c>
      <c r="O776" s="15" t="n">
        <v>0</v>
      </c>
      <c r="P776" s="15" t="n">
        <v>0</v>
      </c>
      <c r="Q776" s="15" t="n">
        <v>0</v>
      </c>
      <c r="R776" s="15" t="n">
        <v>0</v>
      </c>
      <c r="S776" s="15" t="n">
        <v>8</v>
      </c>
      <c r="T776" s="14">
        <f>IF(COUNT(I776:S776)=0,"",SUM(I776:S776))</f>
        <v/>
      </c>
      <c r="U776" t="inlineStr"/>
    </row>
    <row r="777">
      <c r="A777" t="inlineStr">
        <is>
          <t>아이숲어린이집</t>
        </is>
      </c>
      <c r="B777" t="inlineStr">
        <is>
          <t>어린이집</t>
        </is>
      </c>
      <c r="C777" t="inlineStr">
        <is>
          <t>국공립</t>
        </is>
      </c>
      <c r="D777" t="inlineStr">
        <is>
          <t>사상구</t>
        </is>
      </c>
      <c r="E777" t="inlineStr">
        <is>
          <t>부산광역시 사상구 덕상로 27 (덕포2동)</t>
        </is>
      </c>
      <c r="F777" t="inlineStr"/>
      <c r="G777" t="inlineStr">
        <is>
          <t>051-305-1239</t>
        </is>
      </c>
      <c r="H777" s="15" t="n">
        <v>46</v>
      </c>
      <c r="I777" s="15" t="n">
        <v>0</v>
      </c>
      <c r="J777" s="15" t="n">
        <v>9</v>
      </c>
      <c r="K777" s="15" t="n">
        <v>7</v>
      </c>
      <c r="L777" s="15" t="n">
        <v>0</v>
      </c>
      <c r="M777" s="15" t="n">
        <v>0</v>
      </c>
      <c r="N777" s="15" t="n">
        <v>0</v>
      </c>
      <c r="O777" s="15" t="n">
        <v>18</v>
      </c>
      <c r="P777" s="15" t="n">
        <v>9</v>
      </c>
      <c r="Q777" s="15" t="n">
        <v>0</v>
      </c>
      <c r="R777" s="15" t="n">
        <v>0</v>
      </c>
      <c r="S777" s="15" t="n">
        <v>8</v>
      </c>
      <c r="T777" s="14">
        <f>IF(COUNT(I777:S777)=0,"",SUM(I777:S777))</f>
        <v/>
      </c>
      <c r="U777" t="inlineStr"/>
    </row>
    <row r="778">
      <c r="A778" t="inlineStr">
        <is>
          <t>양지어린이집</t>
        </is>
      </c>
      <c r="B778" t="inlineStr">
        <is>
          <t>어린이집</t>
        </is>
      </c>
      <c r="C778" t="inlineStr">
        <is>
          <t>사회복지법인</t>
        </is>
      </c>
      <c r="D778" t="inlineStr">
        <is>
          <t>사상구</t>
        </is>
      </c>
      <c r="E778" t="inlineStr">
        <is>
          <t>부산광역시 사상구 양지로30번길 88-1</t>
        </is>
      </c>
      <c r="F778" t="inlineStr"/>
      <c r="G778" t="inlineStr">
        <is>
          <t>051-325-0674</t>
        </is>
      </c>
      <c r="H778" s="15" t="n">
        <v>91</v>
      </c>
      <c r="I778" s="15" t="n">
        <v>3</v>
      </c>
      <c r="J778" s="15" t="n">
        <v>14</v>
      </c>
      <c r="K778" s="15" t="n">
        <v>11</v>
      </c>
      <c r="L778" s="15" t="n">
        <v>0</v>
      </c>
      <c r="M778" s="15" t="n">
        <v>0</v>
      </c>
      <c r="N778" s="15" t="n">
        <v>0</v>
      </c>
      <c r="O778" s="15" t="n">
        <v>0</v>
      </c>
      <c r="P778" s="15" t="n">
        <v>9</v>
      </c>
      <c r="Q778" s="15" t="n">
        <v>0</v>
      </c>
      <c r="R778" s="15" t="n">
        <v>0</v>
      </c>
      <c r="S778" s="15" t="n">
        <v>10</v>
      </c>
      <c r="T778" s="14">
        <f>IF(COUNT(I778:S778)=0,"",SUM(I778:S778))</f>
        <v/>
      </c>
      <c r="U778" t="inlineStr"/>
    </row>
    <row r="779">
      <c r="A779" t="inlineStr">
        <is>
          <t>엄궁가람어린이집</t>
        </is>
      </c>
      <c r="B779" t="inlineStr">
        <is>
          <t>어린이집</t>
        </is>
      </c>
      <c r="C779" t="inlineStr">
        <is>
          <t>민간</t>
        </is>
      </c>
      <c r="D779" t="inlineStr">
        <is>
          <t>사상구</t>
        </is>
      </c>
      <c r="E779" t="inlineStr">
        <is>
          <t>부산광역시 사상구 엄궁로191번길 20 (엄궁동)</t>
        </is>
      </c>
      <c r="F779" t="inlineStr"/>
      <c r="G779" t="inlineStr">
        <is>
          <t>051-326-5883</t>
        </is>
      </c>
      <c r="H779" s="15" t="n">
        <v>37</v>
      </c>
      <c r="I779" s="15" t="n">
        <v>3</v>
      </c>
      <c r="J779" s="15" t="n">
        <v>0</v>
      </c>
      <c r="K779" s="15" t="n">
        <v>0</v>
      </c>
      <c r="L779" s="15" t="n">
        <v>0</v>
      </c>
      <c r="M779" s="15" t="n">
        <v>0</v>
      </c>
      <c r="N779" s="15" t="n">
        <v>0</v>
      </c>
      <c r="O779" s="15" t="n">
        <v>3</v>
      </c>
      <c r="P779" s="15" t="n">
        <v>0</v>
      </c>
      <c r="Q779" s="15" t="n">
        <v>0</v>
      </c>
      <c r="R779" s="15" t="n">
        <v>0</v>
      </c>
      <c r="S779" s="15" t="n">
        <v>0</v>
      </c>
      <c r="T779" s="14">
        <f>IF(COUNT(I779:S779)=0,"",SUM(I779:S779))</f>
        <v/>
      </c>
      <c r="U779" t="inlineStr"/>
    </row>
    <row r="780">
      <c r="A780" t="inlineStr">
        <is>
          <t>엄마사랑어린이집</t>
        </is>
      </c>
      <c r="B780" t="inlineStr">
        <is>
          <t>어린이집</t>
        </is>
      </c>
      <c r="C780" t="inlineStr">
        <is>
          <t>가정</t>
        </is>
      </c>
      <c r="D780" t="inlineStr">
        <is>
          <t>사상구</t>
        </is>
      </c>
      <c r="E780" t="inlineStr">
        <is>
          <t>부산광역시 사상구 학감대로49번길 56 105동 102호(학장동, 학장대림아파트)</t>
        </is>
      </c>
      <c r="F780" s="11" t="inlineStr">
        <is>
          <t>http://cafe.daum.net/imomslove</t>
        </is>
      </c>
      <c r="G780" t="inlineStr">
        <is>
          <t>051-327-0579</t>
        </is>
      </c>
      <c r="H780" s="15" t="n">
        <v>19</v>
      </c>
      <c r="I780" s="15" t="n">
        <v>3</v>
      </c>
      <c r="J780" s="15" t="n">
        <v>6</v>
      </c>
      <c r="K780" s="15" t="n">
        <v>7</v>
      </c>
      <c r="L780" s="15" t="n">
        <v>0</v>
      </c>
      <c r="M780" s="15" t="n">
        <v>0</v>
      </c>
      <c r="N780" s="15" t="n">
        <v>0</v>
      </c>
      <c r="O780" s="15" t="n">
        <v>0</v>
      </c>
      <c r="P780" s="15" t="n">
        <v>0</v>
      </c>
      <c r="Q780" s="15" t="n">
        <v>0</v>
      </c>
      <c r="R780" s="15" t="n">
        <v>0</v>
      </c>
      <c r="S780" s="15" t="n">
        <v>17</v>
      </c>
      <c r="T780" s="14">
        <f>IF(COUNT(I780:S780)=0,"",SUM(I780:S780))</f>
        <v/>
      </c>
      <c r="U780" t="inlineStr"/>
    </row>
    <row r="781">
      <c r="A781" t="inlineStr">
        <is>
          <t>엄마손어린이집</t>
        </is>
      </c>
      <c r="B781" t="inlineStr">
        <is>
          <t>어린이집</t>
        </is>
      </c>
      <c r="C781" t="inlineStr">
        <is>
          <t>가정</t>
        </is>
      </c>
      <c r="D781" t="inlineStr">
        <is>
          <t>사상구</t>
        </is>
      </c>
      <c r="E781" t="inlineStr">
        <is>
          <t>부산광역시 사상구 백양대로494번길 38 109동 104호(주례동, 주례청구)</t>
        </is>
      </c>
      <c r="F781" s="11" t="inlineStr">
        <is>
          <t>http://www.cyworld.com/cjdrndjaakths</t>
        </is>
      </c>
      <c r="G781" t="inlineStr">
        <is>
          <t>051-325-1673</t>
        </is>
      </c>
      <c r="H781" s="15" t="n">
        <v>19</v>
      </c>
      <c r="I781" s="15" t="n">
        <v>0</v>
      </c>
      <c r="J781" s="15" t="n">
        <v>5</v>
      </c>
      <c r="K781" s="15" t="n">
        <v>7</v>
      </c>
      <c r="L781" s="15" t="n">
        <v>0</v>
      </c>
      <c r="M781" s="15" t="n">
        <v>0</v>
      </c>
      <c r="N781" s="15" t="n">
        <v>0</v>
      </c>
      <c r="O781" s="15" t="n">
        <v>3</v>
      </c>
      <c r="P781" s="15" t="n">
        <v>0</v>
      </c>
      <c r="Q781" s="15" t="n">
        <v>0</v>
      </c>
      <c r="R781" s="15" t="n">
        <v>0</v>
      </c>
      <c r="S781" s="15" t="n">
        <v>12</v>
      </c>
      <c r="T781" s="14">
        <f>IF(COUNT(I781:S781)=0,"",SUM(I781:S781))</f>
        <v/>
      </c>
      <c r="U781" t="inlineStr"/>
    </row>
    <row r="782">
      <c r="A782" t="inlineStr">
        <is>
          <t>예담어린이집</t>
        </is>
      </c>
      <c r="B782" t="inlineStr">
        <is>
          <t>어린이집</t>
        </is>
      </c>
      <c r="C782" t="inlineStr">
        <is>
          <t>민간</t>
        </is>
      </c>
      <c r="D782" t="inlineStr">
        <is>
          <t>사상구</t>
        </is>
      </c>
      <c r="E782" t="inlineStr">
        <is>
          <t>부산광역시 사상구 사상로277번길 25 예담어린이집</t>
        </is>
      </c>
      <c r="F782" t="inlineStr"/>
      <c r="G782" t="inlineStr">
        <is>
          <t>051-302-6763</t>
        </is>
      </c>
      <c r="H782" s="15" t="n">
        <v>69</v>
      </c>
      <c r="I782" s="15" t="n">
        <v>9</v>
      </c>
      <c r="J782" s="15" t="n">
        <v>10</v>
      </c>
      <c r="K782" s="15" t="n">
        <v>8</v>
      </c>
      <c r="L782" s="15" t="n">
        <v>0</v>
      </c>
      <c r="M782" s="15" t="n">
        <v>0</v>
      </c>
      <c r="N782" s="15" t="n">
        <v>0</v>
      </c>
      <c r="O782" s="15" t="n">
        <v>5</v>
      </c>
      <c r="P782" s="15" t="n">
        <v>34</v>
      </c>
      <c r="Q782" s="15" t="n">
        <v>0</v>
      </c>
      <c r="R782" s="15" t="n">
        <v>0</v>
      </c>
      <c r="S782" s="15" t="n">
        <v>14</v>
      </c>
      <c r="T782" s="14">
        <f>IF(COUNT(I782:S782)=0,"",SUM(I782:S782))</f>
        <v/>
      </c>
      <c r="U782" t="inlineStr"/>
    </row>
    <row r="783">
      <c r="A783" t="inlineStr">
        <is>
          <t>예송어린이집</t>
        </is>
      </c>
      <c r="B783" t="inlineStr">
        <is>
          <t>어린이집</t>
        </is>
      </c>
      <c r="C783" t="inlineStr">
        <is>
          <t>사회복지법인</t>
        </is>
      </c>
      <c r="D783" t="inlineStr">
        <is>
          <t>사상구</t>
        </is>
      </c>
      <c r="E783" t="inlineStr">
        <is>
          <t>부산광역시 사상구 엄궁남로 48 예송어린이집 (엄궁동)</t>
        </is>
      </c>
      <c r="F783" t="inlineStr"/>
      <c r="G783" t="inlineStr">
        <is>
          <t>051-312-0678</t>
        </is>
      </c>
      <c r="H783" s="15" t="n">
        <v>48</v>
      </c>
      <c r="I783" s="15" t="n">
        <v>0</v>
      </c>
      <c r="J783" s="15" t="n">
        <v>0</v>
      </c>
      <c r="K783" s="15" t="n">
        <v>0</v>
      </c>
      <c r="L783" s="15" t="n">
        <v>0</v>
      </c>
      <c r="M783" s="15" t="n">
        <v>0</v>
      </c>
      <c r="N783" s="15" t="n">
        <v>0</v>
      </c>
      <c r="O783" s="15" t="n">
        <v>11</v>
      </c>
      <c r="P783" s="15" t="n">
        <v>0</v>
      </c>
      <c r="Q783" s="15" t="n">
        <v>0</v>
      </c>
      <c r="R783" s="15" t="n">
        <v>0</v>
      </c>
      <c r="S783" s="15" t="n">
        <v>4</v>
      </c>
      <c r="T783" s="14">
        <f>IF(COUNT(I783:S783)=0,"",SUM(I783:S783))</f>
        <v/>
      </c>
      <c r="U783" t="inlineStr"/>
    </row>
    <row r="784">
      <c r="A784" t="inlineStr">
        <is>
          <t>으뜸어린이집</t>
        </is>
      </c>
      <c r="B784" t="inlineStr">
        <is>
          <t>어린이집</t>
        </is>
      </c>
      <c r="C784" t="inlineStr">
        <is>
          <t>국공립</t>
        </is>
      </c>
      <c r="D784" t="inlineStr">
        <is>
          <t>사상구</t>
        </is>
      </c>
      <c r="E784" t="inlineStr">
        <is>
          <t>부산광역시 사상구 백양대로 527 (주례동)</t>
        </is>
      </c>
      <c r="F784" t="inlineStr"/>
      <c r="G784" t="inlineStr">
        <is>
          <t>051-328-2482</t>
        </is>
      </c>
      <c r="H784" s="15" t="n">
        <v>73</v>
      </c>
      <c r="I784" s="15" t="n">
        <v>0</v>
      </c>
      <c r="J784" s="15" t="n">
        <v>17</v>
      </c>
      <c r="K784" s="15" t="n">
        <v>16</v>
      </c>
      <c r="L784" s="15" t="n">
        <v>0</v>
      </c>
      <c r="M784" s="15" t="n">
        <v>0</v>
      </c>
      <c r="N784" s="15" t="n">
        <v>0</v>
      </c>
      <c r="O784" s="15" t="n">
        <v>4</v>
      </c>
      <c r="P784" s="15" t="n">
        <v>0</v>
      </c>
      <c r="Q784" s="15" t="n">
        <v>0</v>
      </c>
      <c r="R784" s="15" t="n">
        <v>0</v>
      </c>
      <c r="S784" s="15" t="n">
        <v>10</v>
      </c>
      <c r="T784" s="14">
        <f>IF(COUNT(I784:S784)=0,"",SUM(I784:S784))</f>
        <v/>
      </c>
      <c r="U784" t="inlineStr"/>
    </row>
    <row r="785">
      <c r="A785" t="inlineStr">
        <is>
          <t>조은성심어린이집</t>
        </is>
      </c>
      <c r="B785" t="inlineStr">
        <is>
          <t>어린이집</t>
        </is>
      </c>
      <c r="C785" t="inlineStr">
        <is>
          <t>민간</t>
        </is>
      </c>
      <c r="D785" t="inlineStr">
        <is>
          <t>사상구</t>
        </is>
      </c>
      <c r="E785" t="inlineStr">
        <is>
          <t>부산광역시 사상구 새벽시장로46번길 20 (감전동)</t>
        </is>
      </c>
      <c r="F785" t="inlineStr"/>
      <c r="G785" t="inlineStr">
        <is>
          <t>051-316-2771</t>
        </is>
      </c>
      <c r="H785" s="15" t="n">
        <v>77</v>
      </c>
      <c r="I785" s="15" t="n">
        <v>0</v>
      </c>
      <c r="J785" s="15" t="n">
        <v>0</v>
      </c>
      <c r="K785" s="15" t="n">
        <v>10</v>
      </c>
      <c r="L785" s="15" t="n">
        <v>0</v>
      </c>
      <c r="M785" s="15" t="n">
        <v>0</v>
      </c>
      <c r="N785" s="15" t="n">
        <v>0</v>
      </c>
      <c r="O785" s="15" t="n">
        <v>8</v>
      </c>
      <c r="P785" s="15" t="n">
        <v>25</v>
      </c>
      <c r="Q785" s="15" t="n">
        <v>0</v>
      </c>
      <c r="R785" s="15" t="n">
        <v>0</v>
      </c>
      <c r="S785" s="15" t="n">
        <v>21</v>
      </c>
      <c r="T785" s="14">
        <f>IF(COUNT(I785:S785)=0,"",SUM(I785:S785))</f>
        <v/>
      </c>
      <c r="U785" t="inlineStr"/>
    </row>
    <row r="786">
      <c r="A786" t="inlineStr">
        <is>
          <t>주례경동리인어린이집</t>
        </is>
      </c>
      <c r="B786" t="inlineStr">
        <is>
          <t>어린이집</t>
        </is>
      </c>
      <c r="C786" t="inlineStr">
        <is>
          <t>국공립</t>
        </is>
      </c>
      <c r="D786" t="inlineStr">
        <is>
          <t>사상구</t>
        </is>
      </c>
      <c r="E786" t="inlineStr">
        <is>
          <t>부산광역시 사상구 백양대로 526 (주례1동, 주례경동리인아파트)</t>
        </is>
      </c>
      <c r="F786" t="inlineStr"/>
      <c r="G786" t="inlineStr">
        <is>
          <t>051-325-8798</t>
        </is>
      </c>
      <c r="H786" s="15" t="n">
        <v>40</v>
      </c>
      <c r="I786" s="15" t="n">
        <v>5</v>
      </c>
      <c r="J786" s="15" t="n">
        <v>15</v>
      </c>
      <c r="K786" s="15" t="n">
        <v>20</v>
      </c>
      <c r="L786" s="15" t="n">
        <v>0</v>
      </c>
      <c r="M786" s="15" t="n">
        <v>0</v>
      </c>
      <c r="N786" s="15" t="n">
        <v>0</v>
      </c>
      <c r="O786" s="15" t="n">
        <v>0</v>
      </c>
      <c r="P786" s="15" t="n">
        <v>0</v>
      </c>
      <c r="Q786" s="15" t="n">
        <v>0</v>
      </c>
      <c r="R786" s="15" t="n">
        <v>0</v>
      </c>
      <c r="S786" s="15" t="n">
        <v>9</v>
      </c>
      <c r="T786" s="14">
        <f>IF(COUNT(I786:S786)=0,"",SUM(I786:S786))</f>
        <v/>
      </c>
      <c r="U786" t="inlineStr"/>
    </row>
    <row r="787">
      <c r="A787" t="inlineStr">
        <is>
          <t>주례고운어린이집</t>
        </is>
      </c>
      <c r="B787" t="inlineStr">
        <is>
          <t>어린이집</t>
        </is>
      </c>
      <c r="C787" t="inlineStr">
        <is>
          <t>국공립</t>
        </is>
      </c>
      <c r="D787" t="inlineStr">
        <is>
          <t>사상구</t>
        </is>
      </c>
      <c r="E787" t="inlineStr">
        <is>
          <t>부산광역시 사상구 동주로 2  -11</t>
        </is>
      </c>
      <c r="F787" s="11" t="inlineStr">
        <is>
          <t>http://42878@hanmail.net</t>
        </is>
      </c>
      <c r="G787" t="inlineStr">
        <is>
          <t>051-316-2178</t>
        </is>
      </c>
      <c r="H787" s="15" t="n">
        <v>129</v>
      </c>
      <c r="I787" s="15" t="n">
        <v>15</v>
      </c>
      <c r="J787" s="15" t="n">
        <v>21</v>
      </c>
      <c r="K787" s="15" t="n">
        <v>20</v>
      </c>
      <c r="L787" s="15" t="n">
        <v>8</v>
      </c>
      <c r="M787" s="15" t="n">
        <v>9</v>
      </c>
      <c r="N787" s="15" t="n">
        <v>8</v>
      </c>
      <c r="O787" s="15" t="n">
        <v>0</v>
      </c>
      <c r="P787" s="15" t="n">
        <v>0</v>
      </c>
      <c r="Q787" s="15" t="n">
        <v>0</v>
      </c>
      <c r="R787" s="15" t="n">
        <v>0</v>
      </c>
      <c r="S787" s="15" t="n">
        <v>16</v>
      </c>
      <c r="T787" s="14">
        <f>IF(COUNT(I787:S787)=0,"",SUM(I787:S787))</f>
        <v/>
      </c>
      <c r="U787" t="inlineStr"/>
    </row>
    <row r="788">
      <c r="A788" t="inlineStr">
        <is>
          <t>주례롯데캐슬골드스마트어린이집</t>
        </is>
      </c>
      <c r="B788" t="inlineStr">
        <is>
          <t>어린이집</t>
        </is>
      </c>
      <c r="C788" t="inlineStr">
        <is>
          <t>국공립</t>
        </is>
      </c>
      <c r="D788" t="inlineStr">
        <is>
          <t>사상구</t>
        </is>
      </c>
      <c r="E788" t="inlineStr">
        <is>
          <t>부산광역시 사상구 가야대로255번길 5 (주례동, 롯데캐슬골드스마트아파트)</t>
        </is>
      </c>
      <c r="F788" t="inlineStr"/>
      <c r="G788" t="inlineStr">
        <is>
          <t>051-311-2023</t>
        </is>
      </c>
      <c r="H788" s="15" t="n">
        <v>40</v>
      </c>
      <c r="I788" s="15" t="n">
        <v>6</v>
      </c>
      <c r="J788" s="15" t="n">
        <v>10</v>
      </c>
      <c r="K788" s="15" t="n">
        <v>13</v>
      </c>
      <c r="L788" s="15" t="n">
        <v>0</v>
      </c>
      <c r="M788" s="15" t="n">
        <v>0</v>
      </c>
      <c r="N788" s="15" t="n">
        <v>0</v>
      </c>
      <c r="O788" s="15" t="n">
        <v>8</v>
      </c>
      <c r="P788" s="15" t="n">
        <v>0</v>
      </c>
      <c r="Q788" s="15" t="n">
        <v>0</v>
      </c>
      <c r="R788" s="15" t="n">
        <v>0</v>
      </c>
      <c r="S788" s="15" t="n">
        <v>14</v>
      </c>
      <c r="T788" s="14">
        <f>IF(COUNT(I788:S788)=0,"",SUM(I788:S788))</f>
        <v/>
      </c>
      <c r="U788" t="inlineStr"/>
    </row>
    <row r="789">
      <c r="A789" t="inlineStr">
        <is>
          <t>참한어린이집</t>
        </is>
      </c>
      <c r="B789" t="inlineStr">
        <is>
          <t>어린이집</t>
        </is>
      </c>
      <c r="C789" t="inlineStr">
        <is>
          <t>가정</t>
        </is>
      </c>
      <c r="D789" t="inlineStr">
        <is>
          <t>사상구</t>
        </is>
      </c>
      <c r="E789" t="inlineStr">
        <is>
          <t>부산광역시 사상구 낙동대로1210번길 33 209동 103호(괘법동, 괘법한신2차아파트)</t>
        </is>
      </c>
      <c r="F789" t="inlineStr"/>
      <c r="G789" t="inlineStr">
        <is>
          <t>051-328-8616</t>
        </is>
      </c>
      <c r="H789" s="15" t="n">
        <v>20</v>
      </c>
      <c r="I789" s="15" t="n">
        <v>5</v>
      </c>
      <c r="J789" s="15" t="n">
        <v>3</v>
      </c>
      <c r="K789" s="15" t="n">
        <v>7</v>
      </c>
      <c r="L789" s="15" t="n">
        <v>0</v>
      </c>
      <c r="M789" s="15" t="n">
        <v>0</v>
      </c>
      <c r="N789" s="15" t="n">
        <v>0</v>
      </c>
      <c r="O789" s="15" t="n">
        <v>0</v>
      </c>
      <c r="P789" s="15" t="n">
        <v>0</v>
      </c>
      <c r="Q789" s="15" t="n">
        <v>0</v>
      </c>
      <c r="R789" s="15" t="n">
        <v>0</v>
      </c>
      <c r="S789" s="15" t="n">
        <v>8</v>
      </c>
      <c r="T789" s="14">
        <f>IF(COUNT(I789:S789)=0,"",SUM(I789:S789))</f>
        <v/>
      </c>
      <c r="U789" t="inlineStr"/>
    </row>
    <row r="790">
      <c r="A790" t="inlineStr">
        <is>
          <t>초롱어린이집</t>
        </is>
      </c>
      <c r="B790" t="inlineStr">
        <is>
          <t>어린이집</t>
        </is>
      </c>
      <c r="C790" t="inlineStr">
        <is>
          <t>가정</t>
        </is>
      </c>
      <c r="D790" t="inlineStr">
        <is>
          <t>사상구</t>
        </is>
      </c>
      <c r="E790" t="inlineStr">
        <is>
          <t>부산광역시 사상구 가야대로284번길 12 7동 107호(주례동, 럭키주례)</t>
        </is>
      </c>
      <c r="F790" s="11" t="inlineStr">
        <is>
          <t>https://cafe.daum.net/jrchorong</t>
        </is>
      </c>
      <c r="G790" t="inlineStr">
        <is>
          <t>051-315-2323</t>
        </is>
      </c>
      <c r="H790" s="15" t="n">
        <v>18</v>
      </c>
      <c r="I790" s="15" t="n">
        <v>2</v>
      </c>
      <c r="J790" s="15" t="n">
        <v>8</v>
      </c>
      <c r="K790" s="15" t="n">
        <v>7</v>
      </c>
      <c r="L790" s="15" t="n">
        <v>0</v>
      </c>
      <c r="M790" s="15" t="n">
        <v>0</v>
      </c>
      <c r="N790" s="15" t="n">
        <v>0</v>
      </c>
      <c r="O790" s="15" t="n">
        <v>0</v>
      </c>
      <c r="P790" s="15" t="n">
        <v>0</v>
      </c>
      <c r="Q790" s="15" t="n">
        <v>0</v>
      </c>
      <c r="R790" s="15" t="n">
        <v>0</v>
      </c>
      <c r="S790" s="15" t="n">
        <v>8</v>
      </c>
      <c r="T790" s="14">
        <f>IF(COUNT(I790:S790)=0,"",SUM(I790:S790))</f>
        <v/>
      </c>
      <c r="U790" t="inlineStr"/>
    </row>
    <row r="791">
      <c r="A791" t="inlineStr">
        <is>
          <t>코오롱하늘채어린이집</t>
        </is>
      </c>
      <c r="B791" t="inlineStr">
        <is>
          <t>어린이집</t>
        </is>
      </c>
      <c r="C791" t="inlineStr">
        <is>
          <t>국공립</t>
        </is>
      </c>
      <c r="D791" t="inlineStr">
        <is>
          <t>사상구</t>
        </is>
      </c>
      <c r="E791" t="inlineStr">
        <is>
          <t>부산광역시 사상구 엄궁로 142 엄궁동, 코오롱아파트 관리동</t>
        </is>
      </c>
      <c r="F791" t="inlineStr"/>
      <c r="G791" t="inlineStr">
        <is>
          <t>051-316-0555</t>
        </is>
      </c>
      <c r="H791" s="15" t="n">
        <v>27</v>
      </c>
      <c r="I791" s="15" t="n">
        <v>4</v>
      </c>
      <c r="J791" s="15" t="n">
        <v>8</v>
      </c>
      <c r="K791" s="15" t="n">
        <v>8</v>
      </c>
      <c r="L791" s="15" t="n">
        <v>0</v>
      </c>
      <c r="M791" s="15" t="n">
        <v>0</v>
      </c>
      <c r="N791" s="15" t="n">
        <v>0</v>
      </c>
      <c r="O791" s="15" t="n">
        <v>2</v>
      </c>
      <c r="P791" s="15" t="n">
        <v>0</v>
      </c>
      <c r="Q791" s="15" t="n">
        <v>0</v>
      </c>
      <c r="R791" s="15" t="n">
        <v>0</v>
      </c>
      <c r="S791" s="15" t="n">
        <v>5</v>
      </c>
      <c r="T791" s="14">
        <f>IF(COUNT(I791:S791)=0,"",SUM(I791:S791))</f>
        <v/>
      </c>
      <c r="U791" t="inlineStr"/>
    </row>
    <row r="792">
      <c r="A792" t="inlineStr">
        <is>
          <t>큰꿈어린이집</t>
        </is>
      </c>
      <c r="B792" t="inlineStr">
        <is>
          <t>어린이집</t>
        </is>
      </c>
      <c r="C792" t="inlineStr">
        <is>
          <t>가정</t>
        </is>
      </c>
      <c r="D792" t="inlineStr">
        <is>
          <t>사상구</t>
        </is>
      </c>
      <c r="E792" t="inlineStr">
        <is>
          <t>부산광역시 사상구 사상로525번길 8 (모라동)</t>
        </is>
      </c>
      <c r="F792" t="inlineStr"/>
      <c r="G792" t="inlineStr">
        <is>
          <t>051-302-0016</t>
        </is>
      </c>
      <c r="H792" s="15" t="n">
        <v>18</v>
      </c>
      <c r="I792" s="15" t="n">
        <v>0</v>
      </c>
      <c r="J792" s="15" t="n">
        <v>0</v>
      </c>
      <c r="K792" s="15" t="n">
        <v>0</v>
      </c>
      <c r="L792" s="15" t="n">
        <v>0</v>
      </c>
      <c r="M792" s="15" t="n">
        <v>0</v>
      </c>
      <c r="N792" s="15" t="n">
        <v>0</v>
      </c>
      <c r="O792" s="15" t="n">
        <v>3</v>
      </c>
      <c r="P792" s="15" t="n">
        <v>0</v>
      </c>
      <c r="Q792" s="15" t="n">
        <v>0</v>
      </c>
      <c r="R792" s="15" t="n">
        <v>0</v>
      </c>
      <c r="S792" s="15" t="n">
        <v>5</v>
      </c>
      <c r="T792" s="14">
        <f>IF(COUNT(I792:S792)=0,"",SUM(I792:S792))</f>
        <v/>
      </c>
      <c r="U792" t="inlineStr"/>
    </row>
    <row r="793">
      <c r="A793" t="inlineStr">
        <is>
          <t>하늘나리어린이집</t>
        </is>
      </c>
      <c r="B793" t="inlineStr">
        <is>
          <t>어린이집</t>
        </is>
      </c>
      <c r="C793" t="inlineStr">
        <is>
          <t>국공립</t>
        </is>
      </c>
      <c r="D793" t="inlineStr">
        <is>
          <t>사상구</t>
        </is>
      </c>
      <c r="E793" t="inlineStr">
        <is>
          <t>부산광역시 사상구 백양대로934번길 52-29 (모라동)</t>
        </is>
      </c>
      <c r="F793" t="inlineStr"/>
      <c r="G793" t="inlineStr">
        <is>
          <t>051-328-9922</t>
        </is>
      </c>
      <c r="H793" s="15" t="n">
        <v>92</v>
      </c>
      <c r="I793" s="15" t="n">
        <v>14</v>
      </c>
      <c r="J793" s="15" t="n">
        <v>15</v>
      </c>
      <c r="K793" s="15" t="n">
        <v>20</v>
      </c>
      <c r="L793" s="15" t="n">
        <v>0</v>
      </c>
      <c r="M793" s="15" t="n">
        <v>0</v>
      </c>
      <c r="N793" s="15" t="n">
        <v>10</v>
      </c>
      <c r="O793" s="15" t="n">
        <v>0</v>
      </c>
      <c r="P793" s="15" t="n">
        <v>14</v>
      </c>
      <c r="Q793" s="15" t="n">
        <v>0</v>
      </c>
      <c r="R793" s="15" t="n">
        <v>0</v>
      </c>
      <c r="S793" s="15" t="n">
        <v>18</v>
      </c>
      <c r="T793" s="14">
        <f>IF(COUNT(I793:S793)=0,"",SUM(I793:S793))</f>
        <v/>
      </c>
      <c r="U793" t="inlineStr"/>
    </row>
    <row r="794">
      <c r="A794" t="inlineStr">
        <is>
          <t>학장삼정그린코아어린이집</t>
        </is>
      </c>
      <c r="B794" t="inlineStr">
        <is>
          <t>어린이집</t>
        </is>
      </c>
      <c r="C794" t="inlineStr">
        <is>
          <t>국공립</t>
        </is>
      </c>
      <c r="D794" t="inlineStr">
        <is>
          <t>사상구</t>
        </is>
      </c>
      <c r="E794" t="inlineStr">
        <is>
          <t>부산광역시 사상구 학감대로123번길 67 201동(학장동, 학장삼정그린코아아파트)</t>
        </is>
      </c>
      <c r="F794" t="inlineStr"/>
      <c r="G794" t="inlineStr">
        <is>
          <t>051-311-9030</t>
        </is>
      </c>
      <c r="H794" s="15" t="n">
        <v>46</v>
      </c>
      <c r="I794" s="15" t="n">
        <v>6</v>
      </c>
      <c r="J794" s="15" t="n">
        <v>10</v>
      </c>
      <c r="K794" s="15" t="n">
        <v>17</v>
      </c>
      <c r="L794" s="15" t="n">
        <v>0</v>
      </c>
      <c r="M794" s="15" t="n">
        <v>0</v>
      </c>
      <c r="N794" s="15" t="n">
        <v>0</v>
      </c>
      <c r="O794" s="15" t="n">
        <v>0</v>
      </c>
      <c r="P794" s="15" t="n">
        <v>0</v>
      </c>
      <c r="Q794" s="15" t="n">
        <v>0</v>
      </c>
      <c r="R794" s="15" t="n">
        <v>0</v>
      </c>
      <c r="S794" s="15" t="n">
        <v>5</v>
      </c>
      <c r="T794" s="14">
        <f>IF(COUNT(I794:S794)=0,"",SUM(I794:S794))</f>
        <v/>
      </c>
      <c r="U794" t="inlineStr"/>
    </row>
    <row r="795">
      <c r="A795" t="inlineStr">
        <is>
          <t>학장어린이집</t>
        </is>
      </c>
      <c r="B795" t="inlineStr">
        <is>
          <t>어린이집</t>
        </is>
      </c>
      <c r="C795" t="inlineStr">
        <is>
          <t>국공립</t>
        </is>
      </c>
      <c r="D795" t="inlineStr">
        <is>
          <t>사상구</t>
        </is>
      </c>
      <c r="E795" t="inlineStr">
        <is>
          <t>부산광역시 사상구 학감대로49번길 28-39 학장사회복지관내 (학장동)</t>
        </is>
      </c>
      <c r="F795" s="11" t="inlineStr">
        <is>
          <t>https://www.instagram.com/hj3164017</t>
        </is>
      </c>
      <c r="G795" t="inlineStr">
        <is>
          <t>051-316-4017</t>
        </is>
      </c>
      <c r="H795" s="15" t="n">
        <v>54</v>
      </c>
      <c r="I795" s="15" t="n">
        <v>4</v>
      </c>
      <c r="J795" s="15" t="n">
        <v>10</v>
      </c>
      <c r="K795" s="15" t="n">
        <v>13</v>
      </c>
      <c r="L795" s="15" t="n">
        <v>0</v>
      </c>
      <c r="M795" s="15" t="n">
        <v>0</v>
      </c>
      <c r="N795" s="15" t="n">
        <v>0</v>
      </c>
      <c r="O795" s="15" t="n">
        <v>0</v>
      </c>
      <c r="P795" s="15" t="n">
        <v>0</v>
      </c>
      <c r="Q795" s="15" t="n">
        <v>0</v>
      </c>
      <c r="R795" s="15" t="n">
        <v>0</v>
      </c>
      <c r="S795" s="15" t="n">
        <v>7</v>
      </c>
      <c r="T795" s="14">
        <f>IF(COUNT(I795:S795)=0,"",SUM(I795:S795))</f>
        <v/>
      </c>
      <c r="U795" t="inlineStr"/>
    </row>
    <row r="796">
      <c r="A796" t="inlineStr">
        <is>
          <t>한신어린이집</t>
        </is>
      </c>
      <c r="B796" t="inlineStr">
        <is>
          <t>어린이집</t>
        </is>
      </c>
      <c r="C796" t="inlineStr">
        <is>
          <t>민간</t>
        </is>
      </c>
      <c r="D796" t="inlineStr">
        <is>
          <t>사상구</t>
        </is>
      </c>
      <c r="E796" t="inlineStr">
        <is>
          <t>부산광역시 사상구 낙동대로1210번길 33 한신2차아파트 관리사무소1층</t>
        </is>
      </c>
      <c r="F796" t="inlineStr"/>
      <c r="G796" t="inlineStr">
        <is>
          <t>051-311-6763</t>
        </is>
      </c>
      <c r="H796" s="15" t="n">
        <v>30</v>
      </c>
      <c r="I796" s="15" t="n">
        <v>5</v>
      </c>
      <c r="J796" s="15" t="n">
        <v>5</v>
      </c>
      <c r="K796" s="15" t="n">
        <v>6</v>
      </c>
      <c r="L796" s="15" t="n">
        <v>0</v>
      </c>
      <c r="M796" s="15" t="n">
        <v>0</v>
      </c>
      <c r="N796" s="15" t="n">
        <v>0</v>
      </c>
      <c r="O796" s="15" t="n">
        <v>3</v>
      </c>
      <c r="P796" s="15" t="n">
        <v>0</v>
      </c>
      <c r="Q796" s="15" t="n">
        <v>0</v>
      </c>
      <c r="R796" s="15" t="n">
        <v>0</v>
      </c>
      <c r="S796" s="15" t="n">
        <v>8</v>
      </c>
      <c r="T796" s="14">
        <f>IF(COUNT(I796:S796)=0,"",SUM(I796:S796))</f>
        <v/>
      </c>
      <c r="U796" t="inlineStr"/>
    </row>
    <row r="797">
      <c r="A797" t="inlineStr">
        <is>
          <t>한신자연누리어린이집</t>
        </is>
      </c>
      <c r="B797" t="inlineStr">
        <is>
          <t>어린이집</t>
        </is>
      </c>
      <c r="C797" t="inlineStr">
        <is>
          <t>민간</t>
        </is>
      </c>
      <c r="D797" t="inlineStr">
        <is>
          <t>사상구</t>
        </is>
      </c>
      <c r="E797" t="inlineStr">
        <is>
          <t>부산광역시 사상구 엄궁로 40 (엄궁동, 한신2차아파트관리동)</t>
        </is>
      </c>
      <c r="F797" t="inlineStr"/>
      <c r="G797" t="inlineStr">
        <is>
          <t>051-323-6318</t>
        </is>
      </c>
      <c r="H797" s="15" t="n">
        <v>35</v>
      </c>
      <c r="I797" s="15" t="n">
        <v>9</v>
      </c>
      <c r="J797" s="15" t="n">
        <v>5</v>
      </c>
      <c r="K797" s="15" t="n">
        <v>21</v>
      </c>
      <c r="L797" s="15" t="n">
        <v>0</v>
      </c>
      <c r="M797" s="15" t="n">
        <v>0</v>
      </c>
      <c r="N797" s="15" t="n">
        <v>0</v>
      </c>
      <c r="O797" s="15" t="n">
        <v>0</v>
      </c>
      <c r="P797" s="15" t="n">
        <v>0</v>
      </c>
      <c r="Q797" s="15" t="n">
        <v>0</v>
      </c>
      <c r="R797" s="15" t="n">
        <v>0</v>
      </c>
      <c r="S797" s="15" t="n">
        <v>23</v>
      </c>
      <c r="T797" s="14">
        <f>IF(COUNT(I797:S797)=0,"",SUM(I797:S797))</f>
        <v/>
      </c>
      <c r="U797" t="inlineStr"/>
    </row>
    <row r="798">
      <c r="A798" t="inlineStr">
        <is>
          <t>해늘어린이집</t>
        </is>
      </c>
      <c r="B798" t="inlineStr">
        <is>
          <t>어린이집</t>
        </is>
      </c>
      <c r="C798" t="inlineStr">
        <is>
          <t>민간</t>
        </is>
      </c>
      <c r="D798" t="inlineStr">
        <is>
          <t>사상구</t>
        </is>
      </c>
      <c r="E798" t="inlineStr">
        <is>
          <t>부산광역시 사상구 사상로269번길 12 해늘어린이집</t>
        </is>
      </c>
      <c r="F798" t="inlineStr"/>
      <c r="G798" t="inlineStr">
        <is>
          <t>051-302-5911</t>
        </is>
      </c>
      <c r="H798" s="15" t="n">
        <v>39</v>
      </c>
      <c r="I798" s="15" t="n">
        <v>2</v>
      </c>
      <c r="J798" s="15" t="n">
        <v>5</v>
      </c>
      <c r="K798" s="15" t="n">
        <v>4</v>
      </c>
      <c r="L798" s="15" t="n">
        <v>0</v>
      </c>
      <c r="M798" s="15" t="n">
        <v>0</v>
      </c>
      <c r="N798" s="15" t="n">
        <v>0</v>
      </c>
      <c r="O798" s="15" t="n">
        <v>0</v>
      </c>
      <c r="P798" s="15" t="n">
        <v>9</v>
      </c>
      <c r="Q798" s="15" t="n">
        <v>0</v>
      </c>
      <c r="R798" s="15" t="n">
        <v>0</v>
      </c>
      <c r="S798" s="15" t="n">
        <v>5</v>
      </c>
      <c r="T798" s="14">
        <f>IF(COUNT(I798:S798)=0,"",SUM(I798:S798))</f>
        <v/>
      </c>
      <c r="U798" t="inlineStr"/>
    </row>
    <row r="799">
      <c r="A799" t="inlineStr">
        <is>
          <t>혜현어린이집</t>
        </is>
      </c>
      <c r="B799" t="inlineStr">
        <is>
          <t>어린이집</t>
        </is>
      </c>
      <c r="C799" t="inlineStr">
        <is>
          <t>민간</t>
        </is>
      </c>
      <c r="D799" t="inlineStr">
        <is>
          <t>사상구</t>
        </is>
      </c>
      <c r="E799" t="inlineStr">
        <is>
          <t>부산광역시 사상구 진사로36번길 43 (주례동)</t>
        </is>
      </c>
      <c r="F799" t="inlineStr"/>
      <c r="G799" t="inlineStr">
        <is>
          <t>051-312-6071</t>
        </is>
      </c>
      <c r="H799" s="15" t="n">
        <v>43</v>
      </c>
      <c r="I799" s="15" t="n">
        <v>0</v>
      </c>
      <c r="J799" s="15" t="n">
        <v>0</v>
      </c>
      <c r="K799" s="15" t="n">
        <v>4</v>
      </c>
      <c r="L799" s="15" t="n">
        <v>0</v>
      </c>
      <c r="M799" s="15" t="n">
        <v>0</v>
      </c>
      <c r="N799" s="15" t="n">
        <v>0</v>
      </c>
      <c r="O799" s="15" t="n">
        <v>6</v>
      </c>
      <c r="P799" s="15" t="n">
        <v>10</v>
      </c>
      <c r="Q799" s="15" t="n">
        <v>0</v>
      </c>
      <c r="R799" s="15" t="n">
        <v>0</v>
      </c>
      <c r="S799" s="15" t="n">
        <v>8</v>
      </c>
      <c r="T799" s="14">
        <f>IF(COUNT(I799:S799)=0,"",SUM(I799:S799))</f>
        <v/>
      </c>
      <c r="U799" t="inlineStr"/>
    </row>
    <row r="800">
      <c r="A800" t="inlineStr">
        <is>
          <t>SK꿈나래 어린이집</t>
        </is>
      </c>
      <c r="B800" t="inlineStr">
        <is>
          <t>어린이집</t>
        </is>
      </c>
      <c r="C800" t="inlineStr">
        <is>
          <t>민간</t>
        </is>
      </c>
      <c r="D800" t="inlineStr">
        <is>
          <t>사하구</t>
        </is>
      </c>
      <c r="E800" t="inlineStr">
        <is>
          <t>부산광역시 사하구 하신번영로 400 sk뷰 아파트 관리동내</t>
        </is>
      </c>
      <c r="F800" t="inlineStr"/>
      <c r="G800" t="inlineStr">
        <is>
          <t>051-202-6679</t>
        </is>
      </c>
      <c r="H800" s="15" t="n">
        <v>43</v>
      </c>
      <c r="I800" s="15" t="n">
        <v>5</v>
      </c>
      <c r="J800" s="15" t="n">
        <v>8</v>
      </c>
      <c r="K800" s="15" t="n">
        <v>14</v>
      </c>
      <c r="L800" s="15" t="n">
        <v>0</v>
      </c>
      <c r="M800" s="15" t="n">
        <v>0</v>
      </c>
      <c r="N800" s="15" t="n">
        <v>0</v>
      </c>
      <c r="O800" s="15" t="n">
        <v>0</v>
      </c>
      <c r="P800" s="15" t="n">
        <v>0</v>
      </c>
      <c r="Q800" s="15" t="n">
        <v>0</v>
      </c>
      <c r="R800" s="15" t="n">
        <v>0</v>
      </c>
      <c r="S800" s="15" t="n">
        <v>5</v>
      </c>
      <c r="T800" s="14">
        <f>IF(COUNT(I800:S800)=0,"",SUM(I800:S800))</f>
        <v/>
      </c>
      <c r="U800" t="inlineStr"/>
    </row>
    <row r="801">
      <c r="A801" t="inlineStr">
        <is>
          <t>sk해뜨는어린이집</t>
        </is>
      </c>
      <c r="B801" t="inlineStr">
        <is>
          <t>어린이집</t>
        </is>
      </c>
      <c r="C801" t="inlineStr">
        <is>
          <t>가정</t>
        </is>
      </c>
      <c r="D801" t="inlineStr">
        <is>
          <t>사하구</t>
        </is>
      </c>
      <c r="E801" t="inlineStr">
        <is>
          <t>부산광역시 사하구 하신번영로 400 113동 103호(하단동, 하단동에스케이뷰)</t>
        </is>
      </c>
      <c r="F801" s="11" t="inlineStr">
        <is>
          <t>http://dm971000@naver.com</t>
        </is>
      </c>
      <c r="G801" t="inlineStr">
        <is>
          <t>051-294-8276</t>
        </is>
      </c>
      <c r="H801" s="15" t="n">
        <v>18</v>
      </c>
      <c r="I801" s="15" t="n">
        <v>0</v>
      </c>
      <c r="J801" s="15" t="n">
        <v>5</v>
      </c>
      <c r="K801" s="15" t="n">
        <v>4</v>
      </c>
      <c r="L801" s="15" t="n">
        <v>0</v>
      </c>
      <c r="M801" s="15" t="n">
        <v>0</v>
      </c>
      <c r="N801" s="15" t="n">
        <v>0</v>
      </c>
      <c r="O801" s="15" t="n">
        <v>7</v>
      </c>
      <c r="P801" s="15" t="n">
        <v>0</v>
      </c>
      <c r="Q801" s="15" t="n">
        <v>0</v>
      </c>
      <c r="R801" s="15" t="n">
        <v>0</v>
      </c>
      <c r="S801" s="15" t="n">
        <v>14</v>
      </c>
      <c r="T801" s="14">
        <f>IF(COUNT(I801:S801)=0,"",SUM(I801:S801))</f>
        <v/>
      </c>
      <c r="U801" t="inlineStr"/>
    </row>
    <row r="802">
      <c r="A802" t="inlineStr">
        <is>
          <t>가온아이어린이집</t>
        </is>
      </c>
      <c r="B802" t="inlineStr">
        <is>
          <t>어린이집</t>
        </is>
      </c>
      <c r="C802" t="inlineStr">
        <is>
          <t>법인·단체등</t>
        </is>
      </c>
      <c r="D802" t="inlineStr">
        <is>
          <t>사하구</t>
        </is>
      </c>
      <c r="E802" t="inlineStr">
        <is>
          <t>부산광역시 사하구 윤공단로18번길 2 (다대동)</t>
        </is>
      </c>
      <c r="F802" t="inlineStr"/>
      <c r="G802" t="inlineStr">
        <is>
          <t>051-266-2575</t>
        </is>
      </c>
      <c r="H802" s="15" t="n">
        <v>38</v>
      </c>
      <c r="I802" s="15" t="n">
        <v>3</v>
      </c>
      <c r="J802" s="15" t="n">
        <v>0</v>
      </c>
      <c r="K802" s="15" t="n">
        <v>0</v>
      </c>
      <c r="L802" s="15" t="n">
        <v>0</v>
      </c>
      <c r="M802" s="15" t="n">
        <v>0</v>
      </c>
      <c r="N802" s="15" t="n">
        <v>0</v>
      </c>
      <c r="O802" s="15" t="n">
        <v>3</v>
      </c>
      <c r="P802" s="15" t="n">
        <v>0</v>
      </c>
      <c r="Q802" s="15" t="n">
        <v>0</v>
      </c>
      <c r="R802" s="15" t="n">
        <v>0</v>
      </c>
      <c r="S802" s="15" t="n">
        <v>4</v>
      </c>
      <c r="T802" s="14">
        <f>IF(COUNT(I802:S802)=0,"",SUM(I802:S802))</f>
        <v/>
      </c>
      <c r="U802" t="inlineStr"/>
    </row>
    <row r="803">
      <c r="A803" t="inlineStr">
        <is>
          <t>감천꿈나무어린이집</t>
        </is>
      </c>
      <c r="B803" t="inlineStr">
        <is>
          <t>어린이집</t>
        </is>
      </c>
      <c r="C803" t="inlineStr">
        <is>
          <t>민간</t>
        </is>
      </c>
      <c r="D803" t="inlineStr">
        <is>
          <t>사하구</t>
        </is>
      </c>
      <c r="E803" t="inlineStr">
        <is>
          <t>부산광역시 사하구 감천로117번길 50 7통 1반 (감천동)</t>
        </is>
      </c>
      <c r="F803" t="inlineStr"/>
      <c r="G803" t="inlineStr">
        <is>
          <t>051-203-9292</t>
        </is>
      </c>
      <c r="H803" s="15" t="n">
        <v>40</v>
      </c>
      <c r="I803" s="15" t="n">
        <v>0</v>
      </c>
      <c r="J803" s="15" t="n">
        <v>4</v>
      </c>
      <c r="K803" s="15" t="n">
        <v>7</v>
      </c>
      <c r="L803" s="15" t="n">
        <v>0</v>
      </c>
      <c r="M803" s="15" t="n">
        <v>0</v>
      </c>
      <c r="N803" s="15" t="n">
        <v>0</v>
      </c>
      <c r="O803" s="15" t="n">
        <v>5</v>
      </c>
      <c r="P803" s="15" t="n">
        <v>14</v>
      </c>
      <c r="Q803" s="15" t="n">
        <v>0</v>
      </c>
      <c r="R803" s="15" t="n">
        <v>0</v>
      </c>
      <c r="S803" s="15" t="n">
        <v>10</v>
      </c>
      <c r="T803" s="14">
        <f>IF(COUNT(I803:S803)=0,"",SUM(I803:S803))</f>
        <v/>
      </c>
      <c r="U803" t="inlineStr"/>
    </row>
    <row r="804">
      <c r="A804" t="inlineStr">
        <is>
          <t>감천어린이집</t>
        </is>
      </c>
      <c r="B804" t="inlineStr">
        <is>
          <t>어린이집</t>
        </is>
      </c>
      <c r="C804" t="inlineStr">
        <is>
          <t>국공립</t>
        </is>
      </c>
      <c r="D804" t="inlineStr">
        <is>
          <t>사하구</t>
        </is>
      </c>
      <c r="E804" t="inlineStr">
        <is>
          <t>부산광역시 사하구 옥천로93번길 14-2</t>
        </is>
      </c>
      <c r="F804" s="11" t="inlineStr">
        <is>
          <t>http://cafe.daum.net/gcn0330</t>
        </is>
      </c>
      <c r="G804" t="inlineStr">
        <is>
          <t>051-202-0330</t>
        </is>
      </c>
      <c r="H804" s="15" t="n">
        <v>67</v>
      </c>
      <c r="I804" s="15" t="n">
        <v>0</v>
      </c>
      <c r="J804" s="15" t="n">
        <v>0</v>
      </c>
      <c r="K804" s="15" t="n">
        <v>0</v>
      </c>
      <c r="L804" s="15" t="n">
        <v>0</v>
      </c>
      <c r="M804" s="15" t="n">
        <v>0</v>
      </c>
      <c r="N804" s="15" t="n">
        <v>13</v>
      </c>
      <c r="O804" s="15" t="n">
        <v>6</v>
      </c>
      <c r="P804" s="15" t="n">
        <v>10</v>
      </c>
      <c r="Q804" s="15" t="n">
        <v>0</v>
      </c>
      <c r="R804" s="15" t="n">
        <v>0</v>
      </c>
      <c r="S804" s="15" t="n">
        <v>18</v>
      </c>
      <c r="T804" s="14">
        <f>IF(COUNT(I804:S804)=0,"",SUM(I804:S804))</f>
        <v/>
      </c>
      <c r="U804" t="inlineStr"/>
    </row>
    <row r="805">
      <c r="A805" t="inlineStr">
        <is>
          <t>감천파랑새어린이집</t>
        </is>
      </c>
      <c r="B805" t="inlineStr">
        <is>
          <t>어린이집</t>
        </is>
      </c>
      <c r="C805" t="inlineStr">
        <is>
          <t>민간</t>
        </is>
      </c>
      <c r="D805" t="inlineStr">
        <is>
          <t>사하구</t>
        </is>
      </c>
      <c r="E805" t="inlineStr">
        <is>
          <t>부산광역시 사하구 감천로73번길 8 (감천동)</t>
        </is>
      </c>
      <c r="F805" t="inlineStr"/>
      <c r="G805" t="inlineStr">
        <is>
          <t>051-203-9481</t>
        </is>
      </c>
      <c r="H805" s="15" t="n">
        <v>130</v>
      </c>
      <c r="I805" s="15" t="n">
        <v>3</v>
      </c>
      <c r="J805" s="15" t="n">
        <v>8</v>
      </c>
      <c r="K805" s="15" t="n">
        <v>12</v>
      </c>
      <c r="L805" s="15" t="n">
        <v>10</v>
      </c>
      <c r="M805" s="15" t="n">
        <v>0</v>
      </c>
      <c r="N805" s="15" t="n">
        <v>20</v>
      </c>
      <c r="O805" s="15" t="n">
        <v>0</v>
      </c>
      <c r="P805" s="15" t="n">
        <v>15</v>
      </c>
      <c r="Q805" s="15" t="n">
        <v>0</v>
      </c>
      <c r="R805" s="15" t="n">
        <v>0</v>
      </c>
      <c r="S805" s="15" t="n">
        <v>3</v>
      </c>
      <c r="T805" s="14">
        <f>IF(COUNT(I805:S805)=0,"",SUM(I805:S805))</f>
        <v/>
      </c>
      <c r="U805" t="inlineStr"/>
    </row>
    <row r="806">
      <c r="A806" t="inlineStr">
        <is>
          <t>괴정한신더휴어린이집</t>
        </is>
      </c>
      <c r="B806" t="inlineStr">
        <is>
          <t>어린이집</t>
        </is>
      </c>
      <c r="C806" t="inlineStr">
        <is>
          <t>국공립</t>
        </is>
      </c>
      <c r="D806" t="inlineStr">
        <is>
          <t>사하구</t>
        </is>
      </c>
      <c r="E806" t="inlineStr">
        <is>
          <t>부산광역시 사하구 사리로 106</t>
        </is>
      </c>
      <c r="F806" t="inlineStr"/>
      <c r="G806" t="inlineStr">
        <is>
          <t>051-205-7959</t>
        </is>
      </c>
      <c r="H806" s="15" t="n">
        <v>69</v>
      </c>
      <c r="I806" s="15" t="n">
        <v>18</v>
      </c>
      <c r="J806" s="15" t="n">
        <v>23</v>
      </c>
      <c r="K806" s="15" t="n">
        <v>20</v>
      </c>
      <c r="L806" s="15" t="n">
        <v>0</v>
      </c>
      <c r="M806" s="15" t="n">
        <v>0</v>
      </c>
      <c r="N806" s="15" t="n">
        <v>0</v>
      </c>
      <c r="O806" s="15" t="n">
        <v>0</v>
      </c>
      <c r="P806" s="15" t="n">
        <v>0</v>
      </c>
      <c r="Q806" s="15" t="n">
        <v>0</v>
      </c>
      <c r="R806" s="15" t="n">
        <v>0</v>
      </c>
      <c r="S806" s="15" t="n">
        <v>10</v>
      </c>
      <c r="T806" s="14">
        <f>IF(COUNT(I806:S806)=0,"",SUM(I806:S806))</f>
        <v/>
      </c>
      <c r="U806" t="inlineStr"/>
    </row>
    <row r="807">
      <c r="A807" t="inlineStr">
        <is>
          <t>꼬마화가어린이집</t>
        </is>
      </c>
      <c r="B807" t="inlineStr">
        <is>
          <t>어린이집</t>
        </is>
      </c>
      <c r="C807" t="inlineStr">
        <is>
          <t>가정</t>
        </is>
      </c>
      <c r="D807" t="inlineStr">
        <is>
          <t>사하구</t>
        </is>
      </c>
      <c r="E807" t="inlineStr">
        <is>
          <t>부산광역시 사하구 하신번영로 233 316동 104호(하단동, 가락타운3단지아파트)</t>
        </is>
      </c>
      <c r="F807" t="inlineStr"/>
      <c r="G807" t="inlineStr">
        <is>
          <t>051-204-0139</t>
        </is>
      </c>
      <c r="H807" s="15" t="n">
        <v>19</v>
      </c>
      <c r="I807" s="15" t="n">
        <v>6</v>
      </c>
      <c r="J807" s="15" t="n">
        <v>4</v>
      </c>
      <c r="K807" s="15" t="n">
        <v>6</v>
      </c>
      <c r="L807" s="15" t="n">
        <v>0</v>
      </c>
      <c r="M807" s="15" t="n">
        <v>0</v>
      </c>
      <c r="N807" s="15" t="n">
        <v>0</v>
      </c>
      <c r="O807" s="15" t="n">
        <v>0</v>
      </c>
      <c r="P807" s="15" t="n">
        <v>0</v>
      </c>
      <c r="Q807" s="15" t="n">
        <v>0</v>
      </c>
      <c r="R807" s="15" t="n">
        <v>0</v>
      </c>
      <c r="S807" s="15" t="n">
        <v>8</v>
      </c>
      <c r="T807" s="14">
        <f>IF(COUNT(I807:S807)=0,"",SUM(I807:S807))</f>
        <v/>
      </c>
      <c r="U807" t="inlineStr"/>
    </row>
    <row r="808">
      <c r="A808" t="inlineStr">
        <is>
          <t>꽃비네어린이집</t>
        </is>
      </c>
      <c r="B808" t="inlineStr">
        <is>
          <t>어린이집</t>
        </is>
      </c>
      <c r="C808" t="inlineStr">
        <is>
          <t>가정</t>
        </is>
      </c>
      <c r="D808" t="inlineStr">
        <is>
          <t>사하구</t>
        </is>
      </c>
      <c r="E808" t="inlineStr">
        <is>
          <t>부산광역시 사하구 대티로1번길 22 105동 101호(괴정동, 극동스타클래스)</t>
        </is>
      </c>
      <c r="F808" t="inlineStr"/>
      <c r="G808" t="inlineStr">
        <is>
          <t>051-206-5117</t>
        </is>
      </c>
      <c r="H808" s="15" t="n">
        <v>19</v>
      </c>
      <c r="I808" s="15" t="n">
        <v>2</v>
      </c>
      <c r="J808" s="15" t="n">
        <v>0</v>
      </c>
      <c r="K808" s="15" t="n">
        <v>0</v>
      </c>
      <c r="L808" s="15" t="n">
        <v>0</v>
      </c>
      <c r="M808" s="15" t="n">
        <v>0</v>
      </c>
      <c r="N808" s="15" t="n">
        <v>0</v>
      </c>
      <c r="O808" s="15" t="n">
        <v>7</v>
      </c>
      <c r="P808" s="15" t="n">
        <v>0</v>
      </c>
      <c r="Q808" s="15" t="n">
        <v>0</v>
      </c>
      <c r="R808" s="15" t="n">
        <v>0</v>
      </c>
      <c r="S808" s="15" t="n">
        <v>3</v>
      </c>
      <c r="T808" s="14">
        <f>IF(COUNT(I808:S808)=0,"",SUM(I808:S808))</f>
        <v/>
      </c>
      <c r="U808" t="inlineStr"/>
    </row>
    <row r="809">
      <c r="A809" t="inlineStr">
        <is>
          <t>꿈나무어린이집</t>
        </is>
      </c>
      <c r="B809" t="inlineStr">
        <is>
          <t>어린이집</t>
        </is>
      </c>
      <c r="C809" t="inlineStr">
        <is>
          <t>민간</t>
        </is>
      </c>
      <c r="D809" t="inlineStr">
        <is>
          <t>사하구</t>
        </is>
      </c>
      <c r="E809" t="inlineStr">
        <is>
          <t>부산광역시 사하구 하신번영로173번길 5 (신평동)</t>
        </is>
      </c>
      <c r="F809" t="inlineStr"/>
      <c r="G809" t="inlineStr">
        <is>
          <t>051-205-7370</t>
        </is>
      </c>
      <c r="H809" s="15" t="n">
        <v>58</v>
      </c>
      <c r="I809" s="15" t="n">
        <v>9</v>
      </c>
      <c r="J809" s="15" t="n">
        <v>9</v>
      </c>
      <c r="K809" s="15" t="n">
        <v>13</v>
      </c>
      <c r="L809" s="15" t="n">
        <v>0</v>
      </c>
      <c r="M809" s="15" t="n">
        <v>0</v>
      </c>
      <c r="N809" s="15" t="n">
        <v>0</v>
      </c>
      <c r="O809" s="15" t="n">
        <v>0</v>
      </c>
      <c r="P809" s="15" t="n">
        <v>8</v>
      </c>
      <c r="Q809" s="15" t="n">
        <v>0</v>
      </c>
      <c r="R809" s="15" t="n">
        <v>0</v>
      </c>
      <c r="S809" s="15" t="n">
        <v>10</v>
      </c>
      <c r="T809" s="14">
        <f>IF(COUNT(I809:S809)=0,"",SUM(I809:S809))</f>
        <v/>
      </c>
      <c r="U809" t="inlineStr"/>
    </row>
    <row r="810">
      <c r="A810" t="inlineStr">
        <is>
          <t>꿈사랑어린이집</t>
        </is>
      </c>
      <c r="B810" t="inlineStr">
        <is>
          <t>어린이집</t>
        </is>
      </c>
      <c r="C810" t="inlineStr">
        <is>
          <t>민간</t>
        </is>
      </c>
      <c r="D810" t="inlineStr">
        <is>
          <t>사하구</t>
        </is>
      </c>
      <c r="E810" t="inlineStr">
        <is>
          <t>부산광역시 사하구 하신번영로173번길 10 (신평동)</t>
        </is>
      </c>
      <c r="F810" t="inlineStr"/>
      <c r="G810" t="inlineStr">
        <is>
          <t>051-205-7378</t>
        </is>
      </c>
      <c r="H810" s="15" t="n">
        <v>39</v>
      </c>
      <c r="I810" s="15" t="n">
        <v>0</v>
      </c>
      <c r="J810" s="15" t="n">
        <v>0</v>
      </c>
      <c r="K810" s="15" t="n">
        <v>5</v>
      </c>
      <c r="L810" s="15" t="n">
        <v>0</v>
      </c>
      <c r="M810" s="15" t="n">
        <v>0</v>
      </c>
      <c r="N810" s="15" t="n">
        <v>0</v>
      </c>
      <c r="O810" s="15" t="n">
        <v>7</v>
      </c>
      <c r="P810" s="15" t="n">
        <v>7</v>
      </c>
      <c r="Q810" s="15" t="n">
        <v>0</v>
      </c>
      <c r="R810" s="15" t="n">
        <v>0</v>
      </c>
      <c r="S810" s="15" t="n">
        <v>3</v>
      </c>
      <c r="T810" s="14">
        <f>IF(COUNT(I810:S810)=0,"",SUM(I810:S810))</f>
        <v/>
      </c>
      <c r="U810" t="inlineStr"/>
    </row>
    <row r="811">
      <c r="A811" t="inlineStr">
        <is>
          <t>내원어린이집</t>
        </is>
      </c>
      <c r="B811" t="inlineStr">
        <is>
          <t>어린이집</t>
        </is>
      </c>
      <c r="C811" t="inlineStr">
        <is>
          <t>국공립</t>
        </is>
      </c>
      <c r="D811" t="inlineStr">
        <is>
          <t>사하구</t>
        </is>
      </c>
      <c r="E811" t="inlineStr">
        <is>
          <t>부산광역시 사하구 다대낙조2길 17 몰운대복지관 내</t>
        </is>
      </c>
      <c r="F811" s="11" t="inlineStr">
        <is>
          <t>http://www.naewon.molun.org</t>
        </is>
      </c>
      <c r="G811" t="inlineStr">
        <is>
          <t>051-264-9031</t>
        </is>
      </c>
      <c r="H811" s="15" t="n">
        <v>82</v>
      </c>
      <c r="I811" s="15" t="n">
        <v>2</v>
      </c>
      <c r="J811" s="15" t="n">
        <v>0</v>
      </c>
      <c r="K811" s="15" t="n">
        <v>7</v>
      </c>
      <c r="L811" s="15" t="n">
        <v>0</v>
      </c>
      <c r="M811" s="15" t="n">
        <v>0</v>
      </c>
      <c r="N811" s="15" t="n">
        <v>0</v>
      </c>
      <c r="O811" s="15" t="n">
        <v>3</v>
      </c>
      <c r="P811" s="15" t="n">
        <v>9</v>
      </c>
      <c r="Q811" s="15" t="n">
        <v>0</v>
      </c>
      <c r="R811" s="15" t="n">
        <v>0</v>
      </c>
      <c r="S811" s="15" t="n">
        <v>7</v>
      </c>
      <c r="T811" s="14">
        <f>IF(COUNT(I811:S811)=0,"",SUM(I811:S811))</f>
        <v/>
      </c>
      <c r="U811" t="inlineStr"/>
    </row>
    <row r="812">
      <c r="A812" t="inlineStr">
        <is>
          <t>다대어린이집</t>
        </is>
      </c>
      <c r="B812" t="inlineStr">
        <is>
          <t>어린이집</t>
        </is>
      </c>
      <c r="C812" t="inlineStr">
        <is>
          <t>국공립</t>
        </is>
      </c>
      <c r="D812" t="inlineStr">
        <is>
          <t>사하구</t>
        </is>
      </c>
      <c r="E812" t="inlineStr">
        <is>
          <t>부산광역시 사하구 다대로 440 다대사회복지관 내 (다대동)</t>
        </is>
      </c>
      <c r="F812" t="inlineStr"/>
      <c r="G812" t="inlineStr">
        <is>
          <t>051-266-5422</t>
        </is>
      </c>
      <c r="H812" s="15" t="n">
        <v>52</v>
      </c>
      <c r="I812" s="15" t="n">
        <v>0</v>
      </c>
      <c r="J812" s="15" t="n">
        <v>13</v>
      </c>
      <c r="K812" s="15" t="n">
        <v>8</v>
      </c>
      <c r="L812" s="15" t="n">
        <v>0</v>
      </c>
      <c r="M812" s="15" t="n">
        <v>0</v>
      </c>
      <c r="N812" s="15" t="n">
        <v>0</v>
      </c>
      <c r="O812" s="15" t="n">
        <v>0</v>
      </c>
      <c r="P812" s="15" t="n">
        <v>0</v>
      </c>
      <c r="Q812" s="15" t="n">
        <v>0</v>
      </c>
      <c r="R812" s="15" t="n">
        <v>0</v>
      </c>
      <c r="S812" s="15" t="n">
        <v>4</v>
      </c>
      <c r="T812" s="14">
        <f>IF(COUNT(I812:S812)=0,"",SUM(I812:S812))</f>
        <v/>
      </c>
      <c r="U812" t="inlineStr"/>
    </row>
    <row r="813">
      <c r="A813" t="inlineStr">
        <is>
          <t>다대푸르지오자연속어린이집</t>
        </is>
      </c>
      <c r="B813" t="inlineStr">
        <is>
          <t>어린이집</t>
        </is>
      </c>
      <c r="C813" t="inlineStr">
        <is>
          <t>가정</t>
        </is>
      </c>
      <c r="D813" t="inlineStr">
        <is>
          <t>사하구</t>
        </is>
      </c>
      <c r="E813" t="inlineStr">
        <is>
          <t>부산광역시 사하구 윤공단로 123 106-102(다대동,푸르지오아파트)</t>
        </is>
      </c>
      <c r="F813" t="inlineStr"/>
      <c r="G813" t="inlineStr">
        <is>
          <t>051-262-7775</t>
        </is>
      </c>
      <c r="H813" s="15" t="n">
        <v>20</v>
      </c>
      <c r="I813" s="15" t="n">
        <v>2</v>
      </c>
      <c r="J813" s="15" t="n">
        <v>5</v>
      </c>
      <c r="K813" s="15" t="n">
        <v>4</v>
      </c>
      <c r="L813" s="15" t="n">
        <v>0</v>
      </c>
      <c r="M813" s="15" t="n">
        <v>0</v>
      </c>
      <c r="N813" s="15" t="n">
        <v>0</v>
      </c>
      <c r="O813" s="15" t="n">
        <v>2</v>
      </c>
      <c r="P813" s="15" t="n">
        <v>0</v>
      </c>
      <c r="Q813" s="15" t="n">
        <v>0</v>
      </c>
      <c r="R813" s="15" t="n">
        <v>0</v>
      </c>
      <c r="S813" s="15" t="n">
        <v>4</v>
      </c>
      <c r="T813" s="14">
        <f>IF(COUNT(I813:S813)=0,"",SUM(I813:S813))</f>
        <v/>
      </c>
      <c r="U813" t="inlineStr"/>
    </row>
    <row r="814">
      <c r="A814" t="inlineStr">
        <is>
          <t>다송어린이집</t>
        </is>
      </c>
      <c r="B814" t="inlineStr">
        <is>
          <t>어린이집</t>
        </is>
      </c>
      <c r="C814" t="inlineStr">
        <is>
          <t>국공립</t>
        </is>
      </c>
      <c r="D814" t="inlineStr">
        <is>
          <t>사하구</t>
        </is>
      </c>
      <c r="E814" t="inlineStr">
        <is>
          <t>부산광역시 사하구 다대로429번길 25 18통 9반 (다대동)</t>
        </is>
      </c>
      <c r="F814" t="inlineStr"/>
      <c r="G814" t="inlineStr">
        <is>
          <t>051-265-3900</t>
        </is>
      </c>
      <c r="H814" s="15" t="n">
        <v>118</v>
      </c>
      <c r="I814" s="15" t="n">
        <v>6</v>
      </c>
      <c r="J814" s="15" t="n">
        <v>17</v>
      </c>
      <c r="K814" s="15" t="n">
        <v>16</v>
      </c>
      <c r="L814" s="15" t="n">
        <v>0</v>
      </c>
      <c r="M814" s="15" t="n">
        <v>0</v>
      </c>
      <c r="N814" s="15" t="n">
        <v>0</v>
      </c>
      <c r="O814" s="15" t="n">
        <v>3</v>
      </c>
      <c r="P814" s="15" t="n">
        <v>0</v>
      </c>
      <c r="Q814" s="15" t="n">
        <v>0</v>
      </c>
      <c r="R814" s="15" t="n">
        <v>0</v>
      </c>
      <c r="S814" s="15" t="n">
        <v>3</v>
      </c>
      <c r="T814" s="14">
        <f>IF(COUNT(I814:S814)=0,"",SUM(I814:S814))</f>
        <v/>
      </c>
      <c r="U814" t="inlineStr"/>
    </row>
    <row r="815">
      <c r="A815" t="inlineStr">
        <is>
          <t>단비어린이집</t>
        </is>
      </c>
      <c r="B815" t="inlineStr">
        <is>
          <t>어린이집</t>
        </is>
      </c>
      <c r="C815" t="inlineStr">
        <is>
          <t>사회복지법인</t>
        </is>
      </c>
      <c r="D815" t="inlineStr">
        <is>
          <t>사하구</t>
        </is>
      </c>
      <c r="E815" t="inlineStr">
        <is>
          <t>부산광역시 사하구 비봉로 58 (신평동)</t>
        </is>
      </c>
      <c r="F815" t="inlineStr"/>
      <c r="G815" t="inlineStr">
        <is>
          <t>051-203-1218</t>
        </is>
      </c>
      <c r="H815" s="15" t="n">
        <v>75</v>
      </c>
      <c r="I815" s="15" t="n">
        <v>10</v>
      </c>
      <c r="J815" s="15" t="n">
        <v>19</v>
      </c>
      <c r="K815" s="15" t="n">
        <v>12</v>
      </c>
      <c r="L815" s="15" t="n">
        <v>0</v>
      </c>
      <c r="M815" s="15" t="n">
        <v>0</v>
      </c>
      <c r="N815" s="15" t="n">
        <v>0</v>
      </c>
      <c r="O815" s="15" t="n">
        <v>0</v>
      </c>
      <c r="P815" s="15" t="n">
        <v>0</v>
      </c>
      <c r="Q815" s="15" t="n">
        <v>0</v>
      </c>
      <c r="R815" s="15" t="n">
        <v>0</v>
      </c>
      <c r="S815" s="15" t="n">
        <v>9</v>
      </c>
      <c r="T815" s="14">
        <f>IF(COUNT(I815:S815)=0,"",SUM(I815:S815))</f>
        <v/>
      </c>
      <c r="U815" t="inlineStr"/>
    </row>
    <row r="816">
      <c r="A816" t="inlineStr">
        <is>
          <t>도치와둘리어린이집</t>
        </is>
      </c>
      <c r="B816" t="inlineStr">
        <is>
          <t>어린이집</t>
        </is>
      </c>
      <c r="C816" t="inlineStr">
        <is>
          <t>가정</t>
        </is>
      </c>
      <c r="D816" t="inlineStr">
        <is>
          <t>사하구</t>
        </is>
      </c>
      <c r="E816" t="inlineStr">
        <is>
          <t>부산광역시 사하구 비봉로 42 206동 102호(신평동, 한신)</t>
        </is>
      </c>
      <c r="F816" s="11" t="inlineStr">
        <is>
          <t>http://cafe.daum.net/dochiwadulli</t>
        </is>
      </c>
      <c r="G816" t="inlineStr">
        <is>
          <t>051-207-1482</t>
        </is>
      </c>
      <c r="H816" s="15" t="n">
        <v>20</v>
      </c>
      <c r="I816" s="15" t="n">
        <v>2</v>
      </c>
      <c r="J816" s="15" t="n">
        <v>1</v>
      </c>
      <c r="K816" s="15" t="n">
        <v>0</v>
      </c>
      <c r="L816" s="15" t="n">
        <v>0</v>
      </c>
      <c r="M816" s="15" t="n">
        <v>0</v>
      </c>
      <c r="N816" s="15" t="n">
        <v>0</v>
      </c>
      <c r="O816" s="15" t="n">
        <v>0</v>
      </c>
      <c r="P816" s="15" t="n">
        <v>0</v>
      </c>
      <c r="Q816" s="15" t="n">
        <v>0</v>
      </c>
      <c r="R816" s="15" t="n">
        <v>0</v>
      </c>
      <c r="S816" s="15" t="n">
        <v>3</v>
      </c>
      <c r="T816" s="14">
        <f>IF(COUNT(I816:S816)=0,"",SUM(I816:S816))</f>
        <v/>
      </c>
      <c r="U816" t="inlineStr"/>
    </row>
    <row r="817">
      <c r="A817" t="inlineStr">
        <is>
          <t>동백어린이집</t>
        </is>
      </c>
      <c r="B817" t="inlineStr">
        <is>
          <t>어린이집</t>
        </is>
      </c>
      <c r="C817" t="inlineStr">
        <is>
          <t>국공립</t>
        </is>
      </c>
      <c r="D817" t="inlineStr">
        <is>
          <t>사하구</t>
        </is>
      </c>
      <c r="E817" t="inlineStr">
        <is>
          <t>부산광역시 사하구 다대낙조2길 5 동백어린이집 (다대동)</t>
        </is>
      </c>
      <c r="F817" t="inlineStr"/>
      <c r="G817" t="inlineStr">
        <is>
          <t>051-265-9961</t>
        </is>
      </c>
      <c r="H817" s="15" t="n">
        <v>124</v>
      </c>
      <c r="I817" s="15" t="n">
        <v>5</v>
      </c>
      <c r="J817" s="15" t="n">
        <v>8</v>
      </c>
      <c r="K817" s="15" t="n">
        <v>11</v>
      </c>
      <c r="L817" s="15" t="n">
        <v>8</v>
      </c>
      <c r="M817" s="15" t="n">
        <v>0</v>
      </c>
      <c r="N817" s="15" t="n">
        <v>0</v>
      </c>
      <c r="O817" s="15" t="n">
        <v>0</v>
      </c>
      <c r="P817" s="15" t="n">
        <v>9</v>
      </c>
      <c r="Q817" s="15" t="n">
        <v>0</v>
      </c>
      <c r="R817" s="15" t="n">
        <v>0</v>
      </c>
      <c r="S817" s="15" t="n">
        <v>4</v>
      </c>
      <c r="T817" s="14">
        <f>IF(COUNT(I817:S817)=0,"",SUM(I817:S817))</f>
        <v/>
      </c>
      <c r="U817" t="inlineStr"/>
    </row>
    <row r="818">
      <c r="A818" t="inlineStr">
        <is>
          <t>동심어린이집</t>
        </is>
      </c>
      <c r="B818" t="inlineStr">
        <is>
          <t>어린이집</t>
        </is>
      </c>
      <c r="C818" t="inlineStr">
        <is>
          <t>민간</t>
        </is>
      </c>
      <c r="D818" t="inlineStr">
        <is>
          <t>사하구</t>
        </is>
      </c>
      <c r="E818" t="inlineStr">
        <is>
          <t>부산광역시 사하구 장평로301번길 11 1/1 (신평동)</t>
        </is>
      </c>
      <c r="F818" t="inlineStr"/>
      <c r="G818" t="inlineStr">
        <is>
          <t>051-207-9570</t>
        </is>
      </c>
      <c r="H818" s="15" t="n">
        <v>36</v>
      </c>
      <c r="I818" s="15" t="n">
        <v>1</v>
      </c>
      <c r="J818" s="15" t="n">
        <v>0</v>
      </c>
      <c r="K818" s="15" t="n">
        <v>0</v>
      </c>
      <c r="L818" s="15" t="n">
        <v>0</v>
      </c>
      <c r="M818" s="15" t="n">
        <v>0</v>
      </c>
      <c r="N818" s="15" t="n">
        <v>0</v>
      </c>
      <c r="O818" s="15" t="n">
        <v>5</v>
      </c>
      <c r="P818" s="15" t="n">
        <v>9</v>
      </c>
      <c r="Q818" s="15" t="n">
        <v>0</v>
      </c>
      <c r="R818" s="15" t="n">
        <v>0</v>
      </c>
      <c r="S818" s="15" t="n">
        <v>11</v>
      </c>
      <c r="T818" s="14">
        <f>IF(COUNT(I818:S818)=0,"",SUM(I818:S818))</f>
        <v/>
      </c>
      <c r="U818" t="inlineStr"/>
    </row>
    <row r="819">
      <c r="A819" t="inlineStr">
        <is>
          <t>동아대학교 직장어린이집</t>
        </is>
      </c>
      <c r="B819" t="inlineStr">
        <is>
          <t>어린이집</t>
        </is>
      </c>
      <c r="C819" t="inlineStr">
        <is>
          <t>직장</t>
        </is>
      </c>
      <c r="D819" t="inlineStr">
        <is>
          <t>사하구</t>
        </is>
      </c>
      <c r="E819" t="inlineStr">
        <is>
          <t>부산광역시 사하구 낙동대로550번길 37 한림생활관 승학2관 지하1층</t>
        </is>
      </c>
      <c r="F819" t="inlineStr"/>
      <c r="G819" t="inlineStr">
        <is>
          <t>051-200-5985</t>
        </is>
      </c>
      <c r="H819" s="15" t="n">
        <v>49</v>
      </c>
      <c r="I819" s="15" t="n">
        <v>0</v>
      </c>
      <c r="J819" s="15" t="n">
        <v>7</v>
      </c>
      <c r="K819" s="15" t="n">
        <v>6</v>
      </c>
      <c r="L819" s="15" t="n">
        <v>0</v>
      </c>
      <c r="M819" s="15" t="n">
        <v>0</v>
      </c>
      <c r="N819" s="15" t="n">
        <v>0</v>
      </c>
      <c r="O819" s="15" t="n">
        <v>2</v>
      </c>
      <c r="P819" s="15" t="n">
        <v>0</v>
      </c>
      <c r="Q819" s="15" t="n">
        <v>0</v>
      </c>
      <c r="R819" s="15" t="n">
        <v>0</v>
      </c>
      <c r="S819" s="15" t="n">
        <v>5</v>
      </c>
      <c r="T819" s="14">
        <f>IF(COUNT(I819:S819)=0,"",SUM(I819:S819))</f>
        <v/>
      </c>
      <c r="U819" t="inlineStr"/>
    </row>
    <row r="820">
      <c r="A820" t="inlineStr">
        <is>
          <t>동원누리어린이집</t>
        </is>
      </c>
      <c r="B820" t="inlineStr">
        <is>
          <t>어린이집</t>
        </is>
      </c>
      <c r="C820" t="inlineStr">
        <is>
          <t>민간</t>
        </is>
      </c>
      <c r="D820" t="inlineStr">
        <is>
          <t>사하구</t>
        </is>
      </c>
      <c r="E820" t="inlineStr">
        <is>
          <t>부산광역시 사하구 하신중앙로 2 122동 1호(장림동, 동원로얄듀크)</t>
        </is>
      </c>
      <c r="F820" t="inlineStr"/>
      <c r="G820" t="inlineStr">
        <is>
          <t>051-266-2368</t>
        </is>
      </c>
      <c r="H820" s="15" t="n">
        <v>39</v>
      </c>
      <c r="I820" s="15" t="n">
        <v>0</v>
      </c>
      <c r="J820" s="15" t="n">
        <v>0</v>
      </c>
      <c r="K820" s="15" t="n">
        <v>0</v>
      </c>
      <c r="L820" s="15" t="n">
        <v>2</v>
      </c>
      <c r="M820" s="15" t="n">
        <v>0</v>
      </c>
      <c r="N820" s="15" t="n">
        <v>0</v>
      </c>
      <c r="O820" s="15" t="n">
        <v>8</v>
      </c>
      <c r="P820" s="15" t="n">
        <v>0</v>
      </c>
      <c r="Q820" s="15" t="n">
        <v>0</v>
      </c>
      <c r="R820" s="15" t="n">
        <v>0</v>
      </c>
      <c r="S820" s="15" t="n">
        <v>7</v>
      </c>
      <c r="T820" s="14">
        <f>IF(COUNT(I820:S820)=0,"",SUM(I820:S820))</f>
        <v/>
      </c>
      <c r="U820" t="inlineStr"/>
    </row>
    <row r="821">
      <c r="A821" t="inlineStr">
        <is>
          <t>동주대학부설어린이집</t>
        </is>
      </c>
      <c r="B821" t="inlineStr">
        <is>
          <t>어린이집</t>
        </is>
      </c>
      <c r="C821" t="inlineStr">
        <is>
          <t>법인·단체등</t>
        </is>
      </c>
      <c r="D821" t="inlineStr">
        <is>
          <t>사하구</t>
        </is>
      </c>
      <c r="E821" t="inlineStr">
        <is>
          <t>부산광역시 사하구 낙동대로164번길 42 (괴정동)</t>
        </is>
      </c>
      <c r="F821" t="inlineStr"/>
      <c r="G821" t="inlineStr">
        <is>
          <t>051-200-3404</t>
        </is>
      </c>
      <c r="H821" s="15" t="n">
        <v>92</v>
      </c>
      <c r="I821" s="15" t="n">
        <v>8</v>
      </c>
      <c r="J821" s="15" t="n">
        <v>14</v>
      </c>
      <c r="K821" s="15" t="n">
        <v>14</v>
      </c>
      <c r="L821" s="15" t="n">
        <v>15</v>
      </c>
      <c r="M821" s="15" t="n">
        <v>14</v>
      </c>
      <c r="N821" s="15" t="n">
        <v>0</v>
      </c>
      <c r="O821" s="15" t="n">
        <v>0</v>
      </c>
      <c r="P821" s="15" t="n">
        <v>0</v>
      </c>
      <c r="Q821" s="15" t="n">
        <v>0</v>
      </c>
      <c r="R821" s="15" t="n">
        <v>0</v>
      </c>
      <c r="S821" s="15" t="n">
        <v>5</v>
      </c>
      <c r="T821" s="14">
        <f>IF(COUNT(I821:S821)=0,"",SUM(I821:S821))</f>
        <v/>
      </c>
      <c r="U821" t="inlineStr"/>
    </row>
    <row r="822">
      <c r="A822" t="inlineStr">
        <is>
          <t>롯데캐슬2단지어린이집</t>
        </is>
      </c>
      <c r="B822" t="inlineStr">
        <is>
          <t>어린이집</t>
        </is>
      </c>
      <c r="C822" t="inlineStr">
        <is>
          <t>국공립</t>
        </is>
      </c>
      <c r="D822" t="inlineStr">
        <is>
          <t>사하구</t>
        </is>
      </c>
      <c r="E822" t="inlineStr">
        <is>
          <t>부산광역시 사하구 다대낙조2길 100 부산광역시 사하구 다대 낙조2길 100번지</t>
        </is>
      </c>
      <c r="F822" t="inlineStr"/>
      <c r="G822" t="inlineStr">
        <is>
          <t>051-264-3322</t>
        </is>
      </c>
      <c r="H822" s="15" t="n">
        <v>27</v>
      </c>
      <c r="I822" s="15" t="n">
        <v>6</v>
      </c>
      <c r="J822" s="15" t="n">
        <v>0</v>
      </c>
      <c r="K822" s="15" t="n">
        <v>7</v>
      </c>
      <c r="L822" s="15" t="n">
        <v>0</v>
      </c>
      <c r="M822" s="15" t="n">
        <v>0</v>
      </c>
      <c r="N822" s="15" t="n">
        <v>0</v>
      </c>
      <c r="O822" s="15" t="n">
        <v>7</v>
      </c>
      <c r="P822" s="15" t="n">
        <v>0</v>
      </c>
      <c r="Q822" s="15" t="n">
        <v>0</v>
      </c>
      <c r="R822" s="15" t="n">
        <v>0</v>
      </c>
      <c r="S822" s="15" t="n">
        <v>5</v>
      </c>
      <c r="T822" s="14">
        <f>IF(COUNT(I822:S822)=0,"",SUM(I822:S822))</f>
        <v/>
      </c>
      <c r="U822" t="inlineStr"/>
    </row>
    <row r="823">
      <c r="A823" t="inlineStr">
        <is>
          <t>롯데캐슬3단지어린이집</t>
        </is>
      </c>
      <c r="B823" t="inlineStr">
        <is>
          <t>어린이집</t>
        </is>
      </c>
      <c r="C823" t="inlineStr">
        <is>
          <t>민간</t>
        </is>
      </c>
      <c r="D823" t="inlineStr">
        <is>
          <t>사하구</t>
        </is>
      </c>
      <c r="E823" t="inlineStr">
        <is>
          <t>부산광역시 사하구 다대낙조2길 100 311동 1층(다대동, 롯데캐슬몰운대)</t>
        </is>
      </c>
      <c r="F823" t="inlineStr"/>
      <c r="G823" t="inlineStr">
        <is>
          <t>051-985-0101</t>
        </is>
      </c>
      <c r="H823" s="15" t="n">
        <v>31</v>
      </c>
      <c r="I823" s="15" t="n">
        <v>0</v>
      </c>
      <c r="J823" s="15" t="n">
        <v>8</v>
      </c>
      <c r="K823" s="15" t="n">
        <v>0</v>
      </c>
      <c r="L823" s="15" t="n">
        <v>0</v>
      </c>
      <c r="M823" s="15" t="n">
        <v>0</v>
      </c>
      <c r="N823" s="15" t="n">
        <v>0</v>
      </c>
      <c r="O823" s="15" t="n">
        <v>9</v>
      </c>
      <c r="P823" s="15" t="n">
        <v>0</v>
      </c>
      <c r="Q823" s="15" t="n">
        <v>0</v>
      </c>
      <c r="R823" s="15" t="n">
        <v>0</v>
      </c>
      <c r="S823" s="15" t="n">
        <v>5</v>
      </c>
      <c r="T823" s="14">
        <f>IF(COUNT(I823:S823)=0,"",SUM(I823:S823))</f>
        <v/>
      </c>
      <c r="U823" t="inlineStr"/>
    </row>
    <row r="824">
      <c r="A824" t="inlineStr">
        <is>
          <t>롯데캐슬4단지 어린이집</t>
        </is>
      </c>
      <c r="B824" t="inlineStr">
        <is>
          <t>어린이집</t>
        </is>
      </c>
      <c r="C824" t="inlineStr">
        <is>
          <t>국공립</t>
        </is>
      </c>
      <c r="D824" t="inlineStr">
        <is>
          <t>사하구</t>
        </is>
      </c>
      <c r="E824" t="inlineStr">
        <is>
          <t>부산광역시 사하구 다대낙조2길 100 (다대동)</t>
        </is>
      </c>
      <c r="F824" s="11" t="inlineStr">
        <is>
          <t>http://www.cyworld.com/lotte265</t>
        </is>
      </c>
      <c r="G824" t="inlineStr">
        <is>
          <t>051-265-2552</t>
        </is>
      </c>
      <c r="H824" s="15" t="n">
        <v>24</v>
      </c>
      <c r="I824" s="15" t="n">
        <v>6</v>
      </c>
      <c r="J824" s="15" t="n">
        <v>6</v>
      </c>
      <c r="K824" s="15" t="n">
        <v>10</v>
      </c>
      <c r="L824" s="15" t="n">
        <v>0</v>
      </c>
      <c r="M824" s="15" t="n">
        <v>0</v>
      </c>
      <c r="N824" s="15" t="n">
        <v>0</v>
      </c>
      <c r="O824" s="15" t="n">
        <v>0</v>
      </c>
      <c r="P824" s="15" t="n">
        <v>0</v>
      </c>
      <c r="Q824" s="15" t="n">
        <v>0</v>
      </c>
      <c r="R824" s="15" t="n">
        <v>0</v>
      </c>
      <c r="S824" s="15" t="n">
        <v>5</v>
      </c>
      <c r="T824" s="14">
        <f>IF(COUNT(I824:S824)=0,"",SUM(I824:S824))</f>
        <v/>
      </c>
      <c r="U824" t="inlineStr"/>
    </row>
    <row r="825">
      <c r="A825" t="inlineStr">
        <is>
          <t>롯데캐슬블루어린이집</t>
        </is>
      </c>
      <c r="B825" t="inlineStr">
        <is>
          <t>어린이집</t>
        </is>
      </c>
      <c r="C825" t="inlineStr">
        <is>
          <t>국공립</t>
        </is>
      </c>
      <c r="D825" t="inlineStr">
        <is>
          <t>사하구</t>
        </is>
      </c>
      <c r="E825" t="inlineStr">
        <is>
          <t>부산광역시 사하구 다송로 23 106동 관리동 1층</t>
        </is>
      </c>
      <c r="F825" t="inlineStr"/>
      <c r="G825" t="inlineStr">
        <is>
          <t>051-266-8815</t>
        </is>
      </c>
      <c r="H825" s="15" t="n">
        <v>49</v>
      </c>
      <c r="I825" s="15" t="n">
        <v>6</v>
      </c>
      <c r="J825" s="15" t="n">
        <v>10</v>
      </c>
      <c r="K825" s="15" t="n">
        <v>7</v>
      </c>
      <c r="L825" s="15" t="n">
        <v>0</v>
      </c>
      <c r="M825" s="15" t="n">
        <v>0</v>
      </c>
      <c r="N825" s="15" t="n">
        <v>0</v>
      </c>
      <c r="O825" s="15" t="n">
        <v>0</v>
      </c>
      <c r="P825" s="15" t="n">
        <v>0</v>
      </c>
      <c r="Q825" s="15" t="n">
        <v>0</v>
      </c>
      <c r="R825" s="15" t="n">
        <v>0</v>
      </c>
      <c r="S825" s="15" t="n">
        <v>5</v>
      </c>
      <c r="T825" s="14">
        <f>IF(COUNT(I825:S825)=0,"",SUM(I825:S825))</f>
        <v/>
      </c>
      <c r="U825" t="inlineStr"/>
    </row>
    <row r="826">
      <c r="A826" t="inlineStr">
        <is>
          <t>몰운대행복한어린이집</t>
        </is>
      </c>
      <c r="B826" t="inlineStr">
        <is>
          <t>어린이집</t>
        </is>
      </c>
      <c r="C826" t="inlineStr">
        <is>
          <t>민간</t>
        </is>
      </c>
      <c r="D826" t="inlineStr">
        <is>
          <t>사하구</t>
        </is>
      </c>
      <c r="E826" t="inlineStr">
        <is>
          <t>부산광역시 사하구 다대낙조2길 215 몰운대행복한어린이집</t>
        </is>
      </c>
      <c r="F826" t="inlineStr"/>
      <c r="G826" t="inlineStr">
        <is>
          <t>051-262-0905</t>
        </is>
      </c>
      <c r="H826" s="15" t="n">
        <v>39</v>
      </c>
      <c r="I826" s="15" t="n">
        <v>2</v>
      </c>
      <c r="J826" s="15" t="n">
        <v>0</v>
      </c>
      <c r="K826" s="15" t="n">
        <v>0</v>
      </c>
      <c r="L826" s="15" t="n">
        <v>0</v>
      </c>
      <c r="M826" s="15" t="n">
        <v>0</v>
      </c>
      <c r="N826" s="15" t="n">
        <v>0</v>
      </c>
      <c r="O826" s="15" t="n">
        <v>5</v>
      </c>
      <c r="P826" s="15" t="n">
        <v>6</v>
      </c>
      <c r="Q826" s="15" t="n">
        <v>0</v>
      </c>
      <c r="R826" s="15" t="n">
        <v>0</v>
      </c>
      <c r="S826" s="15" t="n">
        <v>3</v>
      </c>
      <c r="T826" s="14">
        <f>IF(COUNT(I826:S826)=0,"",SUM(I826:S826))</f>
        <v/>
      </c>
      <c r="U826" t="inlineStr"/>
    </row>
    <row r="827">
      <c r="A827" t="inlineStr">
        <is>
          <t>무궁화어린이집</t>
        </is>
      </c>
      <c r="B827" t="inlineStr">
        <is>
          <t>어린이집</t>
        </is>
      </c>
      <c r="C827" t="inlineStr">
        <is>
          <t>민간</t>
        </is>
      </c>
      <c r="D827" t="inlineStr">
        <is>
          <t>사하구</t>
        </is>
      </c>
      <c r="E827" t="inlineStr">
        <is>
          <t>부산광역시 사하구 장평로292번길 3-10 (4통2반) (신평동)</t>
        </is>
      </c>
      <c r="F827" s="11" t="inlineStr">
        <is>
          <t>https://blog.naver.com/mgh7817</t>
        </is>
      </c>
      <c r="G827" t="inlineStr">
        <is>
          <t>051-291-7817</t>
        </is>
      </c>
      <c r="H827" s="15" t="n">
        <v>65</v>
      </c>
      <c r="I827" s="15" t="n">
        <v>3</v>
      </c>
      <c r="J827" s="15" t="n">
        <v>3</v>
      </c>
      <c r="K827" s="15" t="n">
        <v>12</v>
      </c>
      <c r="L827" s="15" t="n">
        <v>0</v>
      </c>
      <c r="M827" s="15" t="n">
        <v>0</v>
      </c>
      <c r="N827" s="15" t="n">
        <v>0</v>
      </c>
      <c r="O827" s="15" t="n">
        <v>4</v>
      </c>
      <c r="P827" s="15" t="n">
        <v>20</v>
      </c>
      <c r="Q827" s="15" t="n">
        <v>0</v>
      </c>
      <c r="R827" s="15" t="n">
        <v>0</v>
      </c>
      <c r="S827" s="15" t="n">
        <v>16</v>
      </c>
      <c r="T827" s="14">
        <f>IF(COUNT(I827:S827)=0,"",SUM(I827:S827))</f>
        <v/>
      </c>
      <c r="U827" t="inlineStr"/>
    </row>
    <row r="828">
      <c r="A828" t="inlineStr">
        <is>
          <t>별초롱어린이집</t>
        </is>
      </c>
      <c r="B828" t="inlineStr">
        <is>
          <t>어린이집</t>
        </is>
      </c>
      <c r="C828" t="inlineStr">
        <is>
          <t>가정</t>
        </is>
      </c>
      <c r="D828" t="inlineStr">
        <is>
          <t>사하구</t>
        </is>
      </c>
      <c r="E828" t="inlineStr">
        <is>
          <t>부산광역시 사하구 다대낙조2길 100 (다대동)롯데캐슬몰운대아파트 204동 104호</t>
        </is>
      </c>
      <c r="F828" t="inlineStr"/>
      <c r="G828" t="inlineStr">
        <is>
          <t>051-262-7458</t>
        </is>
      </c>
      <c r="H828" s="15" t="n">
        <v>19</v>
      </c>
      <c r="I828" s="15" t="n">
        <v>2</v>
      </c>
      <c r="J828" s="15" t="n">
        <v>5</v>
      </c>
      <c r="K828" s="15" t="n">
        <v>4</v>
      </c>
      <c r="L828" s="15" t="n">
        <v>0</v>
      </c>
      <c r="M828" s="15" t="n">
        <v>0</v>
      </c>
      <c r="N828" s="15" t="n">
        <v>0</v>
      </c>
      <c r="O828" s="15" t="n">
        <v>0</v>
      </c>
      <c r="P828" s="15" t="n">
        <v>0</v>
      </c>
      <c r="Q828" s="15" t="n">
        <v>0</v>
      </c>
      <c r="R828" s="15" t="n">
        <v>0</v>
      </c>
      <c r="S828" s="15" t="n">
        <v>7</v>
      </c>
      <c r="T828" s="14">
        <f>IF(COUNT(I828:S828)=0,"",SUM(I828:S828))</f>
        <v/>
      </c>
      <c r="U828" t="inlineStr"/>
    </row>
    <row r="829">
      <c r="A829" t="inlineStr">
        <is>
          <t>보리어린이집</t>
        </is>
      </c>
      <c r="B829" t="inlineStr">
        <is>
          <t>어린이집</t>
        </is>
      </c>
      <c r="C829" t="inlineStr">
        <is>
          <t>가정</t>
        </is>
      </c>
      <c r="D829" t="inlineStr">
        <is>
          <t>사하구</t>
        </is>
      </c>
      <c r="E829" t="inlineStr">
        <is>
          <t>부산광역시 사하구 제석로 160 103동 105호(당리동, 동원베네스트아파트)</t>
        </is>
      </c>
      <c r="F829" s="11" t="inlineStr">
        <is>
          <t>http:////blog.naver.com/bori2910858</t>
        </is>
      </c>
      <c r="G829" t="inlineStr">
        <is>
          <t>051-291-0858</t>
        </is>
      </c>
      <c r="H829" s="15" t="n">
        <v>19</v>
      </c>
      <c r="I829" s="15" t="n">
        <v>0</v>
      </c>
      <c r="J829" s="15" t="n">
        <v>0</v>
      </c>
      <c r="K829" s="15" t="n">
        <v>7</v>
      </c>
      <c r="L829" s="15" t="n">
        <v>0</v>
      </c>
      <c r="M829" s="15" t="n">
        <v>0</v>
      </c>
      <c r="N829" s="15" t="n">
        <v>0</v>
      </c>
      <c r="O829" s="15" t="n">
        <v>5</v>
      </c>
      <c r="P829" s="15" t="n">
        <v>0</v>
      </c>
      <c r="Q829" s="15" t="n">
        <v>0</v>
      </c>
      <c r="R829" s="15" t="n">
        <v>0</v>
      </c>
      <c r="S829" s="15" t="n">
        <v>5</v>
      </c>
      <c r="T829" s="14">
        <f>IF(COUNT(I829:S829)=0,"",SUM(I829:S829))</f>
        <v/>
      </c>
      <c r="U829" t="inlineStr"/>
    </row>
    <row r="830">
      <c r="A830" t="inlineStr">
        <is>
          <t>봉우리어린이집</t>
        </is>
      </c>
      <c r="B830" t="inlineStr">
        <is>
          <t>어린이집</t>
        </is>
      </c>
      <c r="C830" t="inlineStr">
        <is>
          <t>민간</t>
        </is>
      </c>
      <c r="D830" t="inlineStr">
        <is>
          <t>사하구</t>
        </is>
      </c>
      <c r="E830" t="inlineStr">
        <is>
          <t>부산광역시 사하구 신산북로43번길 55</t>
        </is>
      </c>
      <c r="F830" t="inlineStr"/>
      <c r="G830" t="inlineStr">
        <is>
          <t>051-205-2505</t>
        </is>
      </c>
      <c r="H830" s="15" t="n">
        <v>39</v>
      </c>
      <c r="I830" s="15" t="n">
        <v>2</v>
      </c>
      <c r="J830" s="15" t="n">
        <v>4</v>
      </c>
      <c r="K830" s="15" t="n">
        <v>10</v>
      </c>
      <c r="L830" s="15" t="n">
        <v>0</v>
      </c>
      <c r="M830" s="15" t="n">
        <v>0</v>
      </c>
      <c r="N830" s="15" t="n">
        <v>0</v>
      </c>
      <c r="O830" s="15" t="n">
        <v>0</v>
      </c>
      <c r="P830" s="15" t="n">
        <v>0</v>
      </c>
      <c r="Q830" s="15" t="n">
        <v>0</v>
      </c>
      <c r="R830" s="15" t="n">
        <v>0</v>
      </c>
      <c r="S830" s="15" t="n">
        <v>3</v>
      </c>
      <c r="T830" s="14">
        <f>IF(COUNT(I830:S830)=0,"",SUM(I830:S830))</f>
        <v/>
      </c>
      <c r="U830" t="inlineStr"/>
    </row>
    <row r="831">
      <c r="A831" t="inlineStr">
        <is>
          <t>빛나라어린이집</t>
        </is>
      </c>
      <c r="B831" t="inlineStr">
        <is>
          <t>어린이집</t>
        </is>
      </c>
      <c r="C831" t="inlineStr">
        <is>
          <t>민간</t>
        </is>
      </c>
      <c r="D831" t="inlineStr">
        <is>
          <t>사하구</t>
        </is>
      </c>
      <c r="E831" t="inlineStr">
        <is>
          <t>부산광역시 사하구 장림시장5길 155 (장림동)</t>
        </is>
      </c>
      <c r="F831" s="11" t="inlineStr">
        <is>
          <t>https://blog.naver.com/yalee9051</t>
        </is>
      </c>
      <c r="G831" t="inlineStr">
        <is>
          <t>051-263-5289</t>
        </is>
      </c>
      <c r="H831" s="15" t="n">
        <v>35</v>
      </c>
      <c r="I831" s="15" t="n">
        <v>3</v>
      </c>
      <c r="J831" s="15" t="n">
        <v>9</v>
      </c>
      <c r="K831" s="15" t="n">
        <v>14</v>
      </c>
      <c r="L831" s="15" t="n">
        <v>0</v>
      </c>
      <c r="M831" s="15" t="n">
        <v>0</v>
      </c>
      <c r="N831" s="15" t="n">
        <v>0</v>
      </c>
      <c r="O831" s="15" t="n">
        <v>0</v>
      </c>
      <c r="P831" s="15" t="n">
        <v>0</v>
      </c>
      <c r="Q831" s="15" t="n">
        <v>0</v>
      </c>
      <c r="R831" s="15" t="n">
        <v>0</v>
      </c>
      <c r="S831" s="15" t="n">
        <v>8</v>
      </c>
      <c r="T831" s="14">
        <f>IF(COUNT(I831:S831)=0,"",SUM(I831:S831))</f>
        <v/>
      </c>
      <c r="U831" t="inlineStr"/>
    </row>
    <row r="832">
      <c r="A832" t="inlineStr">
        <is>
          <t>사랑뜰어린이집</t>
        </is>
      </c>
      <c r="B832" t="inlineStr">
        <is>
          <t>어린이집</t>
        </is>
      </c>
      <c r="C832" t="inlineStr">
        <is>
          <t>가정</t>
        </is>
      </c>
      <c r="D832" t="inlineStr">
        <is>
          <t>사하구</t>
        </is>
      </c>
      <c r="E832" t="inlineStr">
        <is>
          <t>부산광역시 사하구 하신번영로 365 114-107(하단동, 가락타운1단지)</t>
        </is>
      </c>
      <c r="F832" t="inlineStr"/>
      <c r="G832" t="inlineStr">
        <is>
          <t>051-207-2608</t>
        </is>
      </c>
      <c r="H832" s="15" t="n">
        <v>19</v>
      </c>
      <c r="I832" s="15" t="n">
        <v>5</v>
      </c>
      <c r="J832" s="15" t="n">
        <v>4</v>
      </c>
      <c r="K832" s="15" t="n">
        <v>6</v>
      </c>
      <c r="L832" s="15" t="n">
        <v>0</v>
      </c>
      <c r="M832" s="15" t="n">
        <v>0</v>
      </c>
      <c r="N832" s="15" t="n">
        <v>0</v>
      </c>
      <c r="O832" s="15" t="n">
        <v>0</v>
      </c>
      <c r="P832" s="15" t="n">
        <v>0</v>
      </c>
      <c r="Q832" s="15" t="n">
        <v>0</v>
      </c>
      <c r="R832" s="15" t="n">
        <v>0</v>
      </c>
      <c r="S832" s="15" t="n">
        <v>8</v>
      </c>
      <c r="T832" s="14">
        <f>IF(COUNT(I832:S832)=0,"",SUM(I832:S832))</f>
        <v/>
      </c>
      <c r="U832" t="inlineStr"/>
    </row>
    <row r="833">
      <c r="A833" t="inlineStr">
        <is>
          <t>사랑샘어린이집</t>
        </is>
      </c>
      <c r="B833" t="inlineStr">
        <is>
          <t>어린이집</t>
        </is>
      </c>
      <c r="C833" t="inlineStr">
        <is>
          <t>민간</t>
        </is>
      </c>
      <c r="D833" t="inlineStr">
        <is>
          <t>사하구</t>
        </is>
      </c>
      <c r="E833" t="inlineStr">
        <is>
          <t>부산광역시 사하구 하신번영로177번길 6 (신평동)</t>
        </is>
      </c>
      <c r="F833" t="inlineStr"/>
      <c r="G833" t="inlineStr">
        <is>
          <t>051-293-6777</t>
        </is>
      </c>
      <c r="H833" s="15" t="n">
        <v>55</v>
      </c>
      <c r="I833" s="15" t="n">
        <v>4</v>
      </c>
      <c r="J833" s="15" t="n">
        <v>3</v>
      </c>
      <c r="K833" s="15" t="n">
        <v>4</v>
      </c>
      <c r="L833" s="15" t="n">
        <v>0</v>
      </c>
      <c r="M833" s="15" t="n">
        <v>0</v>
      </c>
      <c r="N833" s="15" t="n">
        <v>0</v>
      </c>
      <c r="O833" s="15" t="n">
        <v>5</v>
      </c>
      <c r="P833" s="15" t="n">
        <v>12</v>
      </c>
      <c r="Q833" s="15" t="n">
        <v>0</v>
      </c>
      <c r="R833" s="15" t="n">
        <v>0</v>
      </c>
      <c r="S833" s="15" t="n">
        <v>21</v>
      </c>
      <c r="T833" s="14">
        <f>IF(COUNT(I833:S833)=0,"",SUM(I833:S833))</f>
        <v/>
      </c>
      <c r="U833" t="inlineStr"/>
    </row>
    <row r="834">
      <c r="A834" t="inlineStr">
        <is>
          <t>사하경찰서어린이집</t>
        </is>
      </c>
      <c r="B834" t="inlineStr">
        <is>
          <t>어린이집</t>
        </is>
      </c>
      <c r="C834" t="inlineStr">
        <is>
          <t>직장</t>
        </is>
      </c>
      <c r="D834" t="inlineStr">
        <is>
          <t>사하구</t>
        </is>
      </c>
      <c r="E834" t="inlineStr">
        <is>
          <t>부산광역시 사하구 을숙도대로 665 (신평동)</t>
        </is>
      </c>
      <c r="F834" t="inlineStr"/>
      <c r="G834" t="inlineStr">
        <is>
          <t>051-203-7898</t>
        </is>
      </c>
      <c r="H834" s="15" t="n">
        <v>60</v>
      </c>
      <c r="I834" s="15" t="n">
        <v>3</v>
      </c>
      <c r="J834" s="15" t="n">
        <v>6</v>
      </c>
      <c r="K834" s="15" t="n">
        <v>6</v>
      </c>
      <c r="L834" s="15" t="n">
        <v>4</v>
      </c>
      <c r="M834" s="15" t="n">
        <v>0</v>
      </c>
      <c r="N834" s="15" t="n">
        <v>0</v>
      </c>
      <c r="O834" s="15" t="n">
        <v>0</v>
      </c>
      <c r="P834" s="15" t="n">
        <v>3</v>
      </c>
      <c r="Q834" s="15" t="n">
        <v>0</v>
      </c>
      <c r="R834" s="15" t="n">
        <v>0</v>
      </c>
      <c r="S834" s="15" t="n">
        <v>0</v>
      </c>
      <c r="T834" s="14">
        <f>IF(COUNT(I834:S834)=0,"",SUM(I834:S834))</f>
        <v/>
      </c>
      <c r="U834" t="inlineStr"/>
    </row>
    <row r="835">
      <c r="A835" t="inlineStr">
        <is>
          <t>사하뷰웰어린이집</t>
        </is>
      </c>
      <c r="B835" t="inlineStr">
        <is>
          <t>어린이집</t>
        </is>
      </c>
      <c r="C835" t="inlineStr">
        <is>
          <t>국공립</t>
        </is>
      </c>
      <c r="D835" t="inlineStr">
        <is>
          <t>사하구</t>
        </is>
      </c>
      <c r="E835" t="inlineStr">
        <is>
          <t>부산광역시 사하구 신산북로43번길 59</t>
        </is>
      </c>
      <c r="F835" t="inlineStr"/>
      <c r="G835" t="inlineStr">
        <is>
          <t>051-294-8033</t>
        </is>
      </c>
      <c r="H835" s="15" t="n">
        <v>58</v>
      </c>
      <c r="I835" s="15" t="n">
        <v>12</v>
      </c>
      <c r="J835" s="15" t="n">
        <v>13</v>
      </c>
      <c r="K835" s="15" t="n">
        <v>21</v>
      </c>
      <c r="L835" s="15" t="n">
        <v>0</v>
      </c>
      <c r="M835" s="15" t="n">
        <v>0</v>
      </c>
      <c r="N835" s="15" t="n">
        <v>0</v>
      </c>
      <c r="O835" s="15" t="n">
        <v>0</v>
      </c>
      <c r="P835" s="15" t="n">
        <v>0</v>
      </c>
      <c r="Q835" s="15" t="n">
        <v>0</v>
      </c>
      <c r="R835" s="15" t="n">
        <v>0</v>
      </c>
      <c r="S835" s="15" t="n">
        <v>10</v>
      </c>
      <c r="T835" s="14">
        <f>IF(COUNT(I835:S835)=0,"",SUM(I835:S835))</f>
        <v/>
      </c>
      <c r="U835" t="inlineStr"/>
    </row>
    <row r="836">
      <c r="A836" t="inlineStr">
        <is>
          <t>사하역 비스타동원어린이집</t>
        </is>
      </c>
      <c r="B836" t="inlineStr">
        <is>
          <t>어린이집</t>
        </is>
      </c>
      <c r="C836" t="inlineStr">
        <is>
          <t>국공립</t>
        </is>
      </c>
      <c r="D836" t="inlineStr">
        <is>
          <t>사하구</t>
        </is>
      </c>
      <c r="E836" t="inlineStr">
        <is>
          <t>부산광역시 사하구 낙동대로 280</t>
        </is>
      </c>
      <c r="F836" t="inlineStr"/>
      <c r="G836" t="inlineStr">
        <is>
          <t>051-291-2220</t>
        </is>
      </c>
      <c r="H836" s="15" t="n">
        <v>36</v>
      </c>
      <c r="I836" s="15" t="n">
        <v>0</v>
      </c>
      <c r="J836" s="15" t="n">
        <v>11</v>
      </c>
      <c r="K836" s="15" t="n">
        <v>11</v>
      </c>
      <c r="L836" s="15" t="n">
        <v>0</v>
      </c>
      <c r="M836" s="15" t="n">
        <v>0</v>
      </c>
      <c r="N836" s="15" t="n">
        <v>0</v>
      </c>
      <c r="O836" s="15" t="n">
        <v>9</v>
      </c>
      <c r="P836" s="15" t="n">
        <v>0</v>
      </c>
      <c r="Q836" s="15" t="n">
        <v>0</v>
      </c>
      <c r="R836" s="15" t="n">
        <v>0</v>
      </c>
      <c r="S836" s="15" t="n">
        <v>10</v>
      </c>
      <c r="T836" s="14">
        <f>IF(COUNT(I836:S836)=0,"",SUM(I836:S836))</f>
        <v/>
      </c>
      <c r="U836" t="inlineStr"/>
    </row>
    <row r="837">
      <c r="A837" t="inlineStr">
        <is>
          <t>사하제니스어린이집</t>
        </is>
      </c>
      <c r="B837" t="inlineStr">
        <is>
          <t>어린이집</t>
        </is>
      </c>
      <c r="C837" t="inlineStr">
        <is>
          <t>국공립</t>
        </is>
      </c>
      <c r="D837" t="inlineStr">
        <is>
          <t>사하구</t>
        </is>
      </c>
      <c r="E837" t="inlineStr">
        <is>
          <t>부산광역시 사하구 장림로 199</t>
        </is>
      </c>
      <c r="F837" t="inlineStr"/>
      <c r="G837" t="inlineStr">
        <is>
          <t>051-265-1008</t>
        </is>
      </c>
      <c r="H837" s="15" t="n">
        <v>62</v>
      </c>
      <c r="I837" s="15" t="n">
        <v>14</v>
      </c>
      <c r="J837" s="15" t="n">
        <v>27</v>
      </c>
      <c r="K837" s="15" t="n">
        <v>20</v>
      </c>
      <c r="L837" s="15" t="n">
        <v>0</v>
      </c>
      <c r="M837" s="15" t="n">
        <v>0</v>
      </c>
      <c r="N837" s="15" t="n">
        <v>0</v>
      </c>
      <c r="O837" s="15" t="n">
        <v>0</v>
      </c>
      <c r="P837" s="15" t="n">
        <v>0</v>
      </c>
      <c r="Q837" s="15" t="n">
        <v>0</v>
      </c>
      <c r="R837" s="15" t="n">
        <v>0</v>
      </c>
      <c r="S837" s="15" t="n">
        <v>10</v>
      </c>
      <c r="T837" s="14">
        <f>IF(COUNT(I837:S837)=0,"",SUM(I837:S837))</f>
        <v/>
      </c>
      <c r="U837" t="inlineStr"/>
    </row>
    <row r="838">
      <c r="A838" t="inlineStr">
        <is>
          <t>사하중흥S클래스어린이집</t>
        </is>
      </c>
      <c r="B838" t="inlineStr">
        <is>
          <t>어린이집</t>
        </is>
      </c>
      <c r="C838" t="inlineStr">
        <is>
          <t>국공립</t>
        </is>
      </c>
      <c r="D838" t="inlineStr">
        <is>
          <t>사하구</t>
        </is>
      </c>
      <c r="E838" t="inlineStr">
        <is>
          <t>부산광역시 사하구 서포로30번길 42</t>
        </is>
      </c>
      <c r="F838" t="inlineStr"/>
      <c r="G838" t="inlineStr">
        <is>
          <t>051-291-4749</t>
        </is>
      </c>
      <c r="H838" s="15" t="n">
        <v>52</v>
      </c>
      <c r="I838" s="15" t="n">
        <v>12</v>
      </c>
      <c r="J838" s="15" t="n">
        <v>21</v>
      </c>
      <c r="K838" s="15" t="n">
        <v>15</v>
      </c>
      <c r="L838" s="15" t="n">
        <v>0</v>
      </c>
      <c r="M838" s="15" t="n">
        <v>0</v>
      </c>
      <c r="N838" s="15" t="n">
        <v>0</v>
      </c>
      <c r="O838" s="15" t="n">
        <v>0</v>
      </c>
      <c r="P838" s="15" t="n">
        <v>0</v>
      </c>
      <c r="Q838" s="15" t="n">
        <v>0</v>
      </c>
      <c r="R838" s="15" t="n">
        <v>0</v>
      </c>
      <c r="S838" s="15" t="n">
        <v>10</v>
      </c>
      <c r="T838" s="14">
        <f>IF(COUNT(I838:S838)=0,"",SUM(I838:S838))</f>
        <v/>
      </c>
      <c r="U838" t="inlineStr"/>
    </row>
    <row r="839">
      <c r="A839" t="inlineStr">
        <is>
          <t>사하코오롱하늘채어린이집</t>
        </is>
      </c>
      <c r="B839" t="inlineStr">
        <is>
          <t>어린이집</t>
        </is>
      </c>
      <c r="C839" t="inlineStr">
        <is>
          <t>국공립</t>
        </is>
      </c>
      <c r="D839" t="inlineStr">
        <is>
          <t>사하구</t>
        </is>
      </c>
      <c r="E839" t="inlineStr">
        <is>
          <t>부산광역시 사하구 신산북로 41</t>
        </is>
      </c>
      <c r="F839" t="inlineStr"/>
      <c r="G839" t="inlineStr">
        <is>
          <t>051-265-9473</t>
        </is>
      </c>
      <c r="H839" s="15" t="n">
        <v>76</v>
      </c>
      <c r="I839" s="15" t="n">
        <v>6</v>
      </c>
      <c r="J839" s="15" t="n">
        <v>15</v>
      </c>
      <c r="K839" s="15" t="n">
        <v>16</v>
      </c>
      <c r="L839" s="15" t="n">
        <v>0</v>
      </c>
      <c r="M839" s="15" t="n">
        <v>0</v>
      </c>
      <c r="N839" s="15" t="n">
        <v>0</v>
      </c>
      <c r="O839" s="15" t="n">
        <v>13</v>
      </c>
      <c r="P839" s="15" t="n">
        <v>10</v>
      </c>
      <c r="Q839" s="15" t="n">
        <v>0</v>
      </c>
      <c r="R839" s="15" t="n">
        <v>0</v>
      </c>
      <c r="S839" s="15" t="n">
        <v>10</v>
      </c>
      <c r="T839" s="14">
        <f>IF(COUNT(I839:S839)=0,"",SUM(I839:S839))</f>
        <v/>
      </c>
      <c r="U839" t="inlineStr"/>
    </row>
    <row r="840">
      <c r="A840" t="inlineStr">
        <is>
          <t>산새소리어린이집</t>
        </is>
      </c>
      <c r="B840" t="inlineStr">
        <is>
          <t>어린이집</t>
        </is>
      </c>
      <c r="C840" t="inlineStr">
        <is>
          <t>민간</t>
        </is>
      </c>
      <c r="D840" t="inlineStr">
        <is>
          <t>사하구</t>
        </is>
      </c>
      <c r="E840" t="inlineStr">
        <is>
          <t>부산광역시 사하구 하신번영로207번길 10 (하단동)</t>
        </is>
      </c>
      <c r="F840" s="11" t="inlineStr">
        <is>
          <t>http://hnkids.co.kr</t>
        </is>
      </c>
      <c r="G840" t="inlineStr">
        <is>
          <t>051-293-5014</t>
        </is>
      </c>
      <c r="H840" s="15" t="n">
        <v>92</v>
      </c>
      <c r="I840" s="15" t="n">
        <v>12</v>
      </c>
      <c r="J840" s="15" t="n">
        <v>17</v>
      </c>
      <c r="K840" s="15" t="n">
        <v>21</v>
      </c>
      <c r="L840" s="15" t="n">
        <v>14</v>
      </c>
      <c r="M840" s="15" t="n">
        <v>0</v>
      </c>
      <c r="N840" s="15" t="n">
        <v>0</v>
      </c>
      <c r="O840" s="15" t="n">
        <v>0</v>
      </c>
      <c r="P840" s="15" t="n">
        <v>0</v>
      </c>
      <c r="Q840" s="15" t="n">
        <v>0</v>
      </c>
      <c r="R840" s="15" t="n">
        <v>0</v>
      </c>
      <c r="S840" s="15" t="n">
        <v>12</v>
      </c>
      <c r="T840" s="14">
        <f>IF(COUNT(I840:S840)=0,"",SUM(I840:S840))</f>
        <v/>
      </c>
      <c r="U840" t="inlineStr"/>
    </row>
    <row r="841">
      <c r="A841" t="inlineStr">
        <is>
          <t>상지어린이집</t>
        </is>
      </c>
      <c r="B841" t="inlineStr">
        <is>
          <t>어린이집</t>
        </is>
      </c>
      <c r="C841" t="inlineStr">
        <is>
          <t>민간</t>
        </is>
      </c>
      <c r="D841" t="inlineStr">
        <is>
          <t>사하구</t>
        </is>
      </c>
      <c r="E841" t="inlineStr">
        <is>
          <t>부산광역시 사하구 장림시장5길 256 (장림동)</t>
        </is>
      </c>
      <c r="F841" s="11" t="inlineStr">
        <is>
          <t>http://o1004.net</t>
        </is>
      </c>
      <c r="G841" t="inlineStr">
        <is>
          <t>051-265-8278</t>
        </is>
      </c>
      <c r="H841" s="15" t="n">
        <v>49</v>
      </c>
      <c r="I841" s="15" t="n">
        <v>7</v>
      </c>
      <c r="J841" s="15" t="n">
        <v>10</v>
      </c>
      <c r="K841" s="15" t="n">
        <v>14</v>
      </c>
      <c r="L841" s="15" t="n">
        <v>0</v>
      </c>
      <c r="M841" s="15" t="n">
        <v>0</v>
      </c>
      <c r="N841" s="15" t="n">
        <v>0</v>
      </c>
      <c r="O841" s="15" t="n">
        <v>0</v>
      </c>
      <c r="P841" s="15" t="n">
        <v>0</v>
      </c>
      <c r="Q841" s="15" t="n">
        <v>0</v>
      </c>
      <c r="R841" s="15" t="n">
        <v>0</v>
      </c>
      <c r="S841" s="15" t="n">
        <v>7</v>
      </c>
      <c r="T841" s="14">
        <f>IF(COUNT(I841:S841)=0,"",SUM(I841:S841))</f>
        <v/>
      </c>
      <c r="U841" t="inlineStr"/>
    </row>
    <row r="842">
      <c r="A842" t="inlineStr">
        <is>
          <t>새봄어린이집</t>
        </is>
      </c>
      <c r="B842" t="inlineStr">
        <is>
          <t>어린이집</t>
        </is>
      </c>
      <c r="C842" t="inlineStr">
        <is>
          <t>민간</t>
        </is>
      </c>
      <c r="D842" t="inlineStr">
        <is>
          <t>사하구</t>
        </is>
      </c>
      <c r="E842" t="inlineStr">
        <is>
          <t>부산광역시 사하구 두송로 68 (장림동, 삼경제일아파트 상가1층)</t>
        </is>
      </c>
      <c r="F842" t="inlineStr"/>
      <c r="G842" t="inlineStr">
        <is>
          <t>051-266-8484</t>
        </is>
      </c>
      <c r="H842" s="15" t="n">
        <v>39</v>
      </c>
      <c r="I842" s="15" t="n">
        <v>0</v>
      </c>
      <c r="J842" s="15" t="n">
        <v>0</v>
      </c>
      <c r="K842" s="15" t="n">
        <v>4</v>
      </c>
      <c r="L842" s="15" t="n">
        <v>0</v>
      </c>
      <c r="M842" s="15" t="n">
        <v>0</v>
      </c>
      <c r="N842" s="15" t="n">
        <v>0</v>
      </c>
      <c r="O842" s="15" t="n">
        <v>5</v>
      </c>
      <c r="P842" s="15" t="n">
        <v>0</v>
      </c>
      <c r="Q842" s="15" t="n">
        <v>0</v>
      </c>
      <c r="R842" s="15" t="n">
        <v>0</v>
      </c>
      <c r="S842" s="15" t="n">
        <v>5</v>
      </c>
      <c r="T842" s="14">
        <f>IF(COUNT(I842:S842)=0,"",SUM(I842:S842))</f>
        <v/>
      </c>
      <c r="U842" t="inlineStr"/>
    </row>
    <row r="843">
      <c r="A843" t="inlineStr">
        <is>
          <t>샘물어린이집</t>
        </is>
      </c>
      <c r="B843" t="inlineStr">
        <is>
          <t>어린이집</t>
        </is>
      </c>
      <c r="C843" t="inlineStr">
        <is>
          <t>법인·단체등</t>
        </is>
      </c>
      <c r="D843" t="inlineStr">
        <is>
          <t>사하구</t>
        </is>
      </c>
      <c r="E843" t="inlineStr">
        <is>
          <t>부산광역시 사하구 괴정로43번길 10 하단교회내 (하단동)</t>
        </is>
      </c>
      <c r="F843" s="11" t="inlineStr">
        <is>
          <t>http://toaanf2004@daum.net</t>
        </is>
      </c>
      <c r="G843" t="inlineStr">
        <is>
          <t>051-203-3924</t>
        </is>
      </c>
      <c r="H843" s="15" t="n">
        <v>82</v>
      </c>
      <c r="I843" s="15" t="n">
        <v>0</v>
      </c>
      <c r="J843" s="15" t="n">
        <v>5</v>
      </c>
      <c r="K843" s="15" t="n">
        <v>14</v>
      </c>
      <c r="L843" s="15" t="n">
        <v>5</v>
      </c>
      <c r="M843" s="15" t="n">
        <v>8</v>
      </c>
      <c r="N843" s="15" t="n">
        <v>11</v>
      </c>
      <c r="O843" s="15" t="n">
        <v>13</v>
      </c>
      <c r="P843" s="15" t="n">
        <v>0</v>
      </c>
      <c r="Q843" s="15" t="n">
        <v>0</v>
      </c>
      <c r="R843" s="15" t="n">
        <v>0</v>
      </c>
      <c r="S843" s="15" t="n">
        <v>5</v>
      </c>
      <c r="T843" s="14">
        <f>IF(COUNT(I843:S843)=0,"",SUM(I843:S843))</f>
        <v/>
      </c>
      <c r="U843" t="inlineStr"/>
    </row>
    <row r="844">
      <c r="A844" t="inlineStr">
        <is>
          <t>선민꿈어린이집</t>
        </is>
      </c>
      <c r="B844" t="inlineStr">
        <is>
          <t>어린이집</t>
        </is>
      </c>
      <c r="C844" t="inlineStr">
        <is>
          <t>민간</t>
        </is>
      </c>
      <c r="D844" t="inlineStr">
        <is>
          <t>사하구</t>
        </is>
      </c>
      <c r="E844" t="inlineStr">
        <is>
          <t>부산광역시 사하구 낙동대로309번길 31 (괴정동)</t>
        </is>
      </c>
      <c r="F844" s="11" t="inlineStr">
        <is>
          <t>https://blog.naver.com/hyunjoo790315</t>
        </is>
      </c>
      <c r="G844" t="inlineStr">
        <is>
          <t>051-206-9090</t>
        </is>
      </c>
      <c r="H844" s="15" t="n">
        <v>65</v>
      </c>
      <c r="I844" s="15" t="n">
        <v>11</v>
      </c>
      <c r="J844" s="15" t="n">
        <v>9</v>
      </c>
      <c r="K844" s="15" t="n">
        <v>7</v>
      </c>
      <c r="L844" s="15" t="n">
        <v>0</v>
      </c>
      <c r="M844" s="15" t="n">
        <v>0</v>
      </c>
      <c r="N844" s="15" t="n">
        <v>0</v>
      </c>
      <c r="O844" s="15" t="n">
        <v>5</v>
      </c>
      <c r="P844" s="15" t="n">
        <v>11</v>
      </c>
      <c r="Q844" s="15" t="n">
        <v>0</v>
      </c>
      <c r="R844" s="15" t="n">
        <v>0</v>
      </c>
      <c r="S844" s="15" t="n">
        <v>34</v>
      </c>
      <c r="T844" s="14">
        <f>IF(COUNT(I844:S844)=0,"",SUM(I844:S844))</f>
        <v/>
      </c>
      <c r="U844" t="inlineStr"/>
    </row>
    <row r="845">
      <c r="A845" t="inlineStr">
        <is>
          <t>성균관어린이집</t>
        </is>
      </c>
      <c r="B845" t="inlineStr">
        <is>
          <t>어린이집</t>
        </is>
      </c>
      <c r="C845" t="inlineStr">
        <is>
          <t>민간</t>
        </is>
      </c>
      <c r="D845" t="inlineStr">
        <is>
          <t>사하구</t>
        </is>
      </c>
      <c r="E845" t="inlineStr">
        <is>
          <t>부산광역시 사하구 윤공단로17번길 98 (다대동)</t>
        </is>
      </c>
      <c r="F845" s="11" t="inlineStr">
        <is>
          <t>https://www.instagram.com/skk_4112/</t>
        </is>
      </c>
      <c r="G845" t="inlineStr">
        <is>
          <t>051-262-2189</t>
        </is>
      </c>
      <c r="H845" s="15" t="n">
        <v>84</v>
      </c>
      <c r="I845" s="15" t="n">
        <v>3</v>
      </c>
      <c r="J845" s="15" t="n">
        <v>0</v>
      </c>
      <c r="K845" s="15" t="n">
        <v>13</v>
      </c>
      <c r="L845" s="15" t="n">
        <v>10</v>
      </c>
      <c r="M845" s="15" t="n">
        <v>9</v>
      </c>
      <c r="N845" s="15" t="n">
        <v>13</v>
      </c>
      <c r="O845" s="15" t="n">
        <v>3</v>
      </c>
      <c r="P845" s="15" t="n">
        <v>0</v>
      </c>
      <c r="Q845" s="15" t="n">
        <v>0</v>
      </c>
      <c r="R845" s="15" t="n">
        <v>0</v>
      </c>
      <c r="S845" s="15" t="n">
        <v>24</v>
      </c>
      <c r="T845" s="14">
        <f>IF(COUNT(I845:S845)=0,"",SUM(I845:S845))</f>
        <v/>
      </c>
      <c r="U845" t="inlineStr"/>
    </row>
    <row r="846">
      <c r="A846" t="inlineStr">
        <is>
          <t>세아꿈어린이집</t>
        </is>
      </c>
      <c r="B846" t="inlineStr">
        <is>
          <t>어린이집</t>
        </is>
      </c>
      <c r="C846" t="inlineStr">
        <is>
          <t>국공립</t>
        </is>
      </c>
      <c r="D846" t="inlineStr">
        <is>
          <t>사하구</t>
        </is>
      </c>
      <c r="E846" t="inlineStr">
        <is>
          <t>부산광역시 사하구 감천로73번길 66</t>
        </is>
      </c>
      <c r="F846" t="inlineStr"/>
      <c r="G846" t="inlineStr">
        <is>
          <t>051-204-8283</t>
        </is>
      </c>
      <c r="H846" s="15" t="n">
        <v>57</v>
      </c>
      <c r="I846" s="15" t="n">
        <v>0</v>
      </c>
      <c r="J846" s="15" t="n">
        <v>7</v>
      </c>
      <c r="K846" s="15" t="n">
        <v>6</v>
      </c>
      <c r="L846" s="15" t="n">
        <v>0</v>
      </c>
      <c r="M846" s="15" t="n">
        <v>0</v>
      </c>
      <c r="N846" s="15" t="n">
        <v>0</v>
      </c>
      <c r="O846" s="15" t="n">
        <v>2</v>
      </c>
      <c r="P846" s="15" t="n">
        <v>13</v>
      </c>
      <c r="Q846" s="15" t="n">
        <v>0</v>
      </c>
      <c r="R846" s="15" t="n">
        <v>2</v>
      </c>
      <c r="S846" s="15" t="n">
        <v>13</v>
      </c>
      <c r="T846" s="14">
        <f>IF(COUNT(I846:S846)=0,"",SUM(I846:S846))</f>
        <v/>
      </c>
      <c r="U846" t="inlineStr"/>
    </row>
    <row r="847">
      <c r="A847" t="inlineStr">
        <is>
          <t>아이숲어린이집</t>
        </is>
      </c>
      <c r="B847" t="inlineStr">
        <is>
          <t>어린이집</t>
        </is>
      </c>
      <c r="C847" t="inlineStr">
        <is>
          <t>민간</t>
        </is>
      </c>
      <c r="D847" t="inlineStr">
        <is>
          <t>사하구</t>
        </is>
      </c>
      <c r="E847" t="inlineStr">
        <is>
          <t>부산광역시 사하구 낙동대로324번길 16 (괴정동)</t>
        </is>
      </c>
      <c r="F847" t="inlineStr"/>
      <c r="G847" t="inlineStr">
        <is>
          <t>051-202-0676</t>
        </is>
      </c>
      <c r="H847" s="15" t="n">
        <v>39</v>
      </c>
      <c r="I847" s="15" t="n">
        <v>3</v>
      </c>
      <c r="J847" s="15" t="n">
        <v>4</v>
      </c>
      <c r="K847" s="15" t="n">
        <v>7</v>
      </c>
      <c r="L847" s="15" t="n">
        <v>0</v>
      </c>
      <c r="M847" s="15" t="n">
        <v>0</v>
      </c>
      <c r="N847" s="15" t="n">
        <v>0</v>
      </c>
      <c r="O847" s="15" t="n">
        <v>0</v>
      </c>
      <c r="P847" s="15" t="n">
        <v>7</v>
      </c>
      <c r="Q847" s="15" t="n">
        <v>0</v>
      </c>
      <c r="R847" s="15" t="n">
        <v>0</v>
      </c>
      <c r="S847" s="15" t="n">
        <v>23</v>
      </c>
      <c r="T847" s="14">
        <f>IF(COUNT(I847:S847)=0,"",SUM(I847:S847))</f>
        <v/>
      </c>
      <c r="U847" t="inlineStr"/>
    </row>
    <row r="848">
      <c r="A848" t="inlineStr">
        <is>
          <t>아이조아어린이집</t>
        </is>
      </c>
      <c r="B848" t="inlineStr">
        <is>
          <t>어린이집</t>
        </is>
      </c>
      <c r="C848" t="inlineStr">
        <is>
          <t>가정</t>
        </is>
      </c>
      <c r="D848" t="inlineStr">
        <is>
          <t>사하구</t>
        </is>
      </c>
      <c r="E848" t="inlineStr">
        <is>
          <t>부산광역시 사하구 서포로30번길 12 202동 101호(구평동,e편한세상사하2차아파트)</t>
        </is>
      </c>
      <c r="F848" t="inlineStr"/>
      <c r="G848" t="inlineStr">
        <is>
          <t>051-202-9202</t>
        </is>
      </c>
      <c r="H848" s="15" t="n">
        <v>18</v>
      </c>
      <c r="I848" s="15" t="n">
        <v>7</v>
      </c>
      <c r="J848" s="15" t="n">
        <v>4</v>
      </c>
      <c r="K848" s="15" t="n">
        <v>3</v>
      </c>
      <c r="L848" s="15" t="n">
        <v>0</v>
      </c>
      <c r="M848" s="15" t="n">
        <v>0</v>
      </c>
      <c r="N848" s="15" t="n">
        <v>0</v>
      </c>
      <c r="O848" s="15" t="n">
        <v>2</v>
      </c>
      <c r="P848" s="15" t="n">
        <v>0</v>
      </c>
      <c r="Q848" s="15" t="n">
        <v>0</v>
      </c>
      <c r="R848" s="15" t="n">
        <v>0</v>
      </c>
      <c r="S848" s="15" t="n">
        <v>8</v>
      </c>
      <c r="T848" s="14">
        <f>IF(COUNT(I848:S848)=0,"",SUM(I848:S848))</f>
        <v/>
      </c>
      <c r="U848" t="inlineStr"/>
    </row>
    <row r="849">
      <c r="A849" t="inlineStr">
        <is>
          <t>아이편한어린이집</t>
        </is>
      </c>
      <c r="B849" t="inlineStr">
        <is>
          <t>어린이집</t>
        </is>
      </c>
      <c r="C849" t="inlineStr">
        <is>
          <t>가정</t>
        </is>
      </c>
      <c r="D849" t="inlineStr">
        <is>
          <t>사하구</t>
        </is>
      </c>
      <c r="E849" t="inlineStr">
        <is>
          <t>부산광역시 사하구 서포로30번길 26 106동 101호(구평동, e편한세상사하)</t>
        </is>
      </c>
      <c r="F849" t="inlineStr"/>
      <c r="G849" t="inlineStr">
        <is>
          <t>051-266-6101</t>
        </is>
      </c>
      <c r="H849" s="15" t="n">
        <v>16</v>
      </c>
      <c r="I849" s="15" t="n">
        <v>6</v>
      </c>
      <c r="J849" s="15" t="n">
        <v>5</v>
      </c>
      <c r="K849" s="15" t="n">
        <v>0</v>
      </c>
      <c r="L849" s="15" t="n">
        <v>0</v>
      </c>
      <c r="M849" s="15" t="n">
        <v>0</v>
      </c>
      <c r="N849" s="15" t="n">
        <v>0</v>
      </c>
      <c r="O849" s="15" t="n">
        <v>0</v>
      </c>
      <c r="P849" s="15" t="n">
        <v>0</v>
      </c>
      <c r="Q849" s="15" t="n">
        <v>0</v>
      </c>
      <c r="R849" s="15" t="n">
        <v>0</v>
      </c>
      <c r="S849" s="15" t="n">
        <v>4</v>
      </c>
      <c r="T849" s="14">
        <f>IF(COUNT(I849:S849)=0,"",SUM(I849:S849))</f>
        <v/>
      </c>
      <c r="U849" t="inlineStr"/>
    </row>
    <row r="850">
      <c r="A850" t="inlineStr">
        <is>
          <t>아트센터어린이집</t>
        </is>
      </c>
      <c r="B850" t="inlineStr">
        <is>
          <t>어린이집</t>
        </is>
      </c>
      <c r="C850" t="inlineStr">
        <is>
          <t>민간</t>
        </is>
      </c>
      <c r="D850" t="inlineStr">
        <is>
          <t>사하구</t>
        </is>
      </c>
      <c r="E850" t="inlineStr">
        <is>
          <t>부산광역시 사하구 제석로 81 (당리동)</t>
        </is>
      </c>
      <c r="F850" t="inlineStr"/>
      <c r="G850" t="inlineStr">
        <is>
          <t>051-206-4700</t>
        </is>
      </c>
      <c r="H850" s="15" t="n">
        <v>188</v>
      </c>
      <c r="I850" s="15" t="n">
        <v>6</v>
      </c>
      <c r="J850" s="15" t="n">
        <v>5</v>
      </c>
      <c r="K850" s="15" t="n">
        <v>14</v>
      </c>
      <c r="L850" s="15" t="n">
        <v>14</v>
      </c>
      <c r="M850" s="15" t="n">
        <v>17</v>
      </c>
      <c r="N850" s="15" t="n">
        <v>27</v>
      </c>
      <c r="O850" s="15" t="n">
        <v>0</v>
      </c>
      <c r="P850" s="15" t="n">
        <v>0</v>
      </c>
      <c r="Q850" s="15" t="n">
        <v>0</v>
      </c>
      <c r="R850" s="15" t="n">
        <v>0</v>
      </c>
      <c r="S850" s="15" t="n">
        <v>17</v>
      </c>
      <c r="T850" s="14">
        <f>IF(COUNT(I850:S850)=0,"",SUM(I850:S850))</f>
        <v/>
      </c>
      <c r="U850" t="inlineStr"/>
    </row>
    <row r="851">
      <c r="A851" t="inlineStr">
        <is>
          <t>엄마교실어린이집</t>
        </is>
      </c>
      <c r="B851" t="inlineStr">
        <is>
          <t>어린이집</t>
        </is>
      </c>
      <c r="C851" t="inlineStr">
        <is>
          <t>가정</t>
        </is>
      </c>
      <c r="D851" t="inlineStr">
        <is>
          <t>사하구</t>
        </is>
      </c>
      <c r="E851" t="inlineStr">
        <is>
          <t>부산광역시 사하구 다대낙조1길 12 101동 103호(다대동, 대우아파트)</t>
        </is>
      </c>
      <c r="F851" s="11" t="inlineStr">
        <is>
          <t>https://www.instagram.com/gimminyeong95294</t>
        </is>
      </c>
      <c r="G851" t="inlineStr">
        <is>
          <t>051-266-5551</t>
        </is>
      </c>
      <c r="H851" s="15" t="n">
        <v>20</v>
      </c>
      <c r="I851" s="15" t="n">
        <v>3</v>
      </c>
      <c r="J851" s="15" t="n">
        <v>4</v>
      </c>
      <c r="K851" s="15" t="n">
        <v>0</v>
      </c>
      <c r="L851" s="15" t="n">
        <v>0</v>
      </c>
      <c r="M851" s="15" t="n">
        <v>0</v>
      </c>
      <c r="N851" s="15" t="n">
        <v>0</v>
      </c>
      <c r="O851" s="15" t="n">
        <v>5</v>
      </c>
      <c r="P851" s="15" t="n">
        <v>0</v>
      </c>
      <c r="Q851" s="15" t="n">
        <v>0</v>
      </c>
      <c r="R851" s="15" t="n">
        <v>0</v>
      </c>
      <c r="S851" s="15" t="n">
        <v>5</v>
      </c>
      <c r="T851" s="14">
        <f>IF(COUNT(I851:S851)=0,"",SUM(I851:S851))</f>
        <v/>
      </c>
      <c r="U851" t="inlineStr"/>
    </row>
    <row r="852">
      <c r="A852" t="inlineStr">
        <is>
          <t>엄마별어린이집</t>
        </is>
      </c>
      <c r="B852" t="inlineStr">
        <is>
          <t>어린이집</t>
        </is>
      </c>
      <c r="C852" t="inlineStr">
        <is>
          <t>가정</t>
        </is>
      </c>
      <c r="D852" t="inlineStr">
        <is>
          <t>사하구</t>
        </is>
      </c>
      <c r="E852" t="inlineStr">
        <is>
          <t>부산광역시 사하구 장림로 199 101동 106호(두산위브더제니스센트럴사하)</t>
        </is>
      </c>
      <c r="F852" t="inlineStr"/>
      <c r="G852" t="inlineStr">
        <is>
          <t>051-261-0234</t>
        </is>
      </c>
      <c r="H852" s="15" t="n">
        <v>15</v>
      </c>
      <c r="I852" s="15" t="n">
        <v>2</v>
      </c>
      <c r="J852" s="15" t="n">
        <v>4</v>
      </c>
      <c r="K852" s="15" t="n">
        <v>7</v>
      </c>
      <c r="L852" s="15" t="n">
        <v>0</v>
      </c>
      <c r="M852" s="15" t="n">
        <v>0</v>
      </c>
      <c r="N852" s="15" t="n">
        <v>0</v>
      </c>
      <c r="O852" s="15" t="n">
        <v>2</v>
      </c>
      <c r="P852" s="15" t="n">
        <v>0</v>
      </c>
      <c r="Q852" s="15" t="n">
        <v>0</v>
      </c>
      <c r="R852" s="15" t="n">
        <v>0</v>
      </c>
      <c r="S852" s="15" t="n">
        <v>5</v>
      </c>
      <c r="T852" s="14">
        <f>IF(COUNT(I852:S852)=0,"",SUM(I852:S852))</f>
        <v/>
      </c>
      <c r="U852" t="inlineStr"/>
    </row>
    <row r="853">
      <c r="A853" t="inlineStr">
        <is>
          <t>연두어린이집</t>
        </is>
      </c>
      <c r="B853" t="inlineStr">
        <is>
          <t>어린이집</t>
        </is>
      </c>
      <c r="C853" t="inlineStr">
        <is>
          <t>가정</t>
        </is>
      </c>
      <c r="D853" t="inlineStr">
        <is>
          <t>사하구</t>
        </is>
      </c>
      <c r="E853" t="inlineStr">
        <is>
          <t>부산광역시 사하구 감천로 32 백산아파트 102 (감천동)</t>
        </is>
      </c>
      <c r="F853" t="inlineStr"/>
      <c r="G853" t="inlineStr">
        <is>
          <t>051-205-7834</t>
        </is>
      </c>
      <c r="H853" s="15" t="n">
        <v>18</v>
      </c>
      <c r="I853" s="15" t="n">
        <v>4</v>
      </c>
      <c r="J853" s="15" t="n">
        <v>4</v>
      </c>
      <c r="K853" s="15" t="n">
        <v>0</v>
      </c>
      <c r="L853" s="15" t="n">
        <v>0</v>
      </c>
      <c r="M853" s="15" t="n">
        <v>0</v>
      </c>
      <c r="N853" s="15" t="n">
        <v>0</v>
      </c>
      <c r="O853" s="15" t="n">
        <v>5</v>
      </c>
      <c r="P853" s="15" t="n">
        <v>0</v>
      </c>
      <c r="Q853" s="15" t="n">
        <v>0</v>
      </c>
      <c r="R853" s="15" t="n">
        <v>0</v>
      </c>
      <c r="S853" s="15" t="n">
        <v>3</v>
      </c>
      <c r="T853" s="14">
        <f>IF(COUNT(I853:S853)=0,"",SUM(I853:S853))</f>
        <v/>
      </c>
      <c r="U853" t="inlineStr"/>
    </row>
    <row r="854">
      <c r="A854" t="inlineStr">
        <is>
          <t>연희어린이집</t>
        </is>
      </c>
      <c r="B854" t="inlineStr">
        <is>
          <t>어린이집</t>
        </is>
      </c>
      <c r="C854" t="inlineStr">
        <is>
          <t>민간</t>
        </is>
      </c>
      <c r="D854" t="inlineStr">
        <is>
          <t>사하구</t>
        </is>
      </c>
      <c r="E854" t="inlineStr">
        <is>
          <t>부산광역시 사하구 낙동남로1357번길 35 (하단동)</t>
        </is>
      </c>
      <c r="F854" s="11" t="inlineStr">
        <is>
          <t>http://hidonga1234@naver.com</t>
        </is>
      </c>
      <c r="G854" t="inlineStr">
        <is>
          <t>051-205-1054</t>
        </is>
      </c>
      <c r="H854" s="15" t="n">
        <v>49</v>
      </c>
      <c r="I854" s="15" t="n">
        <v>6</v>
      </c>
      <c r="J854" s="15" t="n">
        <v>4</v>
      </c>
      <c r="K854" s="15" t="n">
        <v>8</v>
      </c>
      <c r="L854" s="15" t="n">
        <v>0</v>
      </c>
      <c r="M854" s="15" t="n">
        <v>0</v>
      </c>
      <c r="N854" s="15" t="n">
        <v>0</v>
      </c>
      <c r="O854" s="15" t="n">
        <v>8</v>
      </c>
      <c r="P854" s="15" t="n">
        <v>6</v>
      </c>
      <c r="Q854" s="15" t="n">
        <v>0</v>
      </c>
      <c r="R854" s="15" t="n">
        <v>0</v>
      </c>
      <c r="S854" s="15" t="n">
        <v>4</v>
      </c>
      <c r="T854" s="14">
        <f>IF(COUNT(I854:S854)=0,"",SUM(I854:S854))</f>
        <v/>
      </c>
      <c r="U854" t="inlineStr"/>
    </row>
    <row r="855">
      <c r="A855" t="inlineStr">
        <is>
          <t>영경어린이집</t>
        </is>
      </c>
      <c r="B855" t="inlineStr">
        <is>
          <t>어린이집</t>
        </is>
      </c>
      <c r="C855" t="inlineStr">
        <is>
          <t>민간</t>
        </is>
      </c>
      <c r="D855" t="inlineStr">
        <is>
          <t>사하구</t>
        </is>
      </c>
      <c r="E855" t="inlineStr">
        <is>
          <t>부산광역시 사하구 다대로144번길 62 17통3반 (신평동)</t>
        </is>
      </c>
      <c r="F855" t="inlineStr"/>
      <c r="G855" t="inlineStr">
        <is>
          <t>051-208-0652</t>
        </is>
      </c>
      <c r="H855" s="15" t="n">
        <v>39</v>
      </c>
      <c r="I855" s="15" t="n">
        <v>0</v>
      </c>
      <c r="J855" s="15" t="n">
        <v>5</v>
      </c>
      <c r="K855" s="15" t="n">
        <v>4</v>
      </c>
      <c r="L855" s="15" t="n">
        <v>0</v>
      </c>
      <c r="M855" s="15" t="n">
        <v>0</v>
      </c>
      <c r="N855" s="15" t="n">
        <v>0</v>
      </c>
      <c r="O855" s="15" t="n">
        <v>2</v>
      </c>
      <c r="P855" s="15" t="n">
        <v>11</v>
      </c>
      <c r="Q855" s="15" t="n">
        <v>0</v>
      </c>
      <c r="R855" s="15" t="n">
        <v>0</v>
      </c>
      <c r="S855" s="15" t="n">
        <v>12</v>
      </c>
      <c r="T855" s="14">
        <f>IF(COUNT(I855:S855)=0,"",SUM(I855:S855))</f>
        <v/>
      </c>
      <c r="U855" t="inlineStr"/>
    </row>
    <row r="856">
      <c r="A856" t="inlineStr">
        <is>
          <t>예닮창의어린이집</t>
        </is>
      </c>
      <c r="B856" t="inlineStr">
        <is>
          <t>어린이집</t>
        </is>
      </c>
      <c r="C856" t="inlineStr">
        <is>
          <t>민간</t>
        </is>
      </c>
      <c r="D856" t="inlineStr">
        <is>
          <t>사하구</t>
        </is>
      </c>
      <c r="E856" t="inlineStr">
        <is>
          <t>부산광역시 사하구 다대로 415-2 (다대동)</t>
        </is>
      </c>
      <c r="F856" t="inlineStr"/>
      <c r="G856" t="inlineStr">
        <is>
          <t>051-266-2290</t>
        </is>
      </c>
      <c r="H856" s="15" t="n">
        <v>35</v>
      </c>
      <c r="I856" s="15" t="n">
        <v>0</v>
      </c>
      <c r="J856" s="15" t="n">
        <v>0</v>
      </c>
      <c r="K856" s="15" t="n">
        <v>0</v>
      </c>
      <c r="L856" s="15" t="n">
        <v>0</v>
      </c>
      <c r="M856" s="15" t="n">
        <v>0</v>
      </c>
      <c r="N856" s="15" t="n">
        <v>0</v>
      </c>
      <c r="O856" s="15" t="n">
        <v>0</v>
      </c>
      <c r="P856" s="15" t="n">
        <v>5</v>
      </c>
      <c r="Q856" s="15" t="n">
        <v>0</v>
      </c>
      <c r="R856" s="15" t="n">
        <v>10</v>
      </c>
      <c r="S856" s="15" t="n">
        <v>3</v>
      </c>
      <c r="T856" s="14">
        <f>IF(COUNT(I856:S856)=0,"",SUM(I856:S856))</f>
        <v/>
      </c>
      <c r="U856" t="inlineStr"/>
    </row>
    <row r="857">
      <c r="A857" t="inlineStr">
        <is>
          <t>예원어린이집</t>
        </is>
      </c>
      <c r="B857" t="inlineStr">
        <is>
          <t>어린이집</t>
        </is>
      </c>
      <c r="C857" t="inlineStr">
        <is>
          <t>가정</t>
        </is>
      </c>
      <c r="D857" t="inlineStr">
        <is>
          <t>사하구</t>
        </is>
      </c>
      <c r="E857" t="inlineStr">
        <is>
          <t>부산광역시 사하구 낙동대로234번길 48 (괴정동)</t>
        </is>
      </c>
      <c r="F857" t="inlineStr"/>
      <c r="G857" t="inlineStr">
        <is>
          <t>051-207-8020</t>
        </is>
      </c>
      <c r="H857" s="15" t="n">
        <v>18</v>
      </c>
      <c r="I857" s="15" t="n">
        <v>2</v>
      </c>
      <c r="J857" s="15" t="n">
        <v>0</v>
      </c>
      <c r="K857" s="15" t="n">
        <v>5</v>
      </c>
      <c r="L857" s="15" t="n">
        <v>0</v>
      </c>
      <c r="M857" s="15" t="n">
        <v>0</v>
      </c>
      <c r="N857" s="15" t="n">
        <v>0</v>
      </c>
      <c r="O857" s="15" t="n">
        <v>4</v>
      </c>
      <c r="P857" s="15" t="n">
        <v>0</v>
      </c>
      <c r="Q857" s="15" t="n">
        <v>0</v>
      </c>
      <c r="R857" s="15" t="n">
        <v>0</v>
      </c>
      <c r="S857" s="15" t="n">
        <v>8</v>
      </c>
      <c r="T857" s="14">
        <f>IF(COUNT(I857:S857)=0,"",SUM(I857:S857))</f>
        <v/>
      </c>
      <c r="U857" t="inlineStr"/>
    </row>
    <row r="858">
      <c r="A858" t="inlineStr">
        <is>
          <t>우리어린이집</t>
        </is>
      </c>
      <c r="B858" t="inlineStr">
        <is>
          <t>어린이집</t>
        </is>
      </c>
      <c r="C858" t="inlineStr">
        <is>
          <t>민간</t>
        </is>
      </c>
      <c r="D858" t="inlineStr">
        <is>
          <t>사하구</t>
        </is>
      </c>
      <c r="E858" t="inlineStr">
        <is>
          <t>부산광역시 사하구 괴정로 255</t>
        </is>
      </c>
      <c r="F858" t="inlineStr"/>
      <c r="G858" t="inlineStr">
        <is>
          <t>051-202-5003</t>
        </is>
      </c>
      <c r="H858" s="15" t="n">
        <v>46</v>
      </c>
      <c r="I858" s="15" t="n">
        <v>0</v>
      </c>
      <c r="J858" s="15" t="n">
        <v>0</v>
      </c>
      <c r="K858" s="15" t="n">
        <v>0</v>
      </c>
      <c r="L858" s="15" t="n">
        <v>0</v>
      </c>
      <c r="M858" s="15" t="n">
        <v>0</v>
      </c>
      <c r="N858" s="15" t="n">
        <v>0</v>
      </c>
      <c r="O858" s="15" t="n">
        <v>0</v>
      </c>
      <c r="P858" s="15" t="n">
        <v>0</v>
      </c>
      <c r="Q858" s="15" t="n">
        <v>0</v>
      </c>
      <c r="R858" s="15" t="n">
        <v>0</v>
      </c>
      <c r="S858" s="15" t="n">
        <v>0</v>
      </c>
      <c r="T858" s="14">
        <f>IF(COUNT(I858:S858)=0,"",SUM(I858:S858))</f>
        <v/>
      </c>
      <c r="U858" t="inlineStr"/>
    </row>
    <row r="859">
      <c r="A859" t="inlineStr">
        <is>
          <t>유나어린이집</t>
        </is>
      </c>
      <c r="B859" t="inlineStr">
        <is>
          <t>어린이집</t>
        </is>
      </c>
      <c r="C859" t="inlineStr">
        <is>
          <t>가정</t>
        </is>
      </c>
      <c r="D859" t="inlineStr">
        <is>
          <t>사하구</t>
        </is>
      </c>
      <c r="E859" t="inlineStr">
        <is>
          <t>부산광역시 사하구 하신번영로 400 111동 102호(하단동, SK뷰아파트)</t>
        </is>
      </c>
      <c r="F859" t="inlineStr"/>
      <c r="G859" t="inlineStr">
        <is>
          <t>051-292-0898</t>
        </is>
      </c>
      <c r="H859" s="15" t="n">
        <v>19</v>
      </c>
      <c r="I859" s="15" t="n">
        <v>5</v>
      </c>
      <c r="J859" s="15" t="n">
        <v>7</v>
      </c>
      <c r="K859" s="15" t="n">
        <v>5</v>
      </c>
      <c r="L859" s="15" t="n">
        <v>0</v>
      </c>
      <c r="M859" s="15" t="n">
        <v>0</v>
      </c>
      <c r="N859" s="15" t="n">
        <v>0</v>
      </c>
      <c r="O859" s="15" t="n">
        <v>0</v>
      </c>
      <c r="P859" s="15" t="n">
        <v>0</v>
      </c>
      <c r="Q859" s="15" t="n">
        <v>0</v>
      </c>
      <c r="R859" s="15" t="n">
        <v>0</v>
      </c>
      <c r="S859" s="15" t="n">
        <v>3</v>
      </c>
      <c r="T859" s="14">
        <f>IF(COUNT(I859:S859)=0,"",SUM(I859:S859))</f>
        <v/>
      </c>
      <c r="U859" t="inlineStr"/>
    </row>
    <row r="860">
      <c r="A860" t="inlineStr">
        <is>
          <t>유아재능어린이집</t>
        </is>
      </c>
      <c r="B860" t="inlineStr">
        <is>
          <t>어린이집</t>
        </is>
      </c>
      <c r="C860" t="inlineStr">
        <is>
          <t>가정</t>
        </is>
      </c>
      <c r="D860" t="inlineStr">
        <is>
          <t>사하구</t>
        </is>
      </c>
      <c r="E860" t="inlineStr">
        <is>
          <t>부산광역시 사하구 하신번영로 233 315동 101호(하단동, 가락타운3단지)</t>
        </is>
      </c>
      <c r="F860" t="inlineStr"/>
      <c r="G860" t="inlineStr">
        <is>
          <t>051-202-3275</t>
        </is>
      </c>
      <c r="H860" s="15" t="n">
        <v>19</v>
      </c>
      <c r="I860" s="15" t="n">
        <v>6</v>
      </c>
      <c r="J860" s="15" t="n">
        <v>5</v>
      </c>
      <c r="K860" s="15" t="n">
        <v>6</v>
      </c>
      <c r="L860" s="15" t="n">
        <v>0</v>
      </c>
      <c r="M860" s="15" t="n">
        <v>0</v>
      </c>
      <c r="N860" s="15" t="n">
        <v>0</v>
      </c>
      <c r="O860" s="15" t="n">
        <v>0</v>
      </c>
      <c r="P860" s="15" t="n">
        <v>0</v>
      </c>
      <c r="Q860" s="15" t="n">
        <v>0</v>
      </c>
      <c r="R860" s="15" t="n">
        <v>0</v>
      </c>
      <c r="S860" s="15" t="n">
        <v>3</v>
      </c>
      <c r="T860" s="14">
        <f>IF(COUNT(I860:S860)=0,"",SUM(I860:S860))</f>
        <v/>
      </c>
      <c r="U860" t="inlineStr"/>
    </row>
    <row r="861">
      <c r="A861" t="inlineStr">
        <is>
          <t>은비숲어린이집</t>
        </is>
      </c>
      <c r="B861" t="inlineStr">
        <is>
          <t>어린이집</t>
        </is>
      </c>
      <c r="C861" t="inlineStr">
        <is>
          <t>민간</t>
        </is>
      </c>
      <c r="D861" t="inlineStr">
        <is>
          <t>사하구</t>
        </is>
      </c>
      <c r="E861" t="inlineStr">
        <is>
          <t>부산광역시 사하구 다대로524번길 20 (다대동)</t>
        </is>
      </c>
      <c r="F861" t="inlineStr"/>
      <c r="G861" t="inlineStr">
        <is>
          <t>051-261-3834</t>
        </is>
      </c>
      <c r="H861" s="15" t="n">
        <v>39</v>
      </c>
      <c r="I861" s="15" t="n">
        <v>0</v>
      </c>
      <c r="J861" s="15" t="n">
        <v>4</v>
      </c>
      <c r="K861" s="15" t="n">
        <v>4</v>
      </c>
      <c r="L861" s="15" t="n">
        <v>0</v>
      </c>
      <c r="M861" s="15" t="n">
        <v>0</v>
      </c>
      <c r="N861" s="15" t="n">
        <v>0</v>
      </c>
      <c r="O861" s="15" t="n">
        <v>0</v>
      </c>
      <c r="P861" s="15" t="n">
        <v>7</v>
      </c>
      <c r="Q861" s="15" t="n">
        <v>0</v>
      </c>
      <c r="R861" s="15" t="n">
        <v>0</v>
      </c>
      <c r="S861" s="15" t="n">
        <v>6</v>
      </c>
      <c r="T861" s="14">
        <f>IF(COUNT(I861:S861)=0,"",SUM(I861:S861))</f>
        <v/>
      </c>
      <c r="U861" t="inlineStr"/>
    </row>
    <row r="862">
      <c r="A862" t="inlineStr">
        <is>
          <t>이삭어린이집</t>
        </is>
      </c>
      <c r="B862" t="inlineStr">
        <is>
          <t>어린이집</t>
        </is>
      </c>
      <c r="C862" t="inlineStr">
        <is>
          <t>민간</t>
        </is>
      </c>
      <c r="D862" t="inlineStr">
        <is>
          <t>사하구</t>
        </is>
      </c>
      <c r="E862" t="inlineStr">
        <is>
          <t>부산광역시 사하구 괴정로246번길 11 13-1, 13-2 (괴정동)</t>
        </is>
      </c>
      <c r="F862" s="11" t="inlineStr">
        <is>
          <t>http://cafe.daum.net/isaackids</t>
        </is>
      </c>
      <c r="G862" t="inlineStr">
        <is>
          <t>051-203-5255</t>
        </is>
      </c>
      <c r="H862" s="15" t="n">
        <v>113</v>
      </c>
      <c r="I862" s="15" t="n">
        <v>7</v>
      </c>
      <c r="J862" s="15" t="n">
        <v>5</v>
      </c>
      <c r="K862" s="15" t="n">
        <v>13</v>
      </c>
      <c r="L862" s="15" t="n">
        <v>14</v>
      </c>
      <c r="M862" s="15" t="n">
        <v>0</v>
      </c>
      <c r="N862" s="15" t="n">
        <v>0</v>
      </c>
      <c r="O862" s="15" t="n">
        <v>0</v>
      </c>
      <c r="P862" s="15" t="n">
        <v>8</v>
      </c>
      <c r="Q862" s="15" t="n">
        <v>0</v>
      </c>
      <c r="R862" s="15" t="n">
        <v>0</v>
      </c>
      <c r="S862" s="15" t="n">
        <v>4</v>
      </c>
      <c r="T862" s="14">
        <f>IF(COUNT(I862:S862)=0,"",SUM(I862:S862))</f>
        <v/>
      </c>
      <c r="U862" t="inlineStr"/>
    </row>
    <row r="863">
      <c r="A863" t="inlineStr">
        <is>
          <t>이편한아이세상어린이집</t>
        </is>
      </c>
      <c r="B863" t="inlineStr">
        <is>
          <t>어린이집</t>
        </is>
      </c>
      <c r="C863" t="inlineStr">
        <is>
          <t>가정</t>
        </is>
      </c>
      <c r="D863" t="inlineStr">
        <is>
          <t>사하구</t>
        </is>
      </c>
      <c r="E863" t="inlineStr">
        <is>
          <t>부산광역시 사하구 서포로30번길 12 208동 104호(구평동,e편한세상사하2차)</t>
        </is>
      </c>
      <c r="F863" t="inlineStr"/>
      <c r="G863" t="inlineStr">
        <is>
          <t>051-261-1233</t>
        </is>
      </c>
      <c r="H863" s="15" t="n">
        <v>19</v>
      </c>
      <c r="I863" s="15" t="n">
        <v>6</v>
      </c>
      <c r="J863" s="15" t="n">
        <v>4</v>
      </c>
      <c r="K863" s="15" t="n">
        <v>7</v>
      </c>
      <c r="L863" s="15" t="n">
        <v>0</v>
      </c>
      <c r="M863" s="15" t="n">
        <v>0</v>
      </c>
      <c r="N863" s="15" t="n">
        <v>0</v>
      </c>
      <c r="O863" s="15" t="n">
        <v>0</v>
      </c>
      <c r="P863" s="15" t="n">
        <v>0</v>
      </c>
      <c r="Q863" s="15" t="n">
        <v>0</v>
      </c>
      <c r="R863" s="15" t="n">
        <v>0</v>
      </c>
      <c r="S863" s="15" t="n">
        <v>3</v>
      </c>
      <c r="T863" s="14">
        <f>IF(COUNT(I863:S863)=0,"",SUM(I863:S863))</f>
        <v/>
      </c>
      <c r="U863" t="inlineStr"/>
    </row>
    <row r="864">
      <c r="A864" t="inlineStr">
        <is>
          <t>이편한어린이집</t>
        </is>
      </c>
      <c r="B864" t="inlineStr">
        <is>
          <t>어린이집</t>
        </is>
      </c>
      <c r="C864" t="inlineStr">
        <is>
          <t>국공립</t>
        </is>
      </c>
      <c r="D864" t="inlineStr">
        <is>
          <t>사하구</t>
        </is>
      </c>
      <c r="E864" t="inlineStr">
        <is>
          <t>부산광역시 사하구 서포로30번길 26 (구평동,e편한세상사하1차아파트 관리동)</t>
        </is>
      </c>
      <c r="F864" t="inlineStr"/>
      <c r="G864" t="inlineStr">
        <is>
          <t>051-266-0228</t>
        </is>
      </c>
      <c r="H864" s="15" t="n">
        <v>83</v>
      </c>
      <c r="I864" s="15" t="n">
        <v>0</v>
      </c>
      <c r="J864" s="15" t="n">
        <v>19</v>
      </c>
      <c r="K864" s="15" t="n">
        <v>17</v>
      </c>
      <c r="L864" s="15" t="n">
        <v>6</v>
      </c>
      <c r="M864" s="15" t="n">
        <v>18</v>
      </c>
      <c r="N864" s="15" t="n">
        <v>16</v>
      </c>
      <c r="O864" s="15" t="n">
        <v>0</v>
      </c>
      <c r="P864" s="15" t="n">
        <v>0</v>
      </c>
      <c r="Q864" s="15" t="n">
        <v>0</v>
      </c>
      <c r="R864" s="15" t="n">
        <v>0</v>
      </c>
      <c r="S864" s="15" t="n">
        <v>22</v>
      </c>
      <c r="T864" s="14">
        <f>IF(COUNT(I864:S864)=0,"",SUM(I864:S864))</f>
        <v/>
      </c>
      <c r="U864" t="inlineStr"/>
    </row>
    <row r="865">
      <c r="A865" t="inlineStr">
        <is>
          <t>이편한햇살어린이집</t>
        </is>
      </c>
      <c r="B865" t="inlineStr">
        <is>
          <t>어린이집</t>
        </is>
      </c>
      <c r="C865" t="inlineStr">
        <is>
          <t>국공립</t>
        </is>
      </c>
      <c r="D865" t="inlineStr">
        <is>
          <t>사하구</t>
        </is>
      </c>
      <c r="E865" t="inlineStr">
        <is>
          <t>부산광역시 사하구 서포로30번길 12 (구평동,e편한세상사하2차 관리동)</t>
        </is>
      </c>
      <c r="F865" t="inlineStr"/>
      <c r="G865" t="inlineStr">
        <is>
          <t>051-262-2002</t>
        </is>
      </c>
      <c r="H865" s="15" t="n">
        <v>73</v>
      </c>
      <c r="I865" s="15" t="n">
        <v>0</v>
      </c>
      <c r="J865" s="15" t="n">
        <v>25</v>
      </c>
      <c r="K865" s="15" t="n">
        <v>13</v>
      </c>
      <c r="L865" s="15" t="n">
        <v>12</v>
      </c>
      <c r="M865" s="15" t="n">
        <v>0</v>
      </c>
      <c r="N865" s="15" t="n">
        <v>13</v>
      </c>
      <c r="O865" s="15" t="n">
        <v>0</v>
      </c>
      <c r="P865" s="15" t="n">
        <v>0</v>
      </c>
      <c r="Q865" s="15" t="n">
        <v>0</v>
      </c>
      <c r="R865" s="15" t="n">
        <v>0</v>
      </c>
      <c r="S865" s="15" t="n">
        <v>15</v>
      </c>
      <c r="T865" s="14">
        <f>IF(COUNT(I865:S865)=0,"",SUM(I865:S865))</f>
        <v/>
      </c>
      <c r="U865" t="inlineStr"/>
    </row>
    <row r="866">
      <c r="A866" t="inlineStr">
        <is>
          <t>자유하늘어린이집</t>
        </is>
      </c>
      <c r="B866" t="inlineStr">
        <is>
          <t>어린이집</t>
        </is>
      </c>
      <c r="C866" t="inlineStr">
        <is>
          <t>민간</t>
        </is>
      </c>
      <c r="D866" t="inlineStr">
        <is>
          <t>사하구</t>
        </is>
      </c>
      <c r="E866" t="inlineStr">
        <is>
          <t>부산광역시 사하구 을숙도대로709번길 31 자유아파트 105동 지하 2층 (구평동)</t>
        </is>
      </c>
      <c r="F866" t="inlineStr"/>
      <c r="G866" t="inlineStr">
        <is>
          <t>051-264-1002</t>
        </is>
      </c>
      <c r="H866" s="15" t="n">
        <v>33</v>
      </c>
      <c r="I866" s="15" t="n">
        <v>4</v>
      </c>
      <c r="J866" s="15" t="n">
        <v>5</v>
      </c>
      <c r="K866" s="15" t="n">
        <v>7</v>
      </c>
      <c r="L866" s="15" t="n">
        <v>0</v>
      </c>
      <c r="M866" s="15" t="n">
        <v>0</v>
      </c>
      <c r="N866" s="15" t="n">
        <v>0</v>
      </c>
      <c r="O866" s="15" t="n">
        <v>5</v>
      </c>
      <c r="P866" s="15" t="n">
        <v>0</v>
      </c>
      <c r="Q866" s="15" t="n">
        <v>0</v>
      </c>
      <c r="R866" s="15" t="n">
        <v>0</v>
      </c>
      <c r="S866" s="15" t="n">
        <v>10</v>
      </c>
      <c r="T866" s="14">
        <f>IF(COUNT(I866:S866)=0,"",SUM(I866:S866))</f>
        <v/>
      </c>
      <c r="U866" t="inlineStr"/>
    </row>
    <row r="867">
      <c r="A867" t="inlineStr">
        <is>
          <t>장림어린이집</t>
        </is>
      </c>
      <c r="B867" t="inlineStr">
        <is>
          <t>어린이집</t>
        </is>
      </c>
      <c r="C867" t="inlineStr">
        <is>
          <t>국공립</t>
        </is>
      </c>
      <c r="D867" t="inlineStr">
        <is>
          <t>사하구</t>
        </is>
      </c>
      <c r="E867" t="inlineStr">
        <is>
          <t>부산광역시 사하구 장림번영로28번길 33</t>
        </is>
      </c>
      <c r="F867" t="inlineStr"/>
      <c r="G867" t="inlineStr">
        <is>
          <t>051-261-3692</t>
        </is>
      </c>
      <c r="H867" s="15" t="n">
        <v>130</v>
      </c>
      <c r="I867" s="15" t="n">
        <v>3</v>
      </c>
      <c r="J867" s="15" t="n">
        <v>14</v>
      </c>
      <c r="K867" s="15" t="n">
        <v>25</v>
      </c>
      <c r="L867" s="15" t="n">
        <v>11</v>
      </c>
      <c r="M867" s="15" t="n">
        <v>0</v>
      </c>
      <c r="N867" s="15" t="n">
        <v>0</v>
      </c>
      <c r="O867" s="15" t="n">
        <v>3</v>
      </c>
      <c r="P867" s="15" t="n">
        <v>16</v>
      </c>
      <c r="Q867" s="15" t="n">
        <v>0</v>
      </c>
      <c r="R867" s="15" t="n">
        <v>3</v>
      </c>
      <c r="S867" s="15" t="n">
        <v>17</v>
      </c>
      <c r="T867" s="14">
        <f>IF(COUNT(I867:S867)=0,"",SUM(I867:S867))</f>
        <v/>
      </c>
      <c r="U867" t="inlineStr"/>
    </row>
    <row r="868">
      <c r="A868" t="inlineStr">
        <is>
          <t>장림하나어린이집</t>
        </is>
      </c>
      <c r="B868" t="inlineStr">
        <is>
          <t>어린이집</t>
        </is>
      </c>
      <c r="C868" t="inlineStr">
        <is>
          <t>국공립</t>
        </is>
      </c>
      <c r="D868" t="inlineStr">
        <is>
          <t>사하구</t>
        </is>
      </c>
      <c r="E868" t="inlineStr">
        <is>
          <t>부산광역시 사하구 장림로161번길 14</t>
        </is>
      </c>
      <c r="F868" t="inlineStr"/>
      <c r="G868" t="inlineStr">
        <is>
          <t>051-266-2681</t>
        </is>
      </c>
      <c r="H868" s="15" t="n">
        <v>39</v>
      </c>
      <c r="I868" s="15" t="n">
        <v>9</v>
      </c>
      <c r="J868" s="15" t="n">
        <v>13</v>
      </c>
      <c r="K868" s="15" t="n">
        <v>12</v>
      </c>
      <c r="L868" s="15" t="n">
        <v>0</v>
      </c>
      <c r="M868" s="15" t="n">
        <v>0</v>
      </c>
      <c r="N868" s="15" t="n">
        <v>0</v>
      </c>
      <c r="O868" s="15" t="n">
        <v>0</v>
      </c>
      <c r="P868" s="15" t="n">
        <v>0</v>
      </c>
      <c r="Q868" s="15" t="n">
        <v>0</v>
      </c>
      <c r="R868" s="15" t="n">
        <v>0</v>
      </c>
      <c r="S868" s="15" t="n">
        <v>5</v>
      </c>
      <c r="T868" s="14">
        <f>IF(COUNT(I868:S868)=0,"",SUM(I868:S868))</f>
        <v/>
      </c>
      <c r="U868" t="inlineStr"/>
    </row>
    <row r="869">
      <c r="A869" t="inlineStr">
        <is>
          <t>조은어린이집</t>
        </is>
      </c>
      <c r="B869" t="inlineStr">
        <is>
          <t>어린이집</t>
        </is>
      </c>
      <c r="C869" t="inlineStr">
        <is>
          <t>국공립</t>
        </is>
      </c>
      <c r="D869" t="inlineStr">
        <is>
          <t>사하구</t>
        </is>
      </c>
      <c r="E869" t="inlineStr">
        <is>
          <t>부산광역시 사하구 하신중앙로22번길 24</t>
        </is>
      </c>
      <c r="F869" t="inlineStr"/>
      <c r="G869" t="inlineStr">
        <is>
          <t>051-266-7742</t>
        </is>
      </c>
      <c r="H869" s="15" t="n">
        <v>129</v>
      </c>
      <c r="I869" s="15" t="n">
        <v>6</v>
      </c>
      <c r="J869" s="15" t="n">
        <v>20</v>
      </c>
      <c r="K869" s="15" t="n">
        <v>28</v>
      </c>
      <c r="L869" s="15" t="n">
        <v>13</v>
      </c>
      <c r="M869" s="15" t="n">
        <v>11</v>
      </c>
      <c r="N869" s="15" t="n">
        <v>14</v>
      </c>
      <c r="O869" s="15" t="n">
        <v>0</v>
      </c>
      <c r="P869" s="15" t="n">
        <v>0</v>
      </c>
      <c r="Q869" s="15" t="n">
        <v>0</v>
      </c>
      <c r="R869" s="15" t="n">
        <v>0</v>
      </c>
      <c r="S869" s="15" t="n">
        <v>33</v>
      </c>
      <c r="T869" s="14">
        <f>IF(COUNT(I869:S869)=0,"",SUM(I869:S869))</f>
        <v/>
      </c>
      <c r="U869" t="inlineStr"/>
    </row>
    <row r="870">
      <c r="A870" t="inlineStr">
        <is>
          <t>종달새어린이집</t>
        </is>
      </c>
      <c r="B870" t="inlineStr">
        <is>
          <t>어린이집</t>
        </is>
      </c>
      <c r="C870" t="inlineStr">
        <is>
          <t>사회복지법인</t>
        </is>
      </c>
      <c r="D870" t="inlineStr">
        <is>
          <t>사하구</t>
        </is>
      </c>
      <c r="E870" t="inlineStr">
        <is>
          <t>부산광역시 사하구 제석로65번길 3 (당리동)</t>
        </is>
      </c>
      <c r="F870" s="11" t="inlineStr">
        <is>
          <t>http://www.instagram.com/jongdalsae6100</t>
        </is>
      </c>
      <c r="G870" t="inlineStr">
        <is>
          <t>051-205-6100</t>
        </is>
      </c>
      <c r="H870" s="15" t="n">
        <v>82</v>
      </c>
      <c r="I870" s="15" t="n">
        <v>0</v>
      </c>
      <c r="J870" s="15" t="n">
        <v>0</v>
      </c>
      <c r="K870" s="15" t="n">
        <v>0</v>
      </c>
      <c r="L870" s="15" t="n">
        <v>0</v>
      </c>
      <c r="M870" s="15" t="n">
        <v>0</v>
      </c>
      <c r="N870" s="15" t="n">
        <v>0</v>
      </c>
      <c r="O870" s="15" t="n">
        <v>8</v>
      </c>
      <c r="P870" s="15" t="n">
        <v>4</v>
      </c>
      <c r="Q870" s="15" t="n">
        <v>0</v>
      </c>
      <c r="R870" s="15" t="n">
        <v>0</v>
      </c>
      <c r="S870" s="15" t="n">
        <v>8</v>
      </c>
      <c r="T870" s="14">
        <f>IF(COUNT(I870:S870)=0,"",SUM(I870:S870))</f>
        <v/>
      </c>
      <c r="U870" t="inlineStr"/>
    </row>
    <row r="871">
      <c r="A871" t="inlineStr">
        <is>
          <t>지큐빌어린이집</t>
        </is>
      </c>
      <c r="B871" t="inlineStr">
        <is>
          <t>어린이집</t>
        </is>
      </c>
      <c r="C871" t="inlineStr">
        <is>
          <t>민간</t>
        </is>
      </c>
      <c r="D871" t="inlineStr">
        <is>
          <t>사하구</t>
        </is>
      </c>
      <c r="E871" t="inlineStr">
        <is>
          <t>부산광역시 사하구 다대로277번길 85 (장림동, 신세대지큐빌 관리동)</t>
        </is>
      </c>
      <c r="F871" t="inlineStr"/>
      <c r="G871" t="inlineStr">
        <is>
          <t>051-263-2369</t>
        </is>
      </c>
      <c r="H871" s="15" t="n">
        <v>48</v>
      </c>
      <c r="I871" s="15" t="n">
        <v>2</v>
      </c>
      <c r="J871" s="15" t="n">
        <v>10</v>
      </c>
      <c r="K871" s="15" t="n">
        <v>7</v>
      </c>
      <c r="L871" s="15" t="n">
        <v>0</v>
      </c>
      <c r="M871" s="15" t="n">
        <v>0</v>
      </c>
      <c r="N871" s="15" t="n">
        <v>0</v>
      </c>
      <c r="O871" s="15" t="n">
        <v>5</v>
      </c>
      <c r="P871" s="15" t="n">
        <v>0</v>
      </c>
      <c r="Q871" s="15" t="n">
        <v>0</v>
      </c>
      <c r="R871" s="15" t="n">
        <v>0</v>
      </c>
      <c r="S871" s="15" t="n">
        <v>8</v>
      </c>
      <c r="T871" s="14">
        <f>IF(COUNT(I871:S871)=0,"",SUM(I871:S871))</f>
        <v/>
      </c>
      <c r="U871" t="inlineStr"/>
    </row>
    <row r="872">
      <c r="A872" t="inlineStr">
        <is>
          <t>진성어린이집</t>
        </is>
      </c>
      <c r="B872" t="inlineStr">
        <is>
          <t>어린이집</t>
        </is>
      </c>
      <c r="C872" t="inlineStr">
        <is>
          <t>법인·단체등</t>
        </is>
      </c>
      <c r="D872" t="inlineStr">
        <is>
          <t>사하구</t>
        </is>
      </c>
      <c r="E872" t="inlineStr">
        <is>
          <t>부산광역시 사하구 오작로88번길 32 (괴정동)</t>
        </is>
      </c>
      <c r="F872" s="11" t="inlineStr">
        <is>
          <t>http://www.jinsungi.co.kr</t>
        </is>
      </c>
      <c r="G872" t="inlineStr">
        <is>
          <t>051-292-2001</t>
        </is>
      </c>
      <c r="H872" s="15" t="n">
        <v>200</v>
      </c>
      <c r="I872" s="15" t="n">
        <v>4</v>
      </c>
      <c r="J872" s="15" t="n">
        <v>13</v>
      </c>
      <c r="K872" s="15" t="n">
        <v>20</v>
      </c>
      <c r="L872" s="15" t="n">
        <v>12</v>
      </c>
      <c r="M872" s="15" t="n">
        <v>18</v>
      </c>
      <c r="N872" s="15" t="n">
        <v>18</v>
      </c>
      <c r="O872" s="15" t="n">
        <v>0</v>
      </c>
      <c r="P872" s="15" t="n">
        <v>0</v>
      </c>
      <c r="Q872" s="15" t="n">
        <v>0</v>
      </c>
      <c r="R872" s="15" t="n">
        <v>0</v>
      </c>
      <c r="S872" s="15" t="n">
        <v>8</v>
      </c>
      <c r="T872" s="14">
        <f>IF(COUNT(I872:S872)=0,"",SUM(I872:S872))</f>
        <v/>
      </c>
      <c r="U872" t="inlineStr"/>
    </row>
    <row r="873">
      <c r="A873" t="inlineStr">
        <is>
          <t>참빛어린이집</t>
        </is>
      </c>
      <c r="B873" t="inlineStr">
        <is>
          <t>어린이집</t>
        </is>
      </c>
      <c r="C873" t="inlineStr">
        <is>
          <t>가정</t>
        </is>
      </c>
      <c r="D873" t="inlineStr">
        <is>
          <t>사하구</t>
        </is>
      </c>
      <c r="E873" t="inlineStr">
        <is>
          <t>부산광역시 사하구 하신중앙로 180 106동 101호(신평동, 신익강변타운)</t>
        </is>
      </c>
      <c r="F873" t="inlineStr"/>
      <c r="G873" t="inlineStr">
        <is>
          <t>051-203-1135</t>
        </is>
      </c>
      <c r="H873" s="15" t="n">
        <v>20</v>
      </c>
      <c r="I873" s="15" t="n">
        <v>0</v>
      </c>
      <c r="J873" s="15" t="n">
        <v>4</v>
      </c>
      <c r="K873" s="15" t="n">
        <v>0</v>
      </c>
      <c r="L873" s="15" t="n">
        <v>0</v>
      </c>
      <c r="M873" s="15" t="n">
        <v>0</v>
      </c>
      <c r="N873" s="15" t="n">
        <v>0</v>
      </c>
      <c r="O873" s="15" t="n">
        <v>7</v>
      </c>
      <c r="P873" s="15" t="n">
        <v>0</v>
      </c>
      <c r="Q873" s="15" t="n">
        <v>0</v>
      </c>
      <c r="R873" s="15" t="n">
        <v>0</v>
      </c>
      <c r="S873" s="15" t="n">
        <v>3</v>
      </c>
      <c r="T873" s="14">
        <f>IF(COUNT(I873:S873)=0,"",SUM(I873:S873))</f>
        <v/>
      </c>
      <c r="U873" t="inlineStr"/>
    </row>
    <row r="874">
      <c r="A874" t="inlineStr">
        <is>
          <t>창작어린이집</t>
        </is>
      </c>
      <c r="B874" t="inlineStr">
        <is>
          <t>어린이집</t>
        </is>
      </c>
      <c r="C874" t="inlineStr">
        <is>
          <t>가정</t>
        </is>
      </c>
      <c r="D874" t="inlineStr">
        <is>
          <t>사하구</t>
        </is>
      </c>
      <c r="E874" t="inlineStr">
        <is>
          <t>부산광역시 사하구 하신번영로 233 324동 108호(하단동, 가락타운3단지)</t>
        </is>
      </c>
      <c r="F874" t="inlineStr"/>
      <c r="G874" t="inlineStr">
        <is>
          <t>051-208-9459</t>
        </is>
      </c>
      <c r="H874" s="15" t="n">
        <v>19</v>
      </c>
      <c r="I874" s="15" t="n">
        <v>0</v>
      </c>
      <c r="J874" s="15" t="n">
        <v>0</v>
      </c>
      <c r="K874" s="15" t="n">
        <v>0</v>
      </c>
      <c r="L874" s="15" t="n">
        <v>0</v>
      </c>
      <c r="M874" s="15" t="n">
        <v>0</v>
      </c>
      <c r="N874" s="15" t="n">
        <v>0</v>
      </c>
      <c r="O874" s="15" t="n">
        <v>5</v>
      </c>
      <c r="P874" s="15" t="n">
        <v>0</v>
      </c>
      <c r="Q874" s="15" t="n">
        <v>0</v>
      </c>
      <c r="R874" s="15" t="n">
        <v>0</v>
      </c>
      <c r="S874" s="15" t="n">
        <v>2</v>
      </c>
      <c r="T874" s="14">
        <f>IF(COUNT(I874:S874)=0,"",SUM(I874:S874))</f>
        <v/>
      </c>
      <c r="U874" t="inlineStr"/>
    </row>
    <row r="875">
      <c r="A875" t="inlineStr">
        <is>
          <t>청라어린이집</t>
        </is>
      </c>
      <c r="B875" t="inlineStr">
        <is>
          <t>어린이집</t>
        </is>
      </c>
      <c r="C875" t="inlineStr">
        <is>
          <t>민간</t>
        </is>
      </c>
      <c r="D875" t="inlineStr">
        <is>
          <t>사하구</t>
        </is>
      </c>
      <c r="E875" t="inlineStr">
        <is>
          <t>부산광역시 사하구 승학로 41-10</t>
        </is>
      </c>
      <c r="F875" s="11" t="inlineStr">
        <is>
          <t>http://cafe.daum.net.</t>
        </is>
      </c>
      <c r="G875" t="inlineStr">
        <is>
          <t>051-291-3535</t>
        </is>
      </c>
      <c r="H875" s="15" t="n">
        <v>73</v>
      </c>
      <c r="I875" s="15" t="n">
        <v>9</v>
      </c>
      <c r="J875" s="15" t="n">
        <v>10</v>
      </c>
      <c r="K875" s="15" t="n">
        <v>10</v>
      </c>
      <c r="L875" s="15" t="n">
        <v>0</v>
      </c>
      <c r="M875" s="15" t="n">
        <v>0</v>
      </c>
      <c r="N875" s="15" t="n">
        <v>0</v>
      </c>
      <c r="O875" s="15" t="n">
        <v>0</v>
      </c>
      <c r="P875" s="15" t="n">
        <v>11</v>
      </c>
      <c r="Q875" s="15" t="n">
        <v>0</v>
      </c>
      <c r="R875" s="15" t="n">
        <v>0</v>
      </c>
      <c r="S875" s="15" t="n">
        <v>14</v>
      </c>
      <c r="T875" s="14">
        <f>IF(COUNT(I875:S875)=0,"",SUM(I875:S875))</f>
        <v/>
      </c>
      <c r="U875" t="inlineStr"/>
    </row>
    <row r="876">
      <c r="A876" t="inlineStr">
        <is>
          <t>청솔어린이집</t>
        </is>
      </c>
      <c r="B876" t="inlineStr">
        <is>
          <t>어린이집</t>
        </is>
      </c>
      <c r="C876" t="inlineStr">
        <is>
          <t>사회복지법인</t>
        </is>
      </c>
      <c r="D876" t="inlineStr">
        <is>
          <t>사하구</t>
        </is>
      </c>
      <c r="E876" t="inlineStr">
        <is>
          <t>부산광역시 사하구 다대로271번길 30 (장림동)</t>
        </is>
      </c>
      <c r="F876" s="11" t="inlineStr">
        <is>
          <t>http://cafe.daum.net/cchungsol</t>
        </is>
      </c>
      <c r="G876" t="inlineStr">
        <is>
          <t>070-4036-0096</t>
        </is>
      </c>
      <c r="H876" s="15" t="n">
        <v>39</v>
      </c>
      <c r="I876" s="15" t="n">
        <v>0</v>
      </c>
      <c r="J876" s="15" t="n">
        <v>0</v>
      </c>
      <c r="K876" s="15" t="n">
        <v>0</v>
      </c>
      <c r="L876" s="15" t="n">
        <v>0</v>
      </c>
      <c r="M876" s="15" t="n">
        <v>0</v>
      </c>
      <c r="N876" s="15" t="n">
        <v>0</v>
      </c>
      <c r="O876" s="15" t="n">
        <v>0</v>
      </c>
      <c r="P876" s="15" t="n">
        <v>0</v>
      </c>
      <c r="Q876" s="15" t="n">
        <v>0</v>
      </c>
      <c r="R876" s="15" t="n">
        <v>12</v>
      </c>
      <c r="S876" s="15" t="n">
        <v>0</v>
      </c>
      <c r="T876" s="14">
        <f>IF(COUNT(I876:S876)=0,"",SUM(I876:S876))</f>
        <v/>
      </c>
      <c r="U876" t="inlineStr"/>
    </row>
    <row r="877">
      <c r="A877" t="inlineStr">
        <is>
          <t>초록꿈어린이집</t>
        </is>
      </c>
      <c r="B877" t="inlineStr">
        <is>
          <t>어린이집</t>
        </is>
      </c>
      <c r="C877" t="inlineStr">
        <is>
          <t>국공립</t>
        </is>
      </c>
      <c r="D877" t="inlineStr">
        <is>
          <t>사하구</t>
        </is>
      </c>
      <c r="E877" t="inlineStr">
        <is>
          <t>부산광역시 사하구 을숙도대로 744 (구평동)  구평복지관 내</t>
        </is>
      </c>
      <c r="F877" t="inlineStr"/>
      <c r="G877" t="inlineStr">
        <is>
          <t>051-263-3051</t>
        </is>
      </c>
      <c r="H877" s="15" t="n">
        <v>62</v>
      </c>
      <c r="I877" s="15" t="n">
        <v>11</v>
      </c>
      <c r="J877" s="15" t="n">
        <v>10</v>
      </c>
      <c r="K877" s="15" t="n">
        <v>15</v>
      </c>
      <c r="L877" s="15" t="n">
        <v>0</v>
      </c>
      <c r="M877" s="15" t="n">
        <v>0</v>
      </c>
      <c r="N877" s="15" t="n">
        <v>0</v>
      </c>
      <c r="O877" s="15" t="n">
        <v>0</v>
      </c>
      <c r="P877" s="15" t="n">
        <v>10</v>
      </c>
      <c r="Q877" s="15" t="n">
        <v>0</v>
      </c>
      <c r="R877" s="15" t="n">
        <v>0</v>
      </c>
      <c r="S877" s="15" t="n">
        <v>5</v>
      </c>
      <c r="T877" s="14">
        <f>IF(COUNT(I877:S877)=0,"",SUM(I877:S877))</f>
        <v/>
      </c>
      <c r="U877" t="inlineStr"/>
    </row>
    <row r="878">
      <c r="A878" t="inlineStr">
        <is>
          <t>초록어린이집</t>
        </is>
      </c>
      <c r="B878" t="inlineStr">
        <is>
          <t>어린이집</t>
        </is>
      </c>
      <c r="C878" t="inlineStr">
        <is>
          <t>민간</t>
        </is>
      </c>
      <c r="D878" t="inlineStr">
        <is>
          <t>사하구</t>
        </is>
      </c>
      <c r="E878" t="inlineStr">
        <is>
          <t>부산광역시 사하구 장평로443번길 42 10통1반 (괴정동)</t>
        </is>
      </c>
      <c r="F878" t="inlineStr"/>
      <c r="G878" t="inlineStr">
        <is>
          <t>051-208-4564</t>
        </is>
      </c>
      <c r="H878" s="15" t="n">
        <v>98</v>
      </c>
      <c r="I878" s="15" t="n">
        <v>6</v>
      </c>
      <c r="J878" s="15" t="n">
        <v>14</v>
      </c>
      <c r="K878" s="15" t="n">
        <v>12</v>
      </c>
      <c r="L878" s="15" t="n">
        <v>0</v>
      </c>
      <c r="M878" s="15" t="n">
        <v>0</v>
      </c>
      <c r="N878" s="15" t="n">
        <v>0</v>
      </c>
      <c r="O878" s="15" t="n">
        <v>0</v>
      </c>
      <c r="P878" s="15" t="n">
        <v>9</v>
      </c>
      <c r="Q878" s="15" t="n">
        <v>0</v>
      </c>
      <c r="R878" s="15" t="n">
        <v>0</v>
      </c>
      <c r="S878" s="15" t="n">
        <v>9</v>
      </c>
      <c r="T878" s="14">
        <f>IF(COUNT(I878:S878)=0,"",SUM(I878:S878))</f>
        <v/>
      </c>
      <c r="U878" t="inlineStr"/>
    </row>
    <row r="879">
      <c r="A879" t="inlineStr">
        <is>
          <t>캐슬꿈사랑어린이집</t>
        </is>
      </c>
      <c r="B879" t="inlineStr">
        <is>
          <t>어린이집</t>
        </is>
      </c>
      <c r="C879" t="inlineStr">
        <is>
          <t>가정</t>
        </is>
      </c>
      <c r="D879" t="inlineStr">
        <is>
          <t>사하구</t>
        </is>
      </c>
      <c r="E879" t="inlineStr">
        <is>
          <t>부산광역시 사하구 다대낙조2길 100 408동 101호(다대동, 다대동롯데캐슬몰운대)</t>
        </is>
      </c>
      <c r="F879" t="inlineStr"/>
      <c r="G879" t="inlineStr">
        <is>
          <t>051-263-2220</t>
        </is>
      </c>
      <c r="H879" s="15" t="n">
        <v>19</v>
      </c>
      <c r="I879" s="15" t="n">
        <v>0</v>
      </c>
      <c r="J879" s="15" t="n">
        <v>7</v>
      </c>
      <c r="K879" s="15" t="n">
        <v>6</v>
      </c>
      <c r="L879" s="15" t="n">
        <v>0</v>
      </c>
      <c r="M879" s="15" t="n">
        <v>0</v>
      </c>
      <c r="N879" s="15" t="n">
        <v>0</v>
      </c>
      <c r="O879" s="15" t="n">
        <v>0</v>
      </c>
      <c r="P879" s="15" t="n">
        <v>0</v>
      </c>
      <c r="Q879" s="15" t="n">
        <v>0</v>
      </c>
      <c r="R879" s="15" t="n">
        <v>0</v>
      </c>
      <c r="S879" s="15" t="n">
        <v>3</v>
      </c>
      <c r="T879" s="14">
        <f>IF(COUNT(I879:S879)=0,"",SUM(I879:S879))</f>
        <v/>
      </c>
      <c r="U879" t="inlineStr"/>
    </row>
    <row r="880">
      <c r="A880" t="inlineStr">
        <is>
          <t>큰나무어린이집</t>
        </is>
      </c>
      <c r="B880" t="inlineStr">
        <is>
          <t>어린이집</t>
        </is>
      </c>
      <c r="C880" t="inlineStr">
        <is>
          <t>민간</t>
        </is>
      </c>
      <c r="D880" t="inlineStr">
        <is>
          <t>사하구</t>
        </is>
      </c>
      <c r="E880" t="inlineStr">
        <is>
          <t>부산광역시 사하구 윤공단로 123 (다대동,다대푸르지오아파트 관리동)</t>
        </is>
      </c>
      <c r="F880" t="inlineStr"/>
      <c r="G880" t="inlineStr">
        <is>
          <t>051-264-7750</t>
        </is>
      </c>
      <c r="H880" s="15" t="n">
        <v>39</v>
      </c>
      <c r="I880" s="15" t="n">
        <v>2</v>
      </c>
      <c r="J880" s="15" t="n">
        <v>4</v>
      </c>
      <c r="K880" s="15" t="n">
        <v>4</v>
      </c>
      <c r="L880" s="15" t="n">
        <v>0</v>
      </c>
      <c r="M880" s="15" t="n">
        <v>0</v>
      </c>
      <c r="N880" s="15" t="n">
        <v>0</v>
      </c>
      <c r="O880" s="15" t="n">
        <v>0</v>
      </c>
      <c r="P880" s="15" t="n">
        <v>0</v>
      </c>
      <c r="Q880" s="15" t="n">
        <v>0</v>
      </c>
      <c r="R880" s="15" t="n">
        <v>0</v>
      </c>
      <c r="S880" s="15" t="n">
        <v>3</v>
      </c>
      <c r="T880" s="14">
        <f>IF(COUNT(I880:S880)=0,"",SUM(I880:S880))</f>
        <v/>
      </c>
      <c r="U880" t="inlineStr"/>
    </row>
    <row r="881">
      <c r="A881" t="inlineStr">
        <is>
          <t>키즈아트어린이집</t>
        </is>
      </c>
      <c r="B881" t="inlineStr">
        <is>
          <t>어린이집</t>
        </is>
      </c>
      <c r="C881" t="inlineStr">
        <is>
          <t>민간</t>
        </is>
      </c>
      <c r="D881" t="inlineStr">
        <is>
          <t>사하구</t>
        </is>
      </c>
      <c r="E881" t="inlineStr">
        <is>
          <t>부산광역시 사하구 다대로297번길 24 장림현대아파트 유치원동 (장림동)</t>
        </is>
      </c>
      <c r="F881" t="inlineStr"/>
      <c r="G881" t="inlineStr">
        <is>
          <t>051-961-8112</t>
        </is>
      </c>
      <c r="H881" s="15" t="n">
        <v>99</v>
      </c>
      <c r="I881" s="15" t="n">
        <v>2</v>
      </c>
      <c r="J881" s="15" t="n">
        <v>4</v>
      </c>
      <c r="K881" s="15" t="n">
        <v>7</v>
      </c>
      <c r="L881" s="15" t="n">
        <v>0</v>
      </c>
      <c r="M881" s="15" t="n">
        <v>0</v>
      </c>
      <c r="N881" s="15" t="n">
        <v>0</v>
      </c>
      <c r="O881" s="15" t="n">
        <v>2</v>
      </c>
      <c r="P881" s="15" t="n">
        <v>26</v>
      </c>
      <c r="Q881" s="15" t="n">
        <v>0</v>
      </c>
      <c r="R881" s="15" t="n">
        <v>0</v>
      </c>
      <c r="S881" s="15" t="n">
        <v>26</v>
      </c>
      <c r="T881" s="14">
        <f>IF(COUNT(I881:S881)=0,"",SUM(I881:S881))</f>
        <v/>
      </c>
      <c r="U881" t="inlineStr"/>
    </row>
    <row r="882">
      <c r="A882" t="inlineStr">
        <is>
          <t>통통어린이집</t>
        </is>
      </c>
      <c r="B882" t="inlineStr">
        <is>
          <t>어린이집</t>
        </is>
      </c>
      <c r="C882" t="inlineStr">
        <is>
          <t>가정</t>
        </is>
      </c>
      <c r="D882" t="inlineStr">
        <is>
          <t>사하구</t>
        </is>
      </c>
      <c r="E882" t="inlineStr">
        <is>
          <t>부산광역시 사하구 하신번영로 365 108동 103호(하단동, 가락타운1단지)</t>
        </is>
      </c>
      <c r="F882" t="inlineStr"/>
      <c r="G882" t="inlineStr">
        <is>
          <t>051-201-1077</t>
        </is>
      </c>
      <c r="H882" s="15" t="n">
        <v>19</v>
      </c>
      <c r="I882" s="15" t="n">
        <v>3</v>
      </c>
      <c r="J882" s="15" t="n">
        <v>3</v>
      </c>
      <c r="K882" s="15" t="n">
        <v>6</v>
      </c>
      <c r="L882" s="15" t="n">
        <v>0</v>
      </c>
      <c r="M882" s="15" t="n">
        <v>0</v>
      </c>
      <c r="N882" s="15" t="n">
        <v>0</v>
      </c>
      <c r="O882" s="15" t="n">
        <v>0</v>
      </c>
      <c r="P882" s="15" t="n">
        <v>0</v>
      </c>
      <c r="Q882" s="15" t="n">
        <v>0</v>
      </c>
      <c r="R882" s="15" t="n">
        <v>0</v>
      </c>
      <c r="S882" s="15" t="n">
        <v>3</v>
      </c>
      <c r="T882" s="14">
        <f>IF(COUNT(I882:S882)=0,"",SUM(I882:S882))</f>
        <v/>
      </c>
      <c r="U882" t="inlineStr"/>
    </row>
    <row r="883">
      <c r="A883" t="inlineStr">
        <is>
          <t>파란나라어린이집</t>
        </is>
      </c>
      <c r="B883" t="inlineStr">
        <is>
          <t>어린이집</t>
        </is>
      </c>
      <c r="C883" t="inlineStr">
        <is>
          <t>가정</t>
        </is>
      </c>
      <c r="D883" t="inlineStr">
        <is>
          <t>사하구</t>
        </is>
      </c>
      <c r="E883" t="inlineStr">
        <is>
          <t>부산광역시 사하구 윤공단로 30-1</t>
        </is>
      </c>
      <c r="F883" t="inlineStr"/>
      <c r="G883" t="inlineStr">
        <is>
          <t>051-263-6271</t>
        </is>
      </c>
      <c r="H883" s="15" t="n">
        <v>20</v>
      </c>
      <c r="I883" s="15" t="n">
        <v>0</v>
      </c>
      <c r="J883" s="15" t="n">
        <v>0</v>
      </c>
      <c r="K883" s="15" t="n">
        <v>0</v>
      </c>
      <c r="L883" s="15" t="n">
        <v>0</v>
      </c>
      <c r="M883" s="15" t="n">
        <v>0</v>
      </c>
      <c r="N883" s="15" t="n">
        <v>0</v>
      </c>
      <c r="O883" s="15" t="n">
        <v>5</v>
      </c>
      <c r="P883" s="15" t="n">
        <v>0</v>
      </c>
      <c r="Q883" s="15" t="n">
        <v>0</v>
      </c>
      <c r="R883" s="15" t="n">
        <v>0</v>
      </c>
      <c r="S883" s="15" t="n">
        <v>5</v>
      </c>
      <c r="T883" s="14">
        <f>IF(COUNT(I883:S883)=0,"",SUM(I883:S883))</f>
        <v/>
      </c>
      <c r="U883" t="inlineStr"/>
    </row>
    <row r="884">
      <c r="A884" t="inlineStr">
        <is>
          <t>푸르지오꿈나무어린이집</t>
        </is>
      </c>
      <c r="B884" t="inlineStr">
        <is>
          <t>어린이집</t>
        </is>
      </c>
      <c r="C884" t="inlineStr">
        <is>
          <t>민간</t>
        </is>
      </c>
      <c r="D884" t="inlineStr">
        <is>
          <t>사하구</t>
        </is>
      </c>
      <c r="E884" t="inlineStr">
        <is>
          <t>부산광역시 사하구 승학로71번길 30</t>
        </is>
      </c>
      <c r="F884" t="inlineStr"/>
      <c r="G884" t="inlineStr">
        <is>
          <t>051-203-7373</t>
        </is>
      </c>
      <c r="H884" s="15" t="n">
        <v>39</v>
      </c>
      <c r="I884" s="15" t="n">
        <v>2</v>
      </c>
      <c r="J884" s="15" t="n">
        <v>0</v>
      </c>
      <c r="K884" s="15" t="n">
        <v>0</v>
      </c>
      <c r="L884" s="15" t="n">
        <v>0</v>
      </c>
      <c r="M884" s="15" t="n">
        <v>0</v>
      </c>
      <c r="N884" s="15" t="n">
        <v>0</v>
      </c>
      <c r="O884" s="15" t="n">
        <v>7</v>
      </c>
      <c r="P884" s="15" t="n">
        <v>0</v>
      </c>
      <c r="Q884" s="15" t="n">
        <v>0</v>
      </c>
      <c r="R884" s="15" t="n">
        <v>0</v>
      </c>
      <c r="S884" s="15" t="n">
        <v>3</v>
      </c>
      <c r="T884" s="14">
        <f>IF(COUNT(I884:S884)=0,"",SUM(I884:S884))</f>
        <v/>
      </c>
      <c r="U884" t="inlineStr"/>
    </row>
    <row r="885">
      <c r="A885" t="inlineStr">
        <is>
          <t>푸르지오어린이집</t>
        </is>
      </c>
      <c r="B885" t="inlineStr">
        <is>
          <t>어린이집</t>
        </is>
      </c>
      <c r="C885" t="inlineStr">
        <is>
          <t>가정</t>
        </is>
      </c>
      <c r="D885" t="inlineStr">
        <is>
          <t>사하구</t>
        </is>
      </c>
      <c r="E885" t="inlineStr">
        <is>
          <t>부산광역시 사하구 윤공단로 123 109-101(다대동, 푸르지오)</t>
        </is>
      </c>
      <c r="F885" t="inlineStr"/>
      <c r="G885" t="inlineStr">
        <is>
          <t>051-262-0700</t>
        </is>
      </c>
      <c r="H885" s="15" t="n">
        <v>20</v>
      </c>
      <c r="I885" s="15" t="n">
        <v>6</v>
      </c>
      <c r="J885" s="15" t="n">
        <v>5</v>
      </c>
      <c r="K885" s="15" t="n">
        <v>6</v>
      </c>
      <c r="L885" s="15" t="n">
        <v>0</v>
      </c>
      <c r="M885" s="15" t="n">
        <v>0</v>
      </c>
      <c r="N885" s="15" t="n">
        <v>0</v>
      </c>
      <c r="O885" s="15" t="n">
        <v>0</v>
      </c>
      <c r="P885" s="15" t="n">
        <v>0</v>
      </c>
      <c r="Q885" s="15" t="n">
        <v>0</v>
      </c>
      <c r="R885" s="15" t="n">
        <v>0</v>
      </c>
      <c r="S885" s="15" t="n">
        <v>4</v>
      </c>
      <c r="T885" s="14">
        <f>IF(COUNT(I885:S885)=0,"",SUM(I885:S885))</f>
        <v/>
      </c>
      <c r="U885" t="inlineStr"/>
    </row>
    <row r="886">
      <c r="A886" t="inlineStr">
        <is>
          <t>하단어린이집</t>
        </is>
      </c>
      <c r="B886" t="inlineStr">
        <is>
          <t>어린이집</t>
        </is>
      </c>
      <c r="C886" t="inlineStr">
        <is>
          <t>국공립</t>
        </is>
      </c>
      <c r="D886" t="inlineStr">
        <is>
          <t>사하구</t>
        </is>
      </c>
      <c r="E886" t="inlineStr">
        <is>
          <t>부산광역시 사하구 괴정로 6 하단어린이집</t>
        </is>
      </c>
      <c r="F886" t="inlineStr"/>
      <c r="G886" t="inlineStr">
        <is>
          <t>051-202-0458</t>
        </is>
      </c>
      <c r="H886" s="15" t="n">
        <v>164</v>
      </c>
      <c r="I886" s="15" t="n">
        <v>0</v>
      </c>
      <c r="J886" s="15" t="n">
        <v>37</v>
      </c>
      <c r="K886" s="15" t="n">
        <v>37</v>
      </c>
      <c r="L886" s="15" t="n">
        <v>18</v>
      </c>
      <c r="M886" s="15" t="n">
        <v>16</v>
      </c>
      <c r="N886" s="15" t="n">
        <v>14</v>
      </c>
      <c r="O886" s="15" t="n">
        <v>0</v>
      </c>
      <c r="P886" s="15" t="n">
        <v>0</v>
      </c>
      <c r="Q886" s="15" t="n">
        <v>0</v>
      </c>
      <c r="R886" s="15" t="n">
        <v>0</v>
      </c>
      <c r="S886" s="15" t="n">
        <v>17</v>
      </c>
      <c r="T886" s="14">
        <f>IF(COUNT(I886:S886)=0,"",SUM(I886:S886))</f>
        <v/>
      </c>
      <c r="U886" t="inlineStr"/>
    </row>
    <row r="887">
      <c r="A887" t="inlineStr">
        <is>
          <t>한나어린이집</t>
        </is>
      </c>
      <c r="B887" t="inlineStr">
        <is>
          <t>어린이집</t>
        </is>
      </c>
      <c r="C887" t="inlineStr">
        <is>
          <t>민간</t>
        </is>
      </c>
      <c r="D887" t="inlineStr">
        <is>
          <t>사하구</t>
        </is>
      </c>
      <c r="E887" t="inlineStr">
        <is>
          <t>부산광역시 사하구 승학로71번길 60 (당리동)</t>
        </is>
      </c>
      <c r="F887" t="inlineStr"/>
      <c r="G887" t="inlineStr">
        <is>
          <t>051-293-4748</t>
        </is>
      </c>
      <c r="H887" s="15" t="n">
        <v>39</v>
      </c>
      <c r="I887" s="15" t="n">
        <v>0</v>
      </c>
      <c r="J887" s="15" t="n">
        <v>0</v>
      </c>
      <c r="K887" s="15" t="n">
        <v>0</v>
      </c>
      <c r="L887" s="15" t="n">
        <v>0</v>
      </c>
      <c r="M887" s="15" t="n">
        <v>0</v>
      </c>
      <c r="N887" s="15" t="n">
        <v>0</v>
      </c>
      <c r="O887" s="15" t="n">
        <v>8</v>
      </c>
      <c r="P887" s="15" t="n">
        <v>11</v>
      </c>
      <c r="Q887" s="15" t="n">
        <v>0</v>
      </c>
      <c r="R887" s="15" t="n">
        <v>0</v>
      </c>
      <c r="S887" s="15" t="n">
        <v>29</v>
      </c>
      <c r="T887" s="14">
        <f>IF(COUNT(I887:S887)=0,"",SUM(I887:S887))</f>
        <v/>
      </c>
      <c r="U887" t="inlineStr"/>
    </row>
    <row r="888">
      <c r="A888" t="inlineStr">
        <is>
          <t>한빛어린이집</t>
        </is>
      </c>
      <c r="B888" t="inlineStr">
        <is>
          <t>어린이집</t>
        </is>
      </c>
      <c r="C888" t="inlineStr">
        <is>
          <t>사회복지법인</t>
        </is>
      </c>
      <c r="D888" t="inlineStr">
        <is>
          <t>사하구</t>
        </is>
      </c>
      <c r="E888" t="inlineStr">
        <is>
          <t>부산광역시 사하구 다송로68번길 26 (다대동)</t>
        </is>
      </c>
      <c r="F888" s="11" t="inlineStr">
        <is>
          <t>https://blog.naver.com/hanvitkids-dadae</t>
        </is>
      </c>
      <c r="G888" t="inlineStr">
        <is>
          <t>051-261-0085</t>
        </is>
      </c>
      <c r="H888" s="15" t="n">
        <v>79</v>
      </c>
      <c r="I888" s="15" t="n">
        <v>6</v>
      </c>
      <c r="J888" s="15" t="n">
        <v>22</v>
      </c>
      <c r="K888" s="15" t="n">
        <v>19</v>
      </c>
      <c r="L888" s="15" t="n">
        <v>0</v>
      </c>
      <c r="M888" s="15" t="n">
        <v>0</v>
      </c>
      <c r="N888" s="15" t="n">
        <v>0</v>
      </c>
      <c r="O888" s="15" t="n">
        <v>0</v>
      </c>
      <c r="P888" s="15" t="n">
        <v>0</v>
      </c>
      <c r="Q888" s="15" t="n">
        <v>0</v>
      </c>
      <c r="R888" s="15" t="n">
        <v>0</v>
      </c>
      <c r="S888" s="15" t="n">
        <v>9</v>
      </c>
      <c r="T888" s="14">
        <f>IF(COUNT(I888:S888)=0,"",SUM(I888:S888))</f>
        <v/>
      </c>
      <c r="U888" t="inlineStr"/>
    </row>
    <row r="889">
      <c r="A889" t="inlineStr">
        <is>
          <t>해담어린이집</t>
        </is>
      </c>
      <c r="B889" t="inlineStr">
        <is>
          <t>어린이집</t>
        </is>
      </c>
      <c r="C889" t="inlineStr">
        <is>
          <t>가정</t>
        </is>
      </c>
      <c r="D889" t="inlineStr">
        <is>
          <t>사하구</t>
        </is>
      </c>
      <c r="E889" t="inlineStr">
        <is>
          <t>부산광역시 사하구 낙동대로356번길 17 당리동</t>
        </is>
      </c>
      <c r="F889" t="inlineStr"/>
      <c r="G889" t="inlineStr">
        <is>
          <t>051-205-2662</t>
        </is>
      </c>
      <c r="H889" s="15" t="n">
        <v>20</v>
      </c>
      <c r="I889" s="15" t="n">
        <v>2</v>
      </c>
      <c r="J889" s="15" t="n">
        <v>4</v>
      </c>
      <c r="K889" s="15" t="n">
        <v>6</v>
      </c>
      <c r="L889" s="15" t="n">
        <v>0</v>
      </c>
      <c r="M889" s="15" t="n">
        <v>0</v>
      </c>
      <c r="N889" s="15" t="n">
        <v>0</v>
      </c>
      <c r="O889" s="15" t="n">
        <v>0</v>
      </c>
      <c r="P889" s="15" t="n">
        <v>0</v>
      </c>
      <c r="Q889" s="15" t="n">
        <v>0</v>
      </c>
      <c r="R889" s="15" t="n">
        <v>0</v>
      </c>
      <c r="S889" s="15" t="n">
        <v>3</v>
      </c>
      <c r="T889" s="14">
        <f>IF(COUNT(I889:S889)=0,"",SUM(I889:S889))</f>
        <v/>
      </c>
      <c r="U889" t="inlineStr"/>
    </row>
    <row r="890">
      <c r="A890" t="inlineStr">
        <is>
          <t>햇님어린이집</t>
        </is>
      </c>
      <c r="B890" t="inlineStr">
        <is>
          <t>어린이집</t>
        </is>
      </c>
      <c r="C890" t="inlineStr">
        <is>
          <t>국공립</t>
        </is>
      </c>
      <c r="D890" t="inlineStr">
        <is>
          <t>사하구</t>
        </is>
      </c>
      <c r="E890" t="inlineStr">
        <is>
          <t>부산광역시 사하구 승학로31번길 1 햇님어린이집 (당리동)</t>
        </is>
      </c>
      <c r="F890" t="inlineStr"/>
      <c r="G890" t="inlineStr">
        <is>
          <t>051-203-0258</t>
        </is>
      </c>
      <c r="H890" s="15" t="n">
        <v>114</v>
      </c>
      <c r="I890" s="15" t="n">
        <v>12</v>
      </c>
      <c r="J890" s="15" t="n">
        <v>13</v>
      </c>
      <c r="K890" s="15" t="n">
        <v>17</v>
      </c>
      <c r="L890" s="15" t="n">
        <v>21</v>
      </c>
      <c r="M890" s="15" t="n">
        <v>14</v>
      </c>
      <c r="N890" s="15" t="n">
        <v>14</v>
      </c>
      <c r="O890" s="15" t="n">
        <v>0</v>
      </c>
      <c r="P890" s="15" t="n">
        <v>0</v>
      </c>
      <c r="Q890" s="15" t="n">
        <v>0</v>
      </c>
      <c r="R890" s="15" t="n">
        <v>0</v>
      </c>
      <c r="S890" s="15" t="n">
        <v>23</v>
      </c>
      <c r="T890" s="14">
        <f>IF(COUNT(I890:S890)=0,"",SUM(I890:S890))</f>
        <v/>
      </c>
      <c r="U890" t="inlineStr"/>
    </row>
    <row r="891">
      <c r="A891" t="inlineStr">
        <is>
          <t>햇볕어린이집</t>
        </is>
      </c>
      <c r="B891" t="inlineStr">
        <is>
          <t>어린이집</t>
        </is>
      </c>
      <c r="C891" t="inlineStr">
        <is>
          <t>민간</t>
        </is>
      </c>
      <c r="D891" t="inlineStr">
        <is>
          <t>사하구</t>
        </is>
      </c>
      <c r="E891" t="inlineStr">
        <is>
          <t>부산광역시 사하구 장평로 132 (장림동)</t>
        </is>
      </c>
      <c r="F891" t="inlineStr"/>
      <c r="G891" t="inlineStr">
        <is>
          <t>051-261-4551</t>
        </is>
      </c>
      <c r="H891" s="15" t="n">
        <v>66</v>
      </c>
      <c r="I891" s="15" t="n">
        <v>0</v>
      </c>
      <c r="J891" s="15" t="n">
        <v>5</v>
      </c>
      <c r="K891" s="15" t="n">
        <v>7</v>
      </c>
      <c r="L891" s="15" t="n">
        <v>0</v>
      </c>
      <c r="M891" s="15" t="n">
        <v>0</v>
      </c>
      <c r="N891" s="15" t="n">
        <v>0</v>
      </c>
      <c r="O891" s="15" t="n">
        <v>11</v>
      </c>
      <c r="P891" s="15" t="n">
        <v>12</v>
      </c>
      <c r="Q891" s="15" t="n">
        <v>0</v>
      </c>
      <c r="R891" s="15" t="n">
        <v>0</v>
      </c>
      <c r="S891" s="15" t="n">
        <v>7</v>
      </c>
      <c r="T891" s="14">
        <f>IF(COUNT(I891:S891)=0,"",SUM(I891:S891))</f>
        <v/>
      </c>
      <c r="U891" t="inlineStr"/>
    </row>
    <row r="892">
      <c r="A892" t="inlineStr">
        <is>
          <t>현대어린이집</t>
        </is>
      </c>
      <c r="B892" t="inlineStr">
        <is>
          <t>어린이집</t>
        </is>
      </c>
      <c r="C892" t="inlineStr">
        <is>
          <t>가정</t>
        </is>
      </c>
      <c r="D892" t="inlineStr">
        <is>
          <t>사하구</t>
        </is>
      </c>
      <c r="E892" t="inlineStr">
        <is>
          <t>부산광역시 사하구 다대로 473 109동 104호(다대동, 현대아파트)</t>
        </is>
      </c>
      <c r="F892" t="inlineStr"/>
      <c r="G892" t="inlineStr">
        <is>
          <t>051-264-6881</t>
        </is>
      </c>
      <c r="H892" s="15" t="n">
        <v>20</v>
      </c>
      <c r="I892" s="15" t="n">
        <v>1</v>
      </c>
      <c r="J892" s="15" t="n">
        <v>4</v>
      </c>
      <c r="K892" s="15" t="n">
        <v>4</v>
      </c>
      <c r="L892" s="15" t="n">
        <v>0</v>
      </c>
      <c r="M892" s="15" t="n">
        <v>0</v>
      </c>
      <c r="N892" s="15" t="n">
        <v>0</v>
      </c>
      <c r="O892" s="15" t="n">
        <v>0</v>
      </c>
      <c r="P892" s="15" t="n">
        <v>0</v>
      </c>
      <c r="Q892" s="15" t="n">
        <v>0</v>
      </c>
      <c r="R892" s="15" t="n">
        <v>0</v>
      </c>
      <c r="S892" s="15" t="n">
        <v>6</v>
      </c>
      <c r="T892" s="14">
        <f>IF(COUNT(I892:S892)=0,"",SUM(I892:S892))</f>
        <v/>
      </c>
      <c r="U892" t="inlineStr"/>
    </row>
    <row r="893">
      <c r="A893" t="inlineStr">
        <is>
          <t>혜성어린이집</t>
        </is>
      </c>
      <c r="B893" t="inlineStr">
        <is>
          <t>어린이집</t>
        </is>
      </c>
      <c r="C893" t="inlineStr">
        <is>
          <t>민간</t>
        </is>
      </c>
      <c r="D893" t="inlineStr">
        <is>
          <t>사하구</t>
        </is>
      </c>
      <c r="E893" t="inlineStr">
        <is>
          <t>부산광역시 사하구 감천로21번길 35 부영벽산아파트관리동</t>
        </is>
      </c>
      <c r="F893" t="inlineStr"/>
      <c r="G893" t="inlineStr">
        <is>
          <t>051-292-1080</t>
        </is>
      </c>
      <c r="H893" s="15" t="n">
        <v>27</v>
      </c>
      <c r="I893" s="15" t="n">
        <v>0</v>
      </c>
      <c r="J893" s="15" t="n">
        <v>3</v>
      </c>
      <c r="K893" s="15" t="n">
        <v>3</v>
      </c>
      <c r="L893" s="15" t="n">
        <v>0</v>
      </c>
      <c r="M893" s="15" t="n">
        <v>0</v>
      </c>
      <c r="N893" s="15" t="n">
        <v>0</v>
      </c>
      <c r="O893" s="15" t="n">
        <v>0</v>
      </c>
      <c r="P893" s="15" t="n">
        <v>0</v>
      </c>
      <c r="Q893" s="15" t="n">
        <v>0</v>
      </c>
      <c r="R893" s="15" t="n">
        <v>0</v>
      </c>
      <c r="S893" s="15" t="n">
        <v>2</v>
      </c>
      <c r="T893" s="14">
        <f>IF(COUNT(I893:S893)=0,"",SUM(I893:S893))</f>
        <v/>
      </c>
      <c r="U893" t="inlineStr"/>
    </row>
    <row r="894">
      <c r="A894" t="inlineStr">
        <is>
          <t>효원어린이집</t>
        </is>
      </c>
      <c r="B894" t="inlineStr">
        <is>
          <t>어린이집</t>
        </is>
      </c>
      <c r="C894" t="inlineStr">
        <is>
          <t>국공립</t>
        </is>
      </c>
      <c r="D894" t="inlineStr">
        <is>
          <t>사하구</t>
        </is>
      </c>
      <c r="E894" t="inlineStr">
        <is>
          <t>부산광역시 사하구 괴정로 267</t>
        </is>
      </c>
      <c r="F894" t="inlineStr"/>
      <c r="G894" t="inlineStr">
        <is>
          <t>051-294-2095</t>
        </is>
      </c>
      <c r="H894" s="15" t="n">
        <v>90</v>
      </c>
      <c r="I894" s="15" t="n">
        <v>8</v>
      </c>
      <c r="J894" s="15" t="n">
        <v>9</v>
      </c>
      <c r="K894" s="15" t="n">
        <v>10</v>
      </c>
      <c r="L894" s="15" t="n">
        <v>6</v>
      </c>
      <c r="M894" s="15" t="n">
        <v>0</v>
      </c>
      <c r="N894" s="15" t="n">
        <v>0</v>
      </c>
      <c r="O894" s="15" t="n">
        <v>0</v>
      </c>
      <c r="P894" s="15" t="n">
        <v>12</v>
      </c>
      <c r="Q894" s="15" t="n">
        <v>0</v>
      </c>
      <c r="R894" s="15" t="n">
        <v>0</v>
      </c>
      <c r="S894" s="15" t="n">
        <v>5</v>
      </c>
      <c r="T894" s="14">
        <f>IF(COUNT(I894:S894)=0,"",SUM(I894:S894))</f>
        <v/>
      </c>
      <c r="U894" t="inlineStr"/>
    </row>
    <row r="895">
      <c r="A895" t="inlineStr">
        <is>
          <t>힐스테이트사하역어린이집</t>
        </is>
      </c>
      <c r="B895" t="inlineStr">
        <is>
          <t>어린이집</t>
        </is>
      </c>
      <c r="C895" t="inlineStr">
        <is>
          <t>국공립</t>
        </is>
      </c>
      <c r="D895" t="inlineStr">
        <is>
          <t>사하구</t>
        </is>
      </c>
      <c r="E895" t="inlineStr">
        <is>
          <t>부산광역시 사하구 괴정로 166 201동</t>
        </is>
      </c>
      <c r="F895" t="inlineStr"/>
      <c r="G895" t="inlineStr">
        <is>
          <t>051-996-0969</t>
        </is>
      </c>
      <c r="H895" s="15" t="n">
        <v>46</v>
      </c>
      <c r="I895" s="15" t="n">
        <v>7</v>
      </c>
      <c r="J895" s="15" t="n">
        <v>20</v>
      </c>
      <c r="K895" s="15" t="n">
        <v>18</v>
      </c>
      <c r="L895" s="15" t="n">
        <v>0</v>
      </c>
      <c r="M895" s="15" t="n">
        <v>0</v>
      </c>
      <c r="N895" s="15" t="n">
        <v>0</v>
      </c>
      <c r="O895" s="15" t="n">
        <v>0</v>
      </c>
      <c r="P895" s="15" t="n">
        <v>0</v>
      </c>
      <c r="Q895" s="15" t="n">
        <v>0</v>
      </c>
      <c r="R895" s="15" t="n">
        <v>0</v>
      </c>
      <c r="S895" s="15" t="n">
        <v>8</v>
      </c>
      <c r="T895" s="14">
        <f>IF(COUNT(I895:S895)=0,"",SUM(I895:S895))</f>
        <v/>
      </c>
      <c r="U895" t="inlineStr"/>
    </row>
    <row r="896">
      <c r="A896" t="inlineStr">
        <is>
          <t>가람어린이집</t>
        </is>
      </c>
      <c r="B896" t="inlineStr">
        <is>
          <t>어린이집</t>
        </is>
      </c>
      <c r="C896" t="inlineStr">
        <is>
          <t>민간</t>
        </is>
      </c>
      <c r="D896" t="inlineStr">
        <is>
          <t>서구</t>
        </is>
      </c>
      <c r="E896" t="inlineStr">
        <is>
          <t>부산광역시 서구 해돋이로 420 (서대신동2가)</t>
        </is>
      </c>
      <c r="F896" t="inlineStr"/>
      <c r="G896" t="inlineStr">
        <is>
          <t>051-255-5294</t>
        </is>
      </c>
      <c r="H896" s="15" t="n">
        <v>49</v>
      </c>
      <c r="I896" s="15" t="n">
        <v>2</v>
      </c>
      <c r="J896" s="15" t="n">
        <v>5</v>
      </c>
      <c r="K896" s="15" t="n">
        <v>4</v>
      </c>
      <c r="L896" s="15" t="n">
        <v>0</v>
      </c>
      <c r="M896" s="15" t="n">
        <v>0</v>
      </c>
      <c r="N896" s="15" t="n">
        <v>0</v>
      </c>
      <c r="O896" s="15" t="n">
        <v>2</v>
      </c>
      <c r="P896" s="15" t="n">
        <v>12</v>
      </c>
      <c r="Q896" s="15" t="n">
        <v>0</v>
      </c>
      <c r="R896" s="15" t="n">
        <v>0</v>
      </c>
      <c r="S896" s="15" t="n">
        <v>5</v>
      </c>
      <c r="T896" s="14">
        <f>IF(COUNT(I896:S896)=0,"",SUM(I896:S896))</f>
        <v/>
      </c>
      <c r="U896" t="inlineStr"/>
    </row>
    <row r="897">
      <c r="A897" t="inlineStr">
        <is>
          <t>꼬마동네어린이집</t>
        </is>
      </c>
      <c r="B897" t="inlineStr">
        <is>
          <t>어린이집</t>
        </is>
      </c>
      <c r="C897" t="inlineStr">
        <is>
          <t>민간</t>
        </is>
      </c>
      <c r="D897" t="inlineStr">
        <is>
          <t>서구</t>
        </is>
      </c>
      <c r="E897" t="inlineStr">
        <is>
          <t>부산광역시 서구 암남로14번길 19 꼬마동네어린이집</t>
        </is>
      </c>
      <c r="F897" s="11" t="inlineStr">
        <is>
          <t>http://club.cyworld.com/ccomadongne</t>
        </is>
      </c>
      <c r="G897" t="inlineStr">
        <is>
          <t>051-255-7735</t>
        </is>
      </c>
      <c r="H897" s="15" t="n">
        <v>49</v>
      </c>
      <c r="I897" s="15" t="n">
        <v>8</v>
      </c>
      <c r="J897" s="15" t="n">
        <v>9</v>
      </c>
      <c r="K897" s="15" t="n">
        <v>4</v>
      </c>
      <c r="L897" s="15" t="n">
        <v>0</v>
      </c>
      <c r="M897" s="15" t="n">
        <v>0</v>
      </c>
      <c r="N897" s="15" t="n">
        <v>0</v>
      </c>
      <c r="O897" s="15" t="n">
        <v>0</v>
      </c>
      <c r="P897" s="15" t="n">
        <v>10</v>
      </c>
      <c r="Q897" s="15" t="n">
        <v>0</v>
      </c>
      <c r="R897" s="15" t="n">
        <v>0</v>
      </c>
      <c r="S897" s="15" t="n">
        <v>5</v>
      </c>
      <c r="T897" s="14">
        <f>IF(COUNT(I897:S897)=0,"",SUM(I897:S897))</f>
        <v/>
      </c>
      <c r="U897" t="inlineStr"/>
    </row>
    <row r="898">
      <c r="A898" t="inlineStr">
        <is>
          <t>내원정사어린이집</t>
        </is>
      </c>
      <c r="B898" t="inlineStr">
        <is>
          <t>어린이집</t>
        </is>
      </c>
      <c r="C898" t="inlineStr">
        <is>
          <t>법인·단체등</t>
        </is>
      </c>
      <c r="D898" t="inlineStr">
        <is>
          <t>서구</t>
        </is>
      </c>
      <c r="E898" t="inlineStr">
        <is>
          <t>부산광역시 서구 엄광산로40번길 26 내원정사어린이집 (서대신동3가)</t>
        </is>
      </c>
      <c r="F898" t="inlineStr"/>
      <c r="G898" t="inlineStr">
        <is>
          <t>051-244-0690</t>
        </is>
      </c>
      <c r="H898" s="15" t="n">
        <v>39</v>
      </c>
      <c r="I898" s="15" t="n">
        <v>0</v>
      </c>
      <c r="J898" s="15" t="n">
        <v>8</v>
      </c>
      <c r="K898" s="15" t="n">
        <v>20</v>
      </c>
      <c r="L898" s="15" t="n">
        <v>0</v>
      </c>
      <c r="M898" s="15" t="n">
        <v>0</v>
      </c>
      <c r="N898" s="15" t="n">
        <v>0</v>
      </c>
      <c r="O898" s="15" t="n">
        <v>0</v>
      </c>
      <c r="P898" s="15" t="n">
        <v>0</v>
      </c>
      <c r="Q898" s="15" t="n">
        <v>0</v>
      </c>
      <c r="R898" s="15" t="n">
        <v>0</v>
      </c>
      <c r="S898" s="15" t="n">
        <v>0</v>
      </c>
      <c r="T898" s="14">
        <f>IF(COUNT(I898:S898)=0,"",SUM(I898:S898))</f>
        <v/>
      </c>
      <c r="U898" t="inlineStr"/>
    </row>
    <row r="899">
      <c r="A899" t="inlineStr">
        <is>
          <t>대신어린이집</t>
        </is>
      </c>
      <c r="B899" t="inlineStr">
        <is>
          <t>어린이집</t>
        </is>
      </c>
      <c r="C899" t="inlineStr">
        <is>
          <t>국공립</t>
        </is>
      </c>
      <c r="D899" t="inlineStr">
        <is>
          <t>서구</t>
        </is>
      </c>
      <c r="E899" t="inlineStr">
        <is>
          <t>부산광역시 서구 구덕로333번길 41-8 대신어린이집 (서대신동3가)</t>
        </is>
      </c>
      <c r="F899" s="11" t="inlineStr">
        <is>
          <t>http://cafe.daum.net/daesinkids</t>
        </is>
      </c>
      <c r="G899" t="inlineStr">
        <is>
          <t>051-256-1245</t>
        </is>
      </c>
      <c r="H899" s="15" t="n">
        <v>34</v>
      </c>
      <c r="I899" s="15" t="n">
        <v>3</v>
      </c>
      <c r="J899" s="15" t="n">
        <v>12</v>
      </c>
      <c r="K899" s="15" t="n">
        <v>13</v>
      </c>
      <c r="L899" s="15" t="n">
        <v>0</v>
      </c>
      <c r="M899" s="15" t="n">
        <v>0</v>
      </c>
      <c r="N899" s="15" t="n">
        <v>0</v>
      </c>
      <c r="O899" s="15" t="n">
        <v>0</v>
      </c>
      <c r="P899" s="15" t="n">
        <v>0</v>
      </c>
      <c r="Q899" s="15" t="n">
        <v>0</v>
      </c>
      <c r="R899" s="15" t="n">
        <v>0</v>
      </c>
      <c r="S899" s="15" t="n">
        <v>5</v>
      </c>
      <c r="T899" s="14">
        <f>IF(COUNT(I899:S899)=0,"",SUM(I899:S899))</f>
        <v/>
      </c>
      <c r="U899" t="inlineStr"/>
    </row>
    <row r="900">
      <c r="A900" t="inlineStr">
        <is>
          <t>더샵어린이집</t>
        </is>
      </c>
      <c r="B900" t="inlineStr">
        <is>
          <t>어린이집</t>
        </is>
      </c>
      <c r="C900" t="inlineStr">
        <is>
          <t>국공립</t>
        </is>
      </c>
      <c r="D900" t="inlineStr">
        <is>
          <t>서구</t>
        </is>
      </c>
      <c r="E900" t="inlineStr">
        <is>
          <t>부산광역시 서구 서대신동3가 꽃마을로 48 더샵아파트</t>
        </is>
      </c>
      <c r="F900" t="inlineStr"/>
      <c r="G900" t="inlineStr">
        <is>
          <t>051-243-8811</t>
        </is>
      </c>
      <c r="H900" s="15" t="n">
        <v>30</v>
      </c>
      <c r="I900" s="15" t="n">
        <v>8</v>
      </c>
      <c r="J900" s="15" t="n">
        <v>7</v>
      </c>
      <c r="K900" s="15" t="n">
        <v>9</v>
      </c>
      <c r="L900" s="15" t="n">
        <v>0</v>
      </c>
      <c r="M900" s="15" t="n">
        <v>0</v>
      </c>
      <c r="N900" s="15" t="n">
        <v>0</v>
      </c>
      <c r="O900" s="15" t="n">
        <v>0</v>
      </c>
      <c r="P900" s="15" t="n">
        <v>0</v>
      </c>
      <c r="Q900" s="15" t="n">
        <v>0</v>
      </c>
      <c r="R900" s="15" t="n">
        <v>0</v>
      </c>
      <c r="S900" s="15" t="n">
        <v>8</v>
      </c>
      <c r="T900" s="14">
        <f>IF(COUNT(I900:S900)=0,"",SUM(I900:S900))</f>
        <v/>
      </c>
      <c r="U900" t="inlineStr"/>
    </row>
    <row r="901">
      <c r="A901" t="inlineStr">
        <is>
          <t>묘심영재어린이집</t>
        </is>
      </c>
      <c r="B901" t="inlineStr">
        <is>
          <t>어린이집</t>
        </is>
      </c>
      <c r="C901" t="inlineStr">
        <is>
          <t>민간</t>
        </is>
      </c>
      <c r="D901" t="inlineStr">
        <is>
          <t>서구</t>
        </is>
      </c>
      <c r="E901" t="inlineStr">
        <is>
          <t>부산광역시 서구 구덕로148번길 25 8/2 (토성동5가)</t>
        </is>
      </c>
      <c r="F901" t="inlineStr"/>
      <c r="G901" t="inlineStr">
        <is>
          <t>051-243-3262</t>
        </is>
      </c>
      <c r="H901" s="15" t="n">
        <v>39</v>
      </c>
      <c r="I901" s="15" t="n">
        <v>2</v>
      </c>
      <c r="J901" s="15" t="n">
        <v>3</v>
      </c>
      <c r="K901" s="15" t="n">
        <v>6</v>
      </c>
      <c r="L901" s="15" t="n">
        <v>0</v>
      </c>
      <c r="M901" s="15" t="n">
        <v>0</v>
      </c>
      <c r="N901" s="15" t="n">
        <v>0</v>
      </c>
      <c r="O901" s="15" t="n">
        <v>0</v>
      </c>
      <c r="P901" s="15" t="n">
        <v>6</v>
      </c>
      <c r="Q901" s="15" t="n">
        <v>0</v>
      </c>
      <c r="R901" s="15" t="n">
        <v>0</v>
      </c>
      <c r="S901" s="15" t="n">
        <v>4</v>
      </c>
      <c r="T901" s="14">
        <f>IF(COUNT(I901:S901)=0,"",SUM(I901:S901))</f>
        <v/>
      </c>
      <c r="U901" t="inlineStr"/>
    </row>
    <row r="902">
      <c r="A902" t="inlineStr">
        <is>
          <t>복된어린이집</t>
        </is>
      </c>
      <c r="B902" t="inlineStr">
        <is>
          <t>어린이집</t>
        </is>
      </c>
      <c r="C902" t="inlineStr">
        <is>
          <t>민간</t>
        </is>
      </c>
      <c r="D902" t="inlineStr">
        <is>
          <t>서구</t>
        </is>
      </c>
      <c r="E902" t="inlineStr">
        <is>
          <t>부산광역시 서구 천마로199번길 11 (남부민동)</t>
        </is>
      </c>
      <c r="F902" t="inlineStr"/>
      <c r="G902" t="inlineStr">
        <is>
          <t>051-243-0448</t>
        </is>
      </c>
      <c r="H902" s="15" t="n">
        <v>35</v>
      </c>
      <c r="I902" s="15" t="n">
        <v>2</v>
      </c>
      <c r="J902" s="15" t="n">
        <v>0</v>
      </c>
      <c r="K902" s="15" t="n">
        <v>0</v>
      </c>
      <c r="L902" s="15" t="n">
        <v>0</v>
      </c>
      <c r="M902" s="15" t="n">
        <v>0</v>
      </c>
      <c r="N902" s="15" t="n">
        <v>0</v>
      </c>
      <c r="O902" s="15" t="n">
        <v>3</v>
      </c>
      <c r="P902" s="15" t="n">
        <v>6</v>
      </c>
      <c r="Q902" s="15" t="n">
        <v>0</v>
      </c>
      <c r="R902" s="15" t="n">
        <v>0</v>
      </c>
      <c r="S902" s="15" t="n">
        <v>9</v>
      </c>
      <c r="T902" s="14">
        <f>IF(COUNT(I902:S902)=0,"",SUM(I902:S902))</f>
        <v/>
      </c>
      <c r="U902" t="inlineStr"/>
    </row>
    <row r="903">
      <c r="A903" t="inlineStr">
        <is>
          <t>부민교회어린이집</t>
        </is>
      </c>
      <c r="B903" t="inlineStr">
        <is>
          <t>어린이집</t>
        </is>
      </c>
      <c r="C903" t="inlineStr">
        <is>
          <t>법인·단체등</t>
        </is>
      </c>
      <c r="D903" t="inlineStr">
        <is>
          <t>서구</t>
        </is>
      </c>
      <c r="E903" t="inlineStr">
        <is>
          <t>부산광역시 서구 부민동2가 임시수도기념로 11-10</t>
        </is>
      </c>
      <c r="F903" t="inlineStr"/>
      <c r="G903" t="inlineStr">
        <is>
          <t>051-257-2577</t>
        </is>
      </c>
      <c r="H903" s="15" t="n">
        <v>72</v>
      </c>
      <c r="I903" s="15" t="n">
        <v>2</v>
      </c>
      <c r="J903" s="15" t="n">
        <v>9</v>
      </c>
      <c r="K903" s="15" t="n">
        <v>10</v>
      </c>
      <c r="L903" s="15" t="n">
        <v>0</v>
      </c>
      <c r="M903" s="15" t="n">
        <v>0</v>
      </c>
      <c r="N903" s="15" t="n">
        <v>0</v>
      </c>
      <c r="O903" s="15" t="n">
        <v>0</v>
      </c>
      <c r="P903" s="15" t="n">
        <v>13</v>
      </c>
      <c r="Q903" s="15" t="n">
        <v>0</v>
      </c>
      <c r="R903" s="15" t="n">
        <v>0</v>
      </c>
      <c r="S903" s="15" t="n">
        <v>9</v>
      </c>
      <c r="T903" s="14">
        <f>IF(COUNT(I903:S903)=0,"",SUM(I903:S903))</f>
        <v/>
      </c>
      <c r="U903" t="inlineStr"/>
    </row>
    <row r="904">
      <c r="A904" t="inlineStr">
        <is>
          <t>브라운스톤어린이집</t>
        </is>
      </c>
      <c r="B904" t="inlineStr">
        <is>
          <t>어린이집</t>
        </is>
      </c>
      <c r="C904" t="inlineStr">
        <is>
          <t>국공립</t>
        </is>
      </c>
      <c r="D904" t="inlineStr">
        <is>
          <t>서구</t>
        </is>
      </c>
      <c r="E904" t="inlineStr">
        <is>
          <t>부산광역시 서구 동대로19번길 32 (동대신동3가, 브라운스톤하이포레)</t>
        </is>
      </c>
      <c r="F904" t="inlineStr"/>
      <c r="G904" t="inlineStr">
        <is>
          <t>051-242-2795</t>
        </is>
      </c>
      <c r="H904" s="15" t="n">
        <v>45</v>
      </c>
      <c r="I904" s="15" t="n">
        <v>0</v>
      </c>
      <c r="J904" s="15" t="n">
        <v>13</v>
      </c>
      <c r="K904" s="15" t="n">
        <v>15</v>
      </c>
      <c r="L904" s="15" t="n">
        <v>6</v>
      </c>
      <c r="M904" s="15" t="n">
        <v>0</v>
      </c>
      <c r="N904" s="15" t="n">
        <v>0</v>
      </c>
      <c r="O904" s="15" t="n">
        <v>0</v>
      </c>
      <c r="P904" s="15" t="n">
        <v>0</v>
      </c>
      <c r="Q904" s="15" t="n">
        <v>0</v>
      </c>
      <c r="R904" s="15" t="n">
        <v>0</v>
      </c>
      <c r="S904" s="15" t="n">
        <v>0</v>
      </c>
      <c r="T904" s="14">
        <f>IF(COUNT(I904:S904)=0,"",SUM(I904:S904))</f>
        <v/>
      </c>
      <c r="U904" t="inlineStr"/>
    </row>
    <row r="905">
      <c r="A905" t="inlineStr">
        <is>
          <t>비스타어린이집</t>
        </is>
      </c>
      <c r="B905" t="inlineStr">
        <is>
          <t>어린이집</t>
        </is>
      </c>
      <c r="C905" t="inlineStr">
        <is>
          <t>국공립</t>
        </is>
      </c>
      <c r="D905" t="inlineStr">
        <is>
          <t>서구</t>
        </is>
      </c>
      <c r="E905" t="inlineStr">
        <is>
          <t>부산광역시 서구 보수대로154번길 29 비스타동원 비스타어린이집</t>
        </is>
      </c>
      <c r="F905" t="inlineStr"/>
      <c r="G905" t="inlineStr">
        <is>
          <t>051-246-0776</t>
        </is>
      </c>
      <c r="H905" s="15" t="n">
        <v>28</v>
      </c>
      <c r="I905" s="15" t="n">
        <v>6</v>
      </c>
      <c r="J905" s="15" t="n">
        <v>15</v>
      </c>
      <c r="K905" s="15" t="n">
        <v>7</v>
      </c>
      <c r="L905" s="15" t="n">
        <v>0</v>
      </c>
      <c r="M905" s="15" t="n">
        <v>0</v>
      </c>
      <c r="N905" s="15" t="n">
        <v>0</v>
      </c>
      <c r="O905" s="15" t="n">
        <v>0</v>
      </c>
      <c r="P905" s="15" t="n">
        <v>0</v>
      </c>
      <c r="Q905" s="15" t="n">
        <v>0</v>
      </c>
      <c r="R905" s="15" t="n">
        <v>0</v>
      </c>
      <c r="S905" s="15" t="n">
        <v>0</v>
      </c>
      <c r="T905" s="14">
        <f>IF(COUNT(I905:S905)=0,"",SUM(I905:S905))</f>
        <v/>
      </c>
      <c r="U905" t="inlineStr"/>
    </row>
    <row r="906">
      <c r="A906" t="inlineStr">
        <is>
          <t>송도힐스테이트어린이집</t>
        </is>
      </c>
      <c r="B906" t="inlineStr">
        <is>
          <t>어린이집</t>
        </is>
      </c>
      <c r="C906" t="inlineStr">
        <is>
          <t>국공립</t>
        </is>
      </c>
      <c r="D906" t="inlineStr">
        <is>
          <t>서구</t>
        </is>
      </c>
      <c r="E906" t="inlineStr">
        <is>
          <t>부산광역시 서구 송도해변로 192 송도힐스테이트이진베이시티</t>
        </is>
      </c>
      <c r="F906" t="inlineStr"/>
      <c r="G906" t="inlineStr">
        <is>
          <t>051-244-3531</t>
        </is>
      </c>
      <c r="H906" s="15" t="n">
        <v>70</v>
      </c>
      <c r="I906" s="15" t="n">
        <v>6</v>
      </c>
      <c r="J906" s="15" t="n">
        <v>25</v>
      </c>
      <c r="K906" s="15" t="n">
        <v>25</v>
      </c>
      <c r="L906" s="15" t="n">
        <v>0</v>
      </c>
      <c r="M906" s="15" t="n">
        <v>0</v>
      </c>
      <c r="N906" s="15" t="n">
        <v>0</v>
      </c>
      <c r="O906" s="15" t="n">
        <v>0</v>
      </c>
      <c r="P906" s="15" t="n">
        <v>0</v>
      </c>
      <c r="Q906" s="15" t="n">
        <v>0</v>
      </c>
      <c r="R906" s="15" t="n">
        <v>0</v>
      </c>
      <c r="S906" s="15" t="n">
        <v>5</v>
      </c>
      <c r="T906" s="14">
        <f>IF(COUNT(I906:S906)=0,"",SUM(I906:S906))</f>
        <v/>
      </c>
      <c r="U906" t="inlineStr"/>
    </row>
    <row r="907">
      <c r="A907" t="inlineStr">
        <is>
          <t>수림어린이집</t>
        </is>
      </c>
      <c r="B907" t="inlineStr">
        <is>
          <t>어린이집</t>
        </is>
      </c>
      <c r="C907" t="inlineStr">
        <is>
          <t>민간</t>
        </is>
      </c>
      <c r="D907" t="inlineStr">
        <is>
          <t>서구</t>
        </is>
      </c>
      <c r="E907" t="inlineStr">
        <is>
          <t>부산광역시 서구 서대신동3가 시약로 34 수림어린이집</t>
        </is>
      </c>
      <c r="F907" s="11" t="inlineStr">
        <is>
          <t>https://blog.naver.com/keon0927</t>
        </is>
      </c>
      <c r="G907" t="inlineStr">
        <is>
          <t>051-241-1400</t>
        </is>
      </c>
      <c r="H907" s="15" t="n">
        <v>62</v>
      </c>
      <c r="I907" s="15" t="n">
        <v>0</v>
      </c>
      <c r="J907" s="15" t="n">
        <v>5</v>
      </c>
      <c r="K907" s="15" t="n">
        <v>0</v>
      </c>
      <c r="L907" s="15" t="n">
        <v>0</v>
      </c>
      <c r="M907" s="15" t="n">
        <v>0</v>
      </c>
      <c r="N907" s="15" t="n">
        <v>0</v>
      </c>
      <c r="O907" s="15" t="n">
        <v>8</v>
      </c>
      <c r="P907" s="15" t="n">
        <v>10</v>
      </c>
      <c r="Q907" s="15" t="n">
        <v>0</v>
      </c>
      <c r="R907" s="15" t="n">
        <v>0</v>
      </c>
      <c r="S907" s="15" t="n">
        <v>3</v>
      </c>
      <c r="T907" s="14">
        <f>IF(COUNT(I907:S907)=0,"",SUM(I907:S907))</f>
        <v/>
      </c>
      <c r="U907" t="inlineStr"/>
    </row>
    <row r="908">
      <c r="A908" t="inlineStr">
        <is>
          <t>수피아어린이집</t>
        </is>
      </c>
      <c r="B908" t="inlineStr">
        <is>
          <t>어린이집</t>
        </is>
      </c>
      <c r="C908" t="inlineStr">
        <is>
          <t>가정</t>
        </is>
      </c>
      <c r="D908" t="inlineStr">
        <is>
          <t>서구</t>
        </is>
      </c>
      <c r="E908" t="inlineStr">
        <is>
          <t>부산광역시 서구 서대신동3가 대티로 161 (서대신동3가, 대신롯데캐슬 101동 201호)</t>
        </is>
      </c>
      <c r="F908" t="inlineStr"/>
      <c r="G908" t="inlineStr">
        <is>
          <t>051-257-8889</t>
        </is>
      </c>
      <c r="H908" s="15" t="n">
        <v>20</v>
      </c>
      <c r="I908" s="15" t="n">
        <v>0</v>
      </c>
      <c r="J908" s="15" t="n">
        <v>0</v>
      </c>
      <c r="K908" s="15" t="n">
        <v>0</v>
      </c>
      <c r="L908" s="15" t="n">
        <v>0</v>
      </c>
      <c r="M908" s="15" t="n">
        <v>0</v>
      </c>
      <c r="N908" s="15" t="n">
        <v>0</v>
      </c>
      <c r="O908" s="15" t="n">
        <v>8</v>
      </c>
      <c r="P908" s="15" t="n">
        <v>0</v>
      </c>
      <c r="Q908" s="15" t="n">
        <v>0</v>
      </c>
      <c r="R908" s="15" t="n">
        <v>0</v>
      </c>
      <c r="S908" s="15" t="n">
        <v>8</v>
      </c>
      <c r="T908" s="14">
        <f>IF(COUNT(I908:S908)=0,"",SUM(I908:S908))</f>
        <v/>
      </c>
      <c r="U908" t="inlineStr"/>
    </row>
    <row r="909">
      <c r="A909" t="inlineStr">
        <is>
          <t>신광어린이집</t>
        </is>
      </c>
      <c r="B909" t="inlineStr">
        <is>
          <t>어린이집</t>
        </is>
      </c>
      <c r="C909" t="inlineStr">
        <is>
          <t>민간</t>
        </is>
      </c>
      <c r="D909" t="inlineStr">
        <is>
          <t>서구</t>
        </is>
      </c>
      <c r="E909" t="inlineStr">
        <is>
          <t>부산광역시 서구 동대신동2가 보수대로210번길 8 (동대신동2가)</t>
        </is>
      </c>
      <c r="F909" t="inlineStr"/>
      <c r="G909" t="inlineStr">
        <is>
          <t>051-248-5004</t>
        </is>
      </c>
      <c r="H909" s="15" t="n">
        <v>30</v>
      </c>
      <c r="I909" s="15" t="n">
        <v>3</v>
      </c>
      <c r="J909" s="15" t="n">
        <v>0</v>
      </c>
      <c r="K909" s="15" t="n">
        <v>7</v>
      </c>
      <c r="L909" s="15" t="n">
        <v>0</v>
      </c>
      <c r="M909" s="15" t="n">
        <v>0</v>
      </c>
      <c r="N909" s="15" t="n">
        <v>0</v>
      </c>
      <c r="O909" s="15" t="n">
        <v>8</v>
      </c>
      <c r="P909" s="15" t="n">
        <v>0</v>
      </c>
      <c r="Q909" s="15" t="n">
        <v>0</v>
      </c>
      <c r="R909" s="15" t="n">
        <v>0</v>
      </c>
      <c r="S909" s="15" t="n">
        <v>5</v>
      </c>
      <c r="T909" s="14">
        <f>IF(COUNT(I909:S909)=0,"",SUM(I909:S909))</f>
        <v/>
      </c>
      <c r="U909" t="inlineStr"/>
    </row>
    <row r="910">
      <c r="A910" t="inlineStr">
        <is>
          <t>아미행복어린이집</t>
        </is>
      </c>
      <c r="B910" t="inlineStr">
        <is>
          <t>어린이집</t>
        </is>
      </c>
      <c r="C910" t="inlineStr">
        <is>
          <t>국공립</t>
        </is>
      </c>
      <c r="D910" t="inlineStr">
        <is>
          <t>서구</t>
        </is>
      </c>
      <c r="E910" t="inlineStr">
        <is>
          <t>부산광역시 서구 옥천로173번길 29 아미동2가,경동 포레스트힐</t>
        </is>
      </c>
      <c r="F910" t="inlineStr"/>
      <c r="G910" t="inlineStr">
        <is>
          <t>010-7297-1233</t>
        </is>
      </c>
      <c r="H910" s="15" t="n">
        <v>45</v>
      </c>
      <c r="I910" s="15" t="n">
        <v>2</v>
      </c>
      <c r="J910" s="15" t="n">
        <v>12</v>
      </c>
      <c r="K910" s="15" t="n">
        <v>0</v>
      </c>
      <c r="L910" s="15" t="n">
        <v>0</v>
      </c>
      <c r="M910" s="15" t="n">
        <v>0</v>
      </c>
      <c r="N910" s="15" t="n">
        <v>0</v>
      </c>
      <c r="O910" s="15" t="n">
        <v>4</v>
      </c>
      <c r="P910" s="15" t="n">
        <v>7</v>
      </c>
      <c r="Q910" s="15" t="n">
        <v>0</v>
      </c>
      <c r="R910" s="15" t="n">
        <v>2</v>
      </c>
      <c r="S910" s="15" t="n">
        <v>13</v>
      </c>
      <c r="T910" s="14">
        <f>IF(COUNT(I910:S910)=0,"",SUM(I910:S910))</f>
        <v/>
      </c>
      <c r="U910" t="inlineStr"/>
    </row>
    <row r="911">
      <c r="A911" t="inlineStr">
        <is>
          <t>아이숲어린이집</t>
        </is>
      </c>
      <c r="B911" t="inlineStr">
        <is>
          <t>어린이집</t>
        </is>
      </c>
      <c r="C911" t="inlineStr">
        <is>
          <t>가정</t>
        </is>
      </c>
      <c r="D911" t="inlineStr">
        <is>
          <t>서구</t>
        </is>
      </c>
      <c r="E911" t="inlineStr">
        <is>
          <t>부산광역시 서구 대신공원로 37-7 (서대신동3가)</t>
        </is>
      </c>
      <c r="F911" s="11" t="inlineStr">
        <is>
          <t>http://cafe.naver.com/iesup</t>
        </is>
      </c>
      <c r="G911" t="inlineStr">
        <is>
          <t>051-231-3138</t>
        </is>
      </c>
      <c r="H911" s="15" t="n">
        <v>20</v>
      </c>
      <c r="I911" s="15" t="n">
        <v>0</v>
      </c>
      <c r="J911" s="15" t="n">
        <v>5</v>
      </c>
      <c r="K911" s="15" t="n">
        <v>4</v>
      </c>
      <c r="L911" s="15" t="n">
        <v>0</v>
      </c>
      <c r="M911" s="15" t="n">
        <v>0</v>
      </c>
      <c r="N911" s="15" t="n">
        <v>0</v>
      </c>
      <c r="O911" s="15" t="n">
        <v>0</v>
      </c>
      <c r="P911" s="15" t="n">
        <v>0</v>
      </c>
      <c r="Q911" s="15" t="n">
        <v>0</v>
      </c>
      <c r="R911" s="15" t="n">
        <v>0</v>
      </c>
      <c r="S911" s="15" t="n">
        <v>6</v>
      </c>
      <c r="T911" s="14">
        <f>IF(COUNT(I911:S911)=0,"",SUM(I911:S911))</f>
        <v/>
      </c>
      <c r="U911" t="inlineStr"/>
    </row>
    <row r="912">
      <c r="A912" t="inlineStr">
        <is>
          <t>영락어린이집</t>
        </is>
      </c>
      <c r="B912" t="inlineStr">
        <is>
          <t>어린이집</t>
        </is>
      </c>
      <c r="C912" t="inlineStr">
        <is>
          <t>사회복지법인</t>
        </is>
      </c>
      <c r="D912" t="inlineStr">
        <is>
          <t>서구</t>
        </is>
      </c>
      <c r="E912" t="inlineStr">
        <is>
          <t>부산광역시 서구 서대신동3가 꽃마을로 24 영락어린이집</t>
        </is>
      </c>
      <c r="F912" s="11" t="inlineStr">
        <is>
          <t>https://cafe.naver.com/2473539</t>
        </is>
      </c>
      <c r="G912" t="inlineStr">
        <is>
          <t>051-247-3539</t>
        </is>
      </c>
      <c r="H912" s="15" t="n">
        <v>72</v>
      </c>
      <c r="I912" s="15" t="n">
        <v>0</v>
      </c>
      <c r="J912" s="15" t="n">
        <v>10</v>
      </c>
      <c r="K912" s="15" t="n">
        <v>4</v>
      </c>
      <c r="L912" s="15" t="n">
        <v>22</v>
      </c>
      <c r="M912" s="15" t="n">
        <v>11</v>
      </c>
      <c r="N912" s="15" t="n">
        <v>11</v>
      </c>
      <c r="O912" s="15" t="n">
        <v>5</v>
      </c>
      <c r="P912" s="15" t="n">
        <v>0</v>
      </c>
      <c r="Q912" s="15" t="n">
        <v>0</v>
      </c>
      <c r="R912" s="15" t="n">
        <v>0</v>
      </c>
      <c r="S912" s="15" t="n">
        <v>16</v>
      </c>
      <c r="T912" s="14">
        <f>IF(COUNT(I912:S912)=0,"",SUM(I912:S912))</f>
        <v/>
      </c>
      <c r="U912" t="inlineStr"/>
    </row>
    <row r="913">
      <c r="A913" t="inlineStr">
        <is>
          <t>으뜸어린이집</t>
        </is>
      </c>
      <c r="B913" t="inlineStr">
        <is>
          <t>어린이집</t>
        </is>
      </c>
      <c r="C913" t="inlineStr">
        <is>
          <t>국공립</t>
        </is>
      </c>
      <c r="D913" t="inlineStr">
        <is>
          <t>서구</t>
        </is>
      </c>
      <c r="E913" t="inlineStr">
        <is>
          <t>부산광역시 서구 까치고개로 183</t>
        </is>
      </c>
      <c r="F913" t="inlineStr"/>
      <c r="G913" t="inlineStr">
        <is>
          <t>051-242-4455</t>
        </is>
      </c>
      <c r="H913" s="15" t="n">
        <v>89</v>
      </c>
      <c r="I913" s="15" t="n">
        <v>9</v>
      </c>
      <c r="J913" s="15" t="n">
        <v>12</v>
      </c>
      <c r="K913" s="15" t="n">
        <v>10</v>
      </c>
      <c r="L913" s="15" t="n">
        <v>9</v>
      </c>
      <c r="M913" s="15" t="n">
        <v>0</v>
      </c>
      <c r="N913" s="15" t="n">
        <v>9</v>
      </c>
      <c r="O913" s="15" t="n">
        <v>0</v>
      </c>
      <c r="P913" s="15" t="n">
        <v>8</v>
      </c>
      <c r="Q913" s="15" t="n">
        <v>0</v>
      </c>
      <c r="R913" s="15" t="n">
        <v>0</v>
      </c>
      <c r="S913" s="15" t="n">
        <v>12</v>
      </c>
      <c r="T913" s="14">
        <f>IF(COUNT(I913:S913)=0,"",SUM(I913:S913))</f>
        <v/>
      </c>
      <c r="U913" t="inlineStr"/>
    </row>
    <row r="914">
      <c r="A914" t="inlineStr">
        <is>
          <t>이편한세상송도어린이집</t>
        </is>
      </c>
      <c r="B914" t="inlineStr">
        <is>
          <t>어린이집</t>
        </is>
      </c>
      <c r="C914" t="inlineStr">
        <is>
          <t>국공립</t>
        </is>
      </c>
      <c r="D914" t="inlineStr">
        <is>
          <t>서구</t>
        </is>
      </c>
      <c r="E914" t="inlineStr">
        <is>
          <t>부산광역시 서구 충무대로21번길 9 e편한세상 송도더퍼스트비치</t>
        </is>
      </c>
      <c r="F914" t="inlineStr"/>
      <c r="G914" t="inlineStr">
        <is>
          <t>051-254-8288</t>
        </is>
      </c>
      <c r="H914" s="15" t="n">
        <v>67</v>
      </c>
      <c r="I914" s="15" t="n">
        <v>3</v>
      </c>
      <c r="J914" s="15" t="n">
        <v>30</v>
      </c>
      <c r="K914" s="15" t="n">
        <v>20</v>
      </c>
      <c r="L914" s="15" t="n">
        <v>6</v>
      </c>
      <c r="M914" s="15" t="n">
        <v>0</v>
      </c>
      <c r="N914" s="15" t="n">
        <v>0</v>
      </c>
      <c r="O914" s="15" t="n">
        <v>0</v>
      </c>
      <c r="P914" s="15" t="n">
        <v>0</v>
      </c>
      <c r="Q914" s="15" t="n">
        <v>0</v>
      </c>
      <c r="R914" s="15" t="n">
        <v>0</v>
      </c>
      <c r="S914" s="15" t="n">
        <v>5</v>
      </c>
      <c r="T914" s="14">
        <f>IF(COUNT(I914:S914)=0,"",SUM(I914:S914))</f>
        <v/>
      </c>
      <c r="U914" t="inlineStr"/>
    </row>
    <row r="915">
      <c r="A915" t="inlineStr">
        <is>
          <t>천마어린이집</t>
        </is>
      </c>
      <c r="B915" t="inlineStr">
        <is>
          <t>어린이집</t>
        </is>
      </c>
      <c r="C915" t="inlineStr">
        <is>
          <t>국공립</t>
        </is>
      </c>
      <c r="D915" t="inlineStr">
        <is>
          <t>서구</t>
        </is>
      </c>
      <c r="E915" t="inlineStr">
        <is>
          <t>부산광역시 서구 천해로13번길 58</t>
        </is>
      </c>
      <c r="F915" s="11" t="inlineStr">
        <is>
          <t>https://blog.naver.com/bscheonma3779</t>
        </is>
      </c>
      <c r="G915" t="inlineStr">
        <is>
          <t>051-246-3779</t>
        </is>
      </c>
      <c r="H915" s="15" t="n">
        <v>60</v>
      </c>
      <c r="I915" s="15" t="n">
        <v>4</v>
      </c>
      <c r="J915" s="15" t="n">
        <v>8</v>
      </c>
      <c r="K915" s="15" t="n">
        <v>10</v>
      </c>
      <c r="L915" s="15" t="n">
        <v>17</v>
      </c>
      <c r="M915" s="15" t="n">
        <v>0</v>
      </c>
      <c r="N915" s="15" t="n">
        <v>0</v>
      </c>
      <c r="O915" s="15" t="n">
        <v>0</v>
      </c>
      <c r="P915" s="15" t="n">
        <v>15</v>
      </c>
      <c r="Q915" s="15" t="n">
        <v>0</v>
      </c>
      <c r="R915" s="15" t="n">
        <v>0</v>
      </c>
      <c r="S915" s="15" t="n">
        <v>10</v>
      </c>
      <c r="T915" s="14">
        <f>IF(COUNT(I915:S915)=0,"",SUM(I915:S915))</f>
        <v/>
      </c>
      <c r="U915" t="inlineStr"/>
    </row>
    <row r="916">
      <c r="A916" t="inlineStr">
        <is>
          <t>캐슬어린이집</t>
        </is>
      </c>
      <c r="B916" t="inlineStr">
        <is>
          <t>어린이집</t>
        </is>
      </c>
      <c r="C916" t="inlineStr">
        <is>
          <t>국공립</t>
        </is>
      </c>
      <c r="D916" t="inlineStr">
        <is>
          <t>서구</t>
        </is>
      </c>
      <c r="E916" t="inlineStr">
        <is>
          <t>부산광역시 서구 서대신동3가 대티로 161</t>
        </is>
      </c>
      <c r="F916" s="11" t="inlineStr">
        <is>
          <t>https://cafe.daum.net/1004castle/erLE/21</t>
        </is>
      </c>
      <c r="G916" t="inlineStr">
        <is>
          <t>051-248-5044</t>
        </is>
      </c>
      <c r="H916" s="15" t="n">
        <v>30</v>
      </c>
      <c r="I916" s="15" t="n">
        <v>5</v>
      </c>
      <c r="J916" s="15" t="n">
        <v>8</v>
      </c>
      <c r="K916" s="15" t="n">
        <v>5</v>
      </c>
      <c r="L916" s="15" t="n">
        <v>0</v>
      </c>
      <c r="M916" s="15" t="n">
        <v>0</v>
      </c>
      <c r="N916" s="15" t="n">
        <v>0</v>
      </c>
      <c r="O916" s="15" t="n">
        <v>4</v>
      </c>
      <c r="P916" s="15" t="n">
        <v>0</v>
      </c>
      <c r="Q916" s="15" t="n">
        <v>0</v>
      </c>
      <c r="R916" s="15" t="n">
        <v>0</v>
      </c>
      <c r="S916" s="15" t="n">
        <v>0</v>
      </c>
      <c r="T916" s="14">
        <f>IF(COUNT(I916:S916)=0,"",SUM(I916:S916))</f>
        <v/>
      </c>
      <c r="U916" t="inlineStr"/>
    </row>
    <row r="917">
      <c r="A917" t="inlineStr">
        <is>
          <t>푸르지오2차어린이집</t>
        </is>
      </c>
      <c r="B917" t="inlineStr">
        <is>
          <t>어린이집</t>
        </is>
      </c>
      <c r="C917" t="inlineStr">
        <is>
          <t>국공립</t>
        </is>
      </c>
      <c r="D917" t="inlineStr">
        <is>
          <t>서구</t>
        </is>
      </c>
      <c r="E917" t="inlineStr">
        <is>
          <t>부산광역시 서구 고운들로 181</t>
        </is>
      </c>
      <c r="F917" t="inlineStr"/>
      <c r="G917" t="inlineStr">
        <is>
          <t>051-254-7775</t>
        </is>
      </c>
      <c r="H917" s="15" t="n">
        <v>70</v>
      </c>
      <c r="I917" s="15" t="n">
        <v>6</v>
      </c>
      <c r="J917" s="15" t="n">
        <v>29</v>
      </c>
      <c r="K917" s="15" t="n">
        <v>15</v>
      </c>
      <c r="L917" s="15" t="n">
        <v>0</v>
      </c>
      <c r="M917" s="15" t="n">
        <v>0</v>
      </c>
      <c r="N917" s="15" t="n">
        <v>0</v>
      </c>
      <c r="O917" s="15" t="n">
        <v>0</v>
      </c>
      <c r="P917" s="15" t="n">
        <v>5</v>
      </c>
      <c r="Q917" s="15" t="n">
        <v>0</v>
      </c>
      <c r="R917" s="15" t="n">
        <v>0</v>
      </c>
      <c r="S917" s="15" t="n">
        <v>5</v>
      </c>
      <c r="T917" s="14">
        <f>IF(COUNT(I917:S917)=0,"",SUM(I917:S917))</f>
        <v/>
      </c>
      <c r="U917" t="inlineStr"/>
    </row>
    <row r="918">
      <c r="A918" t="inlineStr">
        <is>
          <t>푸르지오어린이집</t>
        </is>
      </c>
      <c r="B918" t="inlineStr">
        <is>
          <t>어린이집</t>
        </is>
      </c>
      <c r="C918" t="inlineStr">
        <is>
          <t>국공립</t>
        </is>
      </c>
      <c r="D918" t="inlineStr">
        <is>
          <t>서구</t>
        </is>
      </c>
      <c r="E918" t="inlineStr">
        <is>
          <t>부산광역시 서구 서대신동1가 대영로38번길 11 (서대신동1가, 대신 푸르지오)</t>
        </is>
      </c>
      <c r="F918" t="inlineStr"/>
      <c r="G918" t="inlineStr">
        <is>
          <t>051-242-9222</t>
        </is>
      </c>
      <c r="H918" s="15" t="n">
        <v>70</v>
      </c>
      <c r="I918" s="15" t="n">
        <v>11</v>
      </c>
      <c r="J918" s="15" t="n">
        <v>19</v>
      </c>
      <c r="K918" s="15" t="n">
        <v>15</v>
      </c>
      <c r="L918" s="15" t="n">
        <v>11</v>
      </c>
      <c r="M918" s="15" t="n">
        <v>0</v>
      </c>
      <c r="N918" s="15" t="n">
        <v>0</v>
      </c>
      <c r="O918" s="15" t="n">
        <v>0</v>
      </c>
      <c r="P918" s="15" t="n">
        <v>0</v>
      </c>
      <c r="Q918" s="15" t="n">
        <v>0</v>
      </c>
      <c r="R918" s="15" t="n">
        <v>0</v>
      </c>
      <c r="S918" s="15" t="n">
        <v>5</v>
      </c>
      <c r="T918" s="14">
        <f>IF(COUNT(I918:S918)=0,"",SUM(I918:S918))</f>
        <v/>
      </c>
      <c r="U918" t="inlineStr"/>
    </row>
    <row r="919">
      <c r="A919" t="inlineStr">
        <is>
          <t>풀잎어린이집</t>
        </is>
      </c>
      <c r="B919" t="inlineStr">
        <is>
          <t>어린이집</t>
        </is>
      </c>
      <c r="C919" t="inlineStr">
        <is>
          <t>국공립</t>
        </is>
      </c>
      <c r="D919" t="inlineStr">
        <is>
          <t>서구</t>
        </is>
      </c>
      <c r="E919" t="inlineStr">
        <is>
          <t>부산광역시 서구 해돋이로 23</t>
        </is>
      </c>
      <c r="F919" s="11" t="inlineStr">
        <is>
          <t>http://cafe.naver.com/pulipkids</t>
        </is>
      </c>
      <c r="G919" t="inlineStr">
        <is>
          <t>051-253-5250</t>
        </is>
      </c>
      <c r="H919" s="15" t="n">
        <v>43</v>
      </c>
      <c r="I919" s="15" t="n">
        <v>5</v>
      </c>
      <c r="J919" s="15" t="n">
        <v>10</v>
      </c>
      <c r="K919" s="15" t="n">
        <v>12</v>
      </c>
      <c r="L919" s="15" t="n">
        <v>0</v>
      </c>
      <c r="M919" s="15" t="n">
        <v>0</v>
      </c>
      <c r="N919" s="15" t="n">
        <v>0</v>
      </c>
      <c r="O919" s="15" t="n">
        <v>0</v>
      </c>
      <c r="P919" s="15" t="n">
        <v>11</v>
      </c>
      <c r="Q919" s="15" t="n">
        <v>0</v>
      </c>
      <c r="R919" s="15" t="n">
        <v>0</v>
      </c>
      <c r="S919" s="15" t="n">
        <v>3</v>
      </c>
      <c r="T919" s="14">
        <f>IF(COUNT(I919:S919)=0,"",SUM(I919:S919))</f>
        <v/>
      </c>
      <c r="U919" t="inlineStr"/>
    </row>
    <row r="920">
      <c r="A920" t="inlineStr">
        <is>
          <t>한마음어린이집</t>
        </is>
      </c>
      <c r="B920" t="inlineStr">
        <is>
          <t>어린이집</t>
        </is>
      </c>
      <c r="C920" t="inlineStr">
        <is>
          <t>국공립</t>
        </is>
      </c>
      <c r="D920" t="inlineStr">
        <is>
          <t>서구</t>
        </is>
      </c>
      <c r="E920" t="inlineStr">
        <is>
          <t>부산광역시 서구 동대신동1가 망양로193번길 104 서구종합사회복지관 내 한마음어린이집 (동대신동1가)</t>
        </is>
      </c>
      <c r="F920" t="inlineStr"/>
      <c r="G920" t="inlineStr">
        <is>
          <t>051-253-1968</t>
        </is>
      </c>
      <c r="H920" s="15" t="n">
        <v>59</v>
      </c>
      <c r="I920" s="15" t="n">
        <v>0</v>
      </c>
      <c r="J920" s="15" t="n">
        <v>0</v>
      </c>
      <c r="K920" s="15" t="n">
        <v>7</v>
      </c>
      <c r="L920" s="15" t="n">
        <v>0</v>
      </c>
      <c r="M920" s="15" t="n">
        <v>0</v>
      </c>
      <c r="N920" s="15" t="n">
        <v>0</v>
      </c>
      <c r="O920" s="15" t="n">
        <v>4</v>
      </c>
      <c r="P920" s="15" t="n">
        <v>25</v>
      </c>
      <c r="Q920" s="15" t="n">
        <v>0</v>
      </c>
      <c r="R920" s="15" t="n">
        <v>6</v>
      </c>
      <c r="S920" s="15" t="n">
        <v>12</v>
      </c>
      <c r="T920" s="14">
        <f>IF(COUNT(I920:S920)=0,"",SUM(I920:S920))</f>
        <v/>
      </c>
      <c r="U920" t="inlineStr"/>
    </row>
    <row r="921">
      <c r="A921" t="inlineStr">
        <is>
          <t>해모로어린이집</t>
        </is>
      </c>
      <c r="B921" t="inlineStr">
        <is>
          <t>어린이집</t>
        </is>
      </c>
      <c r="C921" t="inlineStr">
        <is>
          <t>국공립</t>
        </is>
      </c>
      <c r="D921" t="inlineStr">
        <is>
          <t>서구</t>
        </is>
      </c>
      <c r="E921" t="inlineStr">
        <is>
          <t>부산광역시 서구 대티로 178 대신해모로센트럴</t>
        </is>
      </c>
      <c r="F921" t="inlineStr"/>
      <c r="G921" t="inlineStr">
        <is>
          <t>051-242-7972</t>
        </is>
      </c>
      <c r="H921" s="15" t="n">
        <v>38</v>
      </c>
      <c r="I921" s="15" t="n">
        <v>9</v>
      </c>
      <c r="J921" s="15" t="n">
        <v>14</v>
      </c>
      <c r="K921" s="15" t="n">
        <v>14</v>
      </c>
      <c r="L921" s="15" t="n">
        <v>0</v>
      </c>
      <c r="M921" s="15" t="n">
        <v>0</v>
      </c>
      <c r="N921" s="15" t="n">
        <v>0</v>
      </c>
      <c r="O921" s="15" t="n">
        <v>0</v>
      </c>
      <c r="P921" s="15" t="n">
        <v>0</v>
      </c>
      <c r="Q921" s="15" t="n">
        <v>0</v>
      </c>
      <c r="R921" s="15" t="n">
        <v>0</v>
      </c>
      <c r="S921" s="15" t="n">
        <v>5</v>
      </c>
      <c r="T921" s="14">
        <f>IF(COUNT(I921:S921)=0,"",SUM(I921:S921))</f>
        <v/>
      </c>
      <c r="U921" t="inlineStr"/>
    </row>
    <row r="922">
      <c r="A922" t="inlineStr">
        <is>
          <t>휴플러스어린이집</t>
        </is>
      </c>
      <c r="B922" t="inlineStr">
        <is>
          <t>어린이집</t>
        </is>
      </c>
      <c r="C922" t="inlineStr">
        <is>
          <t>국공립</t>
        </is>
      </c>
      <c r="D922" t="inlineStr">
        <is>
          <t>서구</t>
        </is>
      </c>
      <c r="E922" t="inlineStr">
        <is>
          <t>부산광역시 서구 서대신동3가 보수대로 284</t>
        </is>
      </c>
      <c r="F922" s="11" t="inlineStr">
        <is>
          <t>http://cafe.daum.net/hupluskid</t>
        </is>
      </c>
      <c r="G922" t="inlineStr">
        <is>
          <t>051-243-7776</t>
        </is>
      </c>
      <c r="H922" s="15" t="n">
        <v>20</v>
      </c>
      <c r="I922" s="15" t="n">
        <v>7</v>
      </c>
      <c r="J922" s="15" t="n">
        <v>3</v>
      </c>
      <c r="K922" s="15" t="n">
        <v>5</v>
      </c>
      <c r="L922" s="15" t="n">
        <v>0</v>
      </c>
      <c r="M922" s="15" t="n">
        <v>0</v>
      </c>
      <c r="N922" s="15" t="n">
        <v>0</v>
      </c>
      <c r="O922" s="15" t="n">
        <v>0</v>
      </c>
      <c r="P922" s="15" t="n">
        <v>0</v>
      </c>
      <c r="Q922" s="15" t="n">
        <v>0</v>
      </c>
      <c r="R922" s="15" t="n">
        <v>0</v>
      </c>
      <c r="S922" s="15" t="n">
        <v>3</v>
      </c>
      <c r="T922" s="14">
        <f>IF(COUNT(I922:S922)=0,"",SUM(I922:S922))</f>
        <v/>
      </c>
      <c r="U922" t="inlineStr"/>
    </row>
    <row r="923">
      <c r="A923" t="inlineStr">
        <is>
          <t>가림어린이집</t>
        </is>
      </c>
      <c r="B923" t="inlineStr">
        <is>
          <t>어린이집</t>
        </is>
      </c>
      <c r="C923" t="inlineStr">
        <is>
          <t>민간</t>
        </is>
      </c>
      <c r="D923" t="inlineStr">
        <is>
          <t>수영구</t>
        </is>
      </c>
      <c r="E923" t="inlineStr">
        <is>
          <t>부산광역시 수영구 광일로14번길 25-2</t>
        </is>
      </c>
      <c r="F923" t="inlineStr"/>
      <c r="G923" t="inlineStr">
        <is>
          <t>051-759-7814</t>
        </is>
      </c>
      <c r="H923" s="15" t="n">
        <v>43</v>
      </c>
      <c r="I923" s="15" t="n">
        <v>0</v>
      </c>
      <c r="J923" s="15" t="n">
        <v>5</v>
      </c>
      <c r="K923" s="15" t="n">
        <v>0</v>
      </c>
      <c r="L923" s="15" t="n">
        <v>0</v>
      </c>
      <c r="M923" s="15" t="n">
        <v>0</v>
      </c>
      <c r="N923" s="15" t="n">
        <v>0</v>
      </c>
      <c r="O923" s="15" t="n">
        <v>7</v>
      </c>
      <c r="P923" s="15" t="n">
        <v>0</v>
      </c>
      <c r="Q923" s="15" t="n">
        <v>7</v>
      </c>
      <c r="R923" s="15" t="n">
        <v>0</v>
      </c>
      <c r="S923" s="15" t="n">
        <v>8</v>
      </c>
      <c r="T923" s="14">
        <f>IF(COUNT(I923:S923)=0,"",SUM(I923:S923))</f>
        <v/>
      </c>
      <c r="U923" t="inlineStr"/>
    </row>
    <row r="924">
      <c r="A924" t="inlineStr">
        <is>
          <t>곰솔어린이집</t>
        </is>
      </c>
      <c r="B924" t="inlineStr">
        <is>
          <t>어린이집</t>
        </is>
      </c>
      <c r="C924" t="inlineStr">
        <is>
          <t>국공립</t>
        </is>
      </c>
      <c r="D924" t="inlineStr">
        <is>
          <t>수영구</t>
        </is>
      </c>
      <c r="E924" t="inlineStr">
        <is>
          <t>부산광역시 수영구 광일로 36</t>
        </is>
      </c>
      <c r="F924" t="inlineStr"/>
      <c r="G924" t="inlineStr">
        <is>
          <t>051-752-0062</t>
        </is>
      </c>
      <c r="H924" s="15" t="n">
        <v>40</v>
      </c>
      <c r="I924" s="15" t="n">
        <v>6</v>
      </c>
      <c r="J924" s="15" t="n">
        <v>15</v>
      </c>
      <c r="K924" s="15" t="n">
        <v>12</v>
      </c>
      <c r="L924" s="15" t="n">
        <v>0</v>
      </c>
      <c r="M924" s="15" t="n">
        <v>0</v>
      </c>
      <c r="N924" s="15" t="n">
        <v>0</v>
      </c>
      <c r="O924" s="15" t="n">
        <v>0</v>
      </c>
      <c r="P924" s="15" t="n">
        <v>0</v>
      </c>
      <c r="Q924" s="15" t="n">
        <v>0</v>
      </c>
      <c r="R924" s="15" t="n">
        <v>0</v>
      </c>
      <c r="S924" s="15" t="n">
        <v>5</v>
      </c>
      <c r="T924" s="14">
        <f>IF(COUNT(I924:S924)=0,"",SUM(I924:S924))</f>
        <v/>
      </c>
      <c r="U924" t="inlineStr"/>
    </row>
    <row r="925">
      <c r="A925" t="inlineStr">
        <is>
          <t>광안마리나어린이집</t>
        </is>
      </c>
      <c r="B925" t="inlineStr">
        <is>
          <t>어린이집</t>
        </is>
      </c>
      <c r="C925" t="inlineStr">
        <is>
          <t>민간</t>
        </is>
      </c>
      <c r="D925" t="inlineStr">
        <is>
          <t>수영구</t>
        </is>
      </c>
      <c r="E925" t="inlineStr">
        <is>
          <t>부산광역시 수영구 민락수변로7번길 60 (민락동, e편한세상 광안비치아파트) 관리동</t>
        </is>
      </c>
      <c r="F925" t="inlineStr"/>
      <c r="G925" t="inlineStr">
        <is>
          <t>051-924-1003</t>
        </is>
      </c>
      <c r="H925" s="15" t="n">
        <v>28</v>
      </c>
      <c r="I925" s="15" t="n">
        <v>6</v>
      </c>
      <c r="J925" s="15" t="n">
        <v>5</v>
      </c>
      <c r="K925" s="15" t="n">
        <v>7</v>
      </c>
      <c r="L925" s="15" t="n">
        <v>0</v>
      </c>
      <c r="M925" s="15" t="n">
        <v>0</v>
      </c>
      <c r="N925" s="15" t="n">
        <v>0</v>
      </c>
      <c r="O925" s="15" t="n">
        <v>10</v>
      </c>
      <c r="P925" s="15" t="n">
        <v>0</v>
      </c>
      <c r="Q925" s="15" t="n">
        <v>0</v>
      </c>
      <c r="R925" s="15" t="n">
        <v>0</v>
      </c>
      <c r="S925" s="15" t="n">
        <v>8</v>
      </c>
      <c r="T925" s="14">
        <f>IF(COUNT(I925:S925)=0,"",SUM(I925:S925))</f>
        <v/>
      </c>
      <c r="U925" t="inlineStr"/>
    </row>
    <row r="926">
      <c r="A926" t="inlineStr">
        <is>
          <t>광안어린이집</t>
        </is>
      </c>
      <c r="B926" t="inlineStr">
        <is>
          <t>어린이집</t>
        </is>
      </c>
      <c r="C926" t="inlineStr">
        <is>
          <t>국공립</t>
        </is>
      </c>
      <c r="D926" t="inlineStr">
        <is>
          <t>수영구</t>
        </is>
      </c>
      <c r="E926" t="inlineStr">
        <is>
          <t>부산광역시 수영구 광일로29번가길 66 (광안동)</t>
        </is>
      </c>
      <c r="F926" t="inlineStr"/>
      <c r="G926" t="inlineStr">
        <is>
          <t>051-753-5697</t>
        </is>
      </c>
      <c r="H926" s="15" t="n">
        <v>95</v>
      </c>
      <c r="I926" s="15" t="n">
        <v>0</v>
      </c>
      <c r="J926" s="15" t="n">
        <v>15</v>
      </c>
      <c r="K926" s="15" t="n">
        <v>14</v>
      </c>
      <c r="L926" s="15" t="n">
        <v>12</v>
      </c>
      <c r="M926" s="15" t="n">
        <v>15</v>
      </c>
      <c r="N926" s="15" t="n">
        <v>0</v>
      </c>
      <c r="O926" s="15" t="n">
        <v>0</v>
      </c>
      <c r="P926" s="15" t="n">
        <v>0</v>
      </c>
      <c r="Q926" s="15" t="n">
        <v>0</v>
      </c>
      <c r="R926" s="15" t="n">
        <v>0</v>
      </c>
      <c r="S926" s="15" t="n">
        <v>13</v>
      </c>
      <c r="T926" s="14">
        <f>IF(COUNT(I926:S926)=0,"",SUM(I926:S926))</f>
        <v/>
      </c>
      <c r="U926" t="inlineStr"/>
    </row>
    <row r="927">
      <c r="A927" t="inlineStr">
        <is>
          <t>광안자이어린이집</t>
        </is>
      </c>
      <c r="B927" t="inlineStr">
        <is>
          <t>어린이집</t>
        </is>
      </c>
      <c r="C927" t="inlineStr">
        <is>
          <t>국공립</t>
        </is>
      </c>
      <c r="D927" t="inlineStr">
        <is>
          <t>수영구</t>
        </is>
      </c>
      <c r="E927" t="inlineStr">
        <is>
          <t>부산광역시 수영구 호암로29번길 50 광안자이아파트 관리동</t>
        </is>
      </c>
      <c r="F927" t="inlineStr"/>
      <c r="G927" t="inlineStr">
        <is>
          <t>051-791-2553</t>
        </is>
      </c>
      <c r="H927" s="15" t="n">
        <v>48</v>
      </c>
      <c r="I927" s="15" t="n">
        <v>12</v>
      </c>
      <c r="J927" s="15" t="n">
        <v>15</v>
      </c>
      <c r="K927" s="15" t="n">
        <v>18</v>
      </c>
      <c r="L927" s="15" t="n">
        <v>0</v>
      </c>
      <c r="M927" s="15" t="n">
        <v>0</v>
      </c>
      <c r="N927" s="15" t="n">
        <v>0</v>
      </c>
      <c r="O927" s="15" t="n">
        <v>0</v>
      </c>
      <c r="P927" s="15" t="n">
        <v>0</v>
      </c>
      <c r="Q927" s="15" t="n">
        <v>0</v>
      </c>
      <c r="R927" s="15" t="n">
        <v>0</v>
      </c>
      <c r="S927" s="15" t="n">
        <v>13</v>
      </c>
      <c r="T927" s="14">
        <f>IF(COUNT(I927:S927)=0,"",SUM(I927:S927))</f>
        <v/>
      </c>
      <c r="U927" t="inlineStr"/>
    </row>
    <row r="928">
      <c r="A928" t="inlineStr">
        <is>
          <t>글로벌비젼어린이집</t>
        </is>
      </c>
      <c r="B928" t="inlineStr">
        <is>
          <t>어린이집</t>
        </is>
      </c>
      <c r="C928" t="inlineStr">
        <is>
          <t>민간</t>
        </is>
      </c>
      <c r="D928" t="inlineStr">
        <is>
          <t>수영구</t>
        </is>
      </c>
      <c r="E928" t="inlineStr">
        <is>
          <t>부산광역시 수영구 민락로34번길 31-5 (민락동)</t>
        </is>
      </c>
      <c r="F928" t="inlineStr"/>
      <c r="G928" t="inlineStr">
        <is>
          <t>051-757-4446</t>
        </is>
      </c>
      <c r="H928" s="15" t="n">
        <v>39</v>
      </c>
      <c r="I928" s="15" t="n">
        <v>3</v>
      </c>
      <c r="J928" s="15" t="n">
        <v>0</v>
      </c>
      <c r="K928" s="15" t="n">
        <v>4</v>
      </c>
      <c r="L928" s="15" t="n">
        <v>0</v>
      </c>
      <c r="M928" s="15" t="n">
        <v>0</v>
      </c>
      <c r="N928" s="15" t="n">
        <v>0</v>
      </c>
      <c r="O928" s="15" t="n">
        <v>11</v>
      </c>
      <c r="P928" s="15" t="n">
        <v>10</v>
      </c>
      <c r="Q928" s="15" t="n">
        <v>0</v>
      </c>
      <c r="R928" s="15" t="n">
        <v>5</v>
      </c>
      <c r="S928" s="15" t="n">
        <v>17</v>
      </c>
      <c r="T928" s="14">
        <f>IF(COUNT(I928:S928)=0,"",SUM(I928:S928))</f>
        <v/>
      </c>
      <c r="U928" t="inlineStr"/>
    </row>
    <row r="929">
      <c r="A929" t="inlineStr">
        <is>
          <t>꼬꼬마어린이집</t>
        </is>
      </c>
      <c r="B929" t="inlineStr">
        <is>
          <t>어린이집</t>
        </is>
      </c>
      <c r="C929" t="inlineStr">
        <is>
          <t>민간</t>
        </is>
      </c>
      <c r="D929" t="inlineStr">
        <is>
          <t>수영구</t>
        </is>
      </c>
      <c r="E929" t="inlineStr">
        <is>
          <t>부산광역시 수영구 장대골로 27-1 (광안동)</t>
        </is>
      </c>
      <c r="F929" t="inlineStr"/>
      <c r="G929" t="inlineStr">
        <is>
          <t>051-758-5222</t>
        </is>
      </c>
      <c r="H929" s="15" t="n">
        <v>26</v>
      </c>
      <c r="I929" s="15" t="n">
        <v>6</v>
      </c>
      <c r="J929" s="15" t="n">
        <v>5</v>
      </c>
      <c r="K929" s="15" t="n">
        <v>7</v>
      </c>
      <c r="L929" s="15" t="n">
        <v>0</v>
      </c>
      <c r="M929" s="15" t="n">
        <v>0</v>
      </c>
      <c r="N929" s="15" t="n">
        <v>0</v>
      </c>
      <c r="O929" s="15" t="n">
        <v>8</v>
      </c>
      <c r="P929" s="15" t="n">
        <v>0</v>
      </c>
      <c r="Q929" s="15" t="n">
        <v>0</v>
      </c>
      <c r="R929" s="15" t="n">
        <v>0</v>
      </c>
      <c r="S929" s="15" t="n">
        <v>5</v>
      </c>
      <c r="T929" s="14">
        <f>IF(COUNT(I929:S929)=0,"",SUM(I929:S929))</f>
        <v/>
      </c>
      <c r="U929" t="inlineStr"/>
    </row>
    <row r="930">
      <c r="A930" t="inlineStr">
        <is>
          <t>꼬마또래어린이집</t>
        </is>
      </c>
      <c r="B930" t="inlineStr">
        <is>
          <t>어린이집</t>
        </is>
      </c>
      <c r="C930" t="inlineStr">
        <is>
          <t>가정</t>
        </is>
      </c>
      <c r="D930" t="inlineStr">
        <is>
          <t>수영구</t>
        </is>
      </c>
      <c r="E930" t="inlineStr">
        <is>
          <t>부산광역시 수영구 좌수영로 204 203동 102호(망미동, 이편한세상2차)</t>
        </is>
      </c>
      <c r="F930" t="inlineStr"/>
      <c r="G930" t="inlineStr">
        <is>
          <t>051-753-7921</t>
        </is>
      </c>
      <c r="H930" s="15" t="n">
        <v>18</v>
      </c>
      <c r="I930" s="15" t="n">
        <v>3</v>
      </c>
      <c r="J930" s="15" t="n">
        <v>3</v>
      </c>
      <c r="K930" s="15" t="n">
        <v>0</v>
      </c>
      <c r="L930" s="15" t="n">
        <v>0</v>
      </c>
      <c r="M930" s="15" t="n">
        <v>0</v>
      </c>
      <c r="N930" s="15" t="n">
        <v>0</v>
      </c>
      <c r="O930" s="15" t="n">
        <v>0</v>
      </c>
      <c r="P930" s="15" t="n">
        <v>0</v>
      </c>
      <c r="Q930" s="15" t="n">
        <v>0</v>
      </c>
      <c r="R930" s="15" t="n">
        <v>0</v>
      </c>
      <c r="S930" s="15" t="n">
        <v>5</v>
      </c>
      <c r="T930" s="14">
        <f>IF(COUNT(I930:S930)=0,"",SUM(I930:S930))</f>
        <v/>
      </c>
      <c r="U930" t="inlineStr"/>
    </row>
    <row r="931">
      <c r="A931" t="inlineStr">
        <is>
          <t>남천더샵어린이집</t>
        </is>
      </c>
      <c r="B931" t="inlineStr">
        <is>
          <t>어린이집</t>
        </is>
      </c>
      <c r="C931" t="inlineStr">
        <is>
          <t>국공립</t>
        </is>
      </c>
      <c r="D931" t="inlineStr">
        <is>
          <t>수영구</t>
        </is>
      </c>
      <c r="E931" t="inlineStr">
        <is>
          <t>부산광역시 수영구 수영로 389 어린이집</t>
        </is>
      </c>
      <c r="F931" t="inlineStr"/>
      <c r="G931" t="inlineStr">
        <is>
          <t>051-988-1001</t>
        </is>
      </c>
      <c r="H931" s="15" t="n">
        <v>49</v>
      </c>
      <c r="I931" s="15" t="n">
        <v>6</v>
      </c>
      <c r="J931" s="15" t="n">
        <v>15</v>
      </c>
      <c r="K931" s="15" t="n">
        <v>28</v>
      </c>
      <c r="L931" s="15" t="n">
        <v>0</v>
      </c>
      <c r="M931" s="15" t="n">
        <v>0</v>
      </c>
      <c r="N931" s="15" t="n">
        <v>0</v>
      </c>
      <c r="O931" s="15" t="n">
        <v>0</v>
      </c>
      <c r="P931" s="15" t="n">
        <v>0</v>
      </c>
      <c r="Q931" s="15" t="n">
        <v>0</v>
      </c>
      <c r="R931" s="15" t="n">
        <v>0</v>
      </c>
      <c r="S931" s="15" t="n">
        <v>0</v>
      </c>
      <c r="T931" s="14">
        <f>IF(COUNT(I931:S931)=0,"",SUM(I931:S931))</f>
        <v/>
      </c>
      <c r="U931" t="inlineStr"/>
    </row>
    <row r="932">
      <c r="A932" t="inlineStr">
        <is>
          <t>남천어린이집</t>
        </is>
      </c>
      <c r="B932" t="inlineStr">
        <is>
          <t>어린이집</t>
        </is>
      </c>
      <c r="C932" t="inlineStr">
        <is>
          <t>민간</t>
        </is>
      </c>
      <c r="D932" t="inlineStr">
        <is>
          <t>수영구</t>
        </is>
      </c>
      <c r="E932" t="inlineStr">
        <is>
          <t>부산광역시 수영구 남천동로22번길 28</t>
        </is>
      </c>
      <c r="F932" t="inlineStr"/>
      <c r="G932" t="inlineStr">
        <is>
          <t>051-611-9277</t>
        </is>
      </c>
      <c r="H932" s="15" t="n">
        <v>117</v>
      </c>
      <c r="I932" s="15" t="n">
        <v>15</v>
      </c>
      <c r="J932" s="15" t="n">
        <v>30</v>
      </c>
      <c r="K932" s="15" t="n">
        <v>28</v>
      </c>
      <c r="L932" s="15" t="n">
        <v>13</v>
      </c>
      <c r="M932" s="15" t="n">
        <v>0</v>
      </c>
      <c r="N932" s="15" t="n">
        <v>0</v>
      </c>
      <c r="O932" s="15" t="n">
        <v>0</v>
      </c>
      <c r="P932" s="15" t="n">
        <v>13</v>
      </c>
      <c r="Q932" s="15" t="n">
        <v>0</v>
      </c>
      <c r="R932" s="15" t="n">
        <v>0</v>
      </c>
      <c r="S932" s="15" t="n">
        <v>0</v>
      </c>
      <c r="T932" s="14">
        <f>IF(COUNT(I932:S932)=0,"",SUM(I932:S932))</f>
        <v/>
      </c>
      <c r="U932" t="inlineStr"/>
    </row>
    <row r="933">
      <c r="A933" t="inlineStr">
        <is>
          <t>남천자이어린이집</t>
        </is>
      </c>
      <c r="B933" t="inlineStr">
        <is>
          <t>어린이집</t>
        </is>
      </c>
      <c r="C933" t="inlineStr">
        <is>
          <t>국공립</t>
        </is>
      </c>
      <c r="D933" t="inlineStr">
        <is>
          <t>수영구</t>
        </is>
      </c>
      <c r="E933" t="inlineStr">
        <is>
          <t>부산광역시 수영구 남천동로 46 남천자이어린이집</t>
        </is>
      </c>
      <c r="F933" t="inlineStr"/>
      <c r="G933" t="inlineStr">
        <is>
          <t>051-710-7953</t>
        </is>
      </c>
      <c r="H933" s="15" t="n">
        <v>49</v>
      </c>
      <c r="I933" s="15" t="n">
        <v>7</v>
      </c>
      <c r="J933" s="15" t="n">
        <v>20</v>
      </c>
      <c r="K933" s="15" t="n">
        <v>18</v>
      </c>
      <c r="L933" s="15" t="n">
        <v>0</v>
      </c>
      <c r="M933" s="15" t="n">
        <v>0</v>
      </c>
      <c r="N933" s="15" t="n">
        <v>0</v>
      </c>
      <c r="O933" s="15" t="n">
        <v>0</v>
      </c>
      <c r="P933" s="15" t="n">
        <v>0</v>
      </c>
      <c r="Q933" s="15" t="n">
        <v>0</v>
      </c>
      <c r="R933" s="15" t="n">
        <v>4</v>
      </c>
      <c r="S933" s="15" t="n">
        <v>13</v>
      </c>
      <c r="T933" s="14">
        <f>IF(COUNT(I933:S933)=0,"",SUM(I933:S933))</f>
        <v/>
      </c>
      <c r="U933" t="inlineStr"/>
    </row>
    <row r="934">
      <c r="A934" t="inlineStr">
        <is>
          <t>늘해랑어린이집</t>
        </is>
      </c>
      <c r="B934" t="inlineStr">
        <is>
          <t>어린이집</t>
        </is>
      </c>
      <c r="C934" t="inlineStr">
        <is>
          <t>가정</t>
        </is>
      </c>
      <c r="D934" t="inlineStr">
        <is>
          <t>수영구</t>
        </is>
      </c>
      <c r="E934" t="inlineStr">
        <is>
          <t>부산광역시 수영구 연수로249번길 12-7 2동 105호(망미동, 산호맨션)</t>
        </is>
      </c>
      <c r="F934" s="11" t="inlineStr">
        <is>
          <t>http://thhp://cafa.naver.com/gukran</t>
        </is>
      </c>
      <c r="G934" t="inlineStr">
        <is>
          <t>051-754-6457</t>
        </is>
      </c>
      <c r="H934" s="15" t="n">
        <v>18</v>
      </c>
      <c r="I934" s="15" t="n">
        <v>3</v>
      </c>
      <c r="J934" s="15" t="n">
        <v>4</v>
      </c>
      <c r="K934" s="15" t="n">
        <v>0</v>
      </c>
      <c r="L934" s="15" t="n">
        <v>0</v>
      </c>
      <c r="M934" s="15" t="n">
        <v>0</v>
      </c>
      <c r="N934" s="15" t="n">
        <v>0</v>
      </c>
      <c r="O934" s="15" t="n">
        <v>0</v>
      </c>
      <c r="P934" s="15" t="n">
        <v>0</v>
      </c>
      <c r="Q934" s="15" t="n">
        <v>0</v>
      </c>
      <c r="R934" s="15" t="n">
        <v>0</v>
      </c>
      <c r="S934" s="15" t="n">
        <v>3</v>
      </c>
      <c r="T934" s="14">
        <f>IF(COUNT(I934:S934)=0,"",SUM(I934:S934))</f>
        <v/>
      </c>
      <c r="U934" t="inlineStr"/>
    </row>
    <row r="935">
      <c r="A935" t="inlineStr">
        <is>
          <t>다솜어린이집</t>
        </is>
      </c>
      <c r="B935" t="inlineStr">
        <is>
          <t>어린이집</t>
        </is>
      </c>
      <c r="C935" t="inlineStr">
        <is>
          <t>사회복지법인</t>
        </is>
      </c>
      <c r="D935" t="inlineStr">
        <is>
          <t>수영구</t>
        </is>
      </c>
      <c r="E935" t="inlineStr">
        <is>
          <t>부산광역시 수영구 수영로528번길 12-1</t>
        </is>
      </c>
      <c r="F935" t="inlineStr"/>
      <c r="G935" t="inlineStr">
        <is>
          <t>051-753-6662</t>
        </is>
      </c>
      <c r="H935" s="15" t="n">
        <v>46</v>
      </c>
      <c r="I935" s="15" t="n">
        <v>9</v>
      </c>
      <c r="J935" s="15" t="n">
        <v>15</v>
      </c>
      <c r="K935" s="15" t="n">
        <v>11</v>
      </c>
      <c r="L935" s="15" t="n">
        <v>0</v>
      </c>
      <c r="M935" s="15" t="n">
        <v>0</v>
      </c>
      <c r="N935" s="15" t="n">
        <v>0</v>
      </c>
      <c r="O935" s="15" t="n">
        <v>0</v>
      </c>
      <c r="P935" s="15" t="n">
        <v>0</v>
      </c>
      <c r="Q935" s="15" t="n">
        <v>0</v>
      </c>
      <c r="R935" s="15" t="n">
        <v>0</v>
      </c>
      <c r="S935" s="15" t="n">
        <v>8</v>
      </c>
      <c r="T935" s="14">
        <f>IF(COUNT(I935:S935)=0,"",SUM(I935:S935))</f>
        <v/>
      </c>
      <c r="U935" t="inlineStr"/>
    </row>
    <row r="936">
      <c r="A936" t="inlineStr">
        <is>
          <t>동산어린이집</t>
        </is>
      </c>
      <c r="B936" t="inlineStr">
        <is>
          <t>어린이집</t>
        </is>
      </c>
      <c r="C936" t="inlineStr">
        <is>
          <t>민간</t>
        </is>
      </c>
      <c r="D936" t="inlineStr">
        <is>
          <t>수영구</t>
        </is>
      </c>
      <c r="E936" t="inlineStr">
        <is>
          <t>부산광역시 수영구 연수로385번길 21 (수영동)</t>
        </is>
      </c>
      <c r="F936" s="11" t="inlineStr">
        <is>
          <t>http://suyeongdongsan.com</t>
        </is>
      </c>
      <c r="G936" t="inlineStr">
        <is>
          <t>051-751-0260</t>
        </is>
      </c>
      <c r="H936" s="15" t="n">
        <v>145</v>
      </c>
      <c r="I936" s="15" t="n">
        <v>7</v>
      </c>
      <c r="J936" s="15" t="n">
        <v>20</v>
      </c>
      <c r="K936" s="15" t="n">
        <v>28</v>
      </c>
      <c r="L936" s="15" t="n">
        <v>23</v>
      </c>
      <c r="M936" s="15" t="n">
        <v>0</v>
      </c>
      <c r="N936" s="15" t="n">
        <v>0</v>
      </c>
      <c r="O936" s="15" t="n">
        <v>5</v>
      </c>
      <c r="P936" s="15" t="n">
        <v>38</v>
      </c>
      <c r="Q936" s="15" t="n">
        <v>0</v>
      </c>
      <c r="R936" s="15" t="n">
        <v>0</v>
      </c>
      <c r="S936" s="15" t="n">
        <v>20</v>
      </c>
      <c r="T936" s="14">
        <f>IF(COUNT(I936:S936)=0,"",SUM(I936:S936))</f>
        <v/>
      </c>
      <c r="U936" t="inlineStr"/>
    </row>
    <row r="937">
      <c r="A937" t="inlineStr">
        <is>
          <t>동원자연어린이집</t>
        </is>
      </c>
      <c r="B937" t="inlineStr">
        <is>
          <t>어린이집</t>
        </is>
      </c>
      <c r="C937" t="inlineStr">
        <is>
          <t>민간</t>
        </is>
      </c>
      <c r="D937" t="inlineStr">
        <is>
          <t>수영구</t>
        </is>
      </c>
      <c r="E937" t="inlineStr">
        <is>
          <t>부산광역시 수영구 수미로14번길 35 수영강동원로얄듀크아파트 107동1층(관리동)</t>
        </is>
      </c>
      <c r="F937" t="inlineStr"/>
      <c r="G937" t="inlineStr">
        <is>
          <t>051-761-1687</t>
        </is>
      </c>
      <c r="H937" s="15" t="n">
        <v>34</v>
      </c>
      <c r="I937" s="15" t="n">
        <v>0</v>
      </c>
      <c r="J937" s="15" t="n">
        <v>10</v>
      </c>
      <c r="K937" s="15" t="n">
        <v>12</v>
      </c>
      <c r="L937" s="15" t="n">
        <v>0</v>
      </c>
      <c r="M937" s="15" t="n">
        <v>0</v>
      </c>
      <c r="N937" s="15" t="n">
        <v>0</v>
      </c>
      <c r="O937" s="15" t="n">
        <v>7</v>
      </c>
      <c r="P937" s="15" t="n">
        <v>0</v>
      </c>
      <c r="Q937" s="15" t="n">
        <v>0</v>
      </c>
      <c r="R937" s="15" t="n">
        <v>0</v>
      </c>
      <c r="S937" s="15" t="n">
        <v>7</v>
      </c>
      <c r="T937" s="14">
        <f>IF(COUNT(I937:S937)=0,"",SUM(I937:S937))</f>
        <v/>
      </c>
      <c r="U937" t="inlineStr"/>
    </row>
    <row r="938">
      <c r="A938" t="inlineStr">
        <is>
          <t>망미이진캐스빌어린이집</t>
        </is>
      </c>
      <c r="B938" t="inlineStr">
        <is>
          <t>어린이집</t>
        </is>
      </c>
      <c r="C938" t="inlineStr">
        <is>
          <t>국공립</t>
        </is>
      </c>
      <c r="D938" t="inlineStr">
        <is>
          <t>수영구</t>
        </is>
      </c>
      <c r="E938" t="inlineStr">
        <is>
          <t>부산광역시 수영구 망미로30번길 51 망미이진캐스빌 105동</t>
        </is>
      </c>
      <c r="F938" t="inlineStr"/>
      <c r="G938" t="inlineStr">
        <is>
          <t>051-751-1900</t>
        </is>
      </c>
      <c r="H938" s="15" t="n">
        <v>30</v>
      </c>
      <c r="I938" s="15" t="n">
        <v>5</v>
      </c>
      <c r="J938" s="15" t="n">
        <v>8</v>
      </c>
      <c r="K938" s="15" t="n">
        <v>7</v>
      </c>
      <c r="L938" s="15" t="n">
        <v>0</v>
      </c>
      <c r="M938" s="15" t="n">
        <v>0</v>
      </c>
      <c r="N938" s="15" t="n">
        <v>0</v>
      </c>
      <c r="O938" s="15" t="n">
        <v>0</v>
      </c>
      <c r="P938" s="15" t="n">
        <v>0</v>
      </c>
      <c r="Q938" s="15" t="n">
        <v>0</v>
      </c>
      <c r="R938" s="15" t="n">
        <v>0</v>
      </c>
      <c r="S938" s="15" t="n">
        <v>4</v>
      </c>
      <c r="T938" s="14">
        <f>IF(COUNT(I938:S938)=0,"",SUM(I938:S938))</f>
        <v/>
      </c>
      <c r="U938" t="inlineStr"/>
    </row>
    <row r="939">
      <c r="A939" t="inlineStr">
        <is>
          <t>목동어린이집</t>
        </is>
      </c>
      <c r="B939" t="inlineStr">
        <is>
          <t>어린이집</t>
        </is>
      </c>
      <c r="C939" t="inlineStr">
        <is>
          <t>가정</t>
        </is>
      </c>
      <c r="D939" t="inlineStr">
        <is>
          <t>수영구</t>
        </is>
      </c>
      <c r="E939" t="inlineStr">
        <is>
          <t>부산광역시 수영구 광서로39번길 20 나래아트빌 101호 (광안동)</t>
        </is>
      </c>
      <c r="F939" t="inlineStr"/>
      <c r="G939" t="inlineStr">
        <is>
          <t>051-751-7813</t>
        </is>
      </c>
      <c r="H939" s="15" t="n">
        <v>17</v>
      </c>
      <c r="I939" s="15" t="n">
        <v>5</v>
      </c>
      <c r="J939" s="15" t="n">
        <v>5</v>
      </c>
      <c r="K939" s="15" t="n">
        <v>7</v>
      </c>
      <c r="L939" s="15" t="n">
        <v>0</v>
      </c>
      <c r="M939" s="15" t="n">
        <v>0</v>
      </c>
      <c r="N939" s="15" t="n">
        <v>0</v>
      </c>
      <c r="O939" s="15" t="n">
        <v>0</v>
      </c>
      <c r="P939" s="15" t="n">
        <v>0</v>
      </c>
      <c r="Q939" s="15" t="n">
        <v>0</v>
      </c>
      <c r="R939" s="15" t="n">
        <v>0</v>
      </c>
      <c r="S939" s="15" t="n">
        <v>10</v>
      </c>
      <c r="T939" s="14">
        <f>IF(COUNT(I939:S939)=0,"",SUM(I939:S939))</f>
        <v/>
      </c>
      <c r="U939" t="inlineStr"/>
    </row>
    <row r="940">
      <c r="A940" t="inlineStr">
        <is>
          <t>바다빛어린이집</t>
        </is>
      </c>
      <c r="B940" t="inlineStr">
        <is>
          <t>어린이집</t>
        </is>
      </c>
      <c r="C940" t="inlineStr">
        <is>
          <t>국공립</t>
        </is>
      </c>
      <c r="D940" t="inlineStr">
        <is>
          <t>수영구</t>
        </is>
      </c>
      <c r="E940" t="inlineStr">
        <is>
          <t>부산광역시 수영구 민락수변로7번길 60 바다빛어린이집</t>
        </is>
      </c>
      <c r="F940" t="inlineStr"/>
      <c r="G940" t="inlineStr">
        <is>
          <t>051-936-2121</t>
        </is>
      </c>
      <c r="H940" s="15" t="n">
        <v>90</v>
      </c>
      <c r="I940" s="15" t="n">
        <v>7</v>
      </c>
      <c r="J940" s="15" t="n">
        <v>19</v>
      </c>
      <c r="K940" s="15" t="n">
        <v>13</v>
      </c>
      <c r="L940" s="15" t="n">
        <v>10</v>
      </c>
      <c r="M940" s="15" t="n">
        <v>6</v>
      </c>
      <c r="N940" s="15" t="n">
        <v>0</v>
      </c>
      <c r="O940" s="15" t="n">
        <v>0</v>
      </c>
      <c r="P940" s="15" t="n">
        <v>0</v>
      </c>
      <c r="Q940" s="15" t="n">
        <v>0</v>
      </c>
      <c r="R940" s="15" t="n">
        <v>0</v>
      </c>
      <c r="S940" s="15" t="n">
        <v>5</v>
      </c>
      <c r="T940" s="14">
        <f>IF(COUNT(I940:S940)=0,"",SUM(I940:S940))</f>
        <v/>
      </c>
      <c r="U940" t="inlineStr"/>
    </row>
    <row r="941">
      <c r="A941" t="inlineStr">
        <is>
          <t>부산중앙어린이집</t>
        </is>
      </c>
      <c r="B941" t="inlineStr">
        <is>
          <t>어린이집</t>
        </is>
      </c>
      <c r="C941" t="inlineStr">
        <is>
          <t>법인·단체등</t>
        </is>
      </c>
      <c r="D941" t="inlineStr">
        <is>
          <t>수영구</t>
        </is>
      </c>
      <c r="E941" t="inlineStr">
        <is>
          <t>부산광역시 수영구 황령산로 42</t>
        </is>
      </c>
      <c r="F941" s="11" t="inlineStr">
        <is>
          <t>http://www.ejoongang1004.or.kr</t>
        </is>
      </c>
      <c r="G941" t="inlineStr">
        <is>
          <t>051-624-6048</t>
        </is>
      </c>
      <c r="H941" s="15" t="n">
        <v>176</v>
      </c>
      <c r="I941" s="15" t="n">
        <v>0</v>
      </c>
      <c r="J941" s="15" t="n">
        <v>14</v>
      </c>
      <c r="K941" s="15" t="n">
        <v>28</v>
      </c>
      <c r="L941" s="15" t="n">
        <v>44</v>
      </c>
      <c r="M941" s="15" t="n">
        <v>33</v>
      </c>
      <c r="N941" s="15" t="n">
        <v>17</v>
      </c>
      <c r="O941" s="15" t="n">
        <v>0</v>
      </c>
      <c r="P941" s="15" t="n">
        <v>0</v>
      </c>
      <c r="Q941" s="15" t="n">
        <v>0</v>
      </c>
      <c r="R941" s="15" t="n">
        <v>0</v>
      </c>
      <c r="S941" s="15" t="n">
        <v>19</v>
      </c>
      <c r="T941" s="14">
        <f>IF(COUNT(I941:S941)=0,"",SUM(I941:S941))</f>
        <v/>
      </c>
      <c r="U941" t="inlineStr"/>
    </row>
    <row r="942">
      <c r="A942" t="inlineStr">
        <is>
          <t>사랑가득어린이집</t>
        </is>
      </c>
      <c r="B942" t="inlineStr">
        <is>
          <t>어린이집</t>
        </is>
      </c>
      <c r="C942" t="inlineStr">
        <is>
          <t>국공립</t>
        </is>
      </c>
      <c r="D942" t="inlineStr">
        <is>
          <t>수영구</t>
        </is>
      </c>
      <c r="E942" t="inlineStr">
        <is>
          <t>부산광역시 수영구 민락로33번길 4</t>
        </is>
      </c>
      <c r="F942" t="inlineStr"/>
      <c r="G942" t="inlineStr">
        <is>
          <t>051-761-0200</t>
        </is>
      </c>
      <c r="H942" s="15" t="n">
        <v>49</v>
      </c>
      <c r="I942" s="15" t="n">
        <v>0</v>
      </c>
      <c r="J942" s="15" t="n">
        <v>13</v>
      </c>
      <c r="K942" s="15" t="n">
        <v>14</v>
      </c>
      <c r="L942" s="15" t="n">
        <v>12</v>
      </c>
      <c r="M942" s="15" t="n">
        <v>0</v>
      </c>
      <c r="N942" s="15" t="n">
        <v>0</v>
      </c>
      <c r="O942" s="15" t="n">
        <v>10</v>
      </c>
      <c r="P942" s="15" t="n">
        <v>0</v>
      </c>
      <c r="Q942" s="15" t="n">
        <v>0</v>
      </c>
      <c r="R942" s="15" t="n">
        <v>0</v>
      </c>
      <c r="S942" s="15" t="n">
        <v>5</v>
      </c>
      <c r="T942" s="14">
        <f>IF(COUNT(I942:S942)=0,"",SUM(I942:S942))</f>
        <v/>
      </c>
      <c r="U942" t="inlineStr"/>
    </row>
    <row r="943">
      <c r="A943" t="inlineStr">
        <is>
          <t>성모영아전담어린이집</t>
        </is>
      </c>
      <c r="B943" t="inlineStr">
        <is>
          <t>어린이집</t>
        </is>
      </c>
      <c r="C943" t="inlineStr">
        <is>
          <t>민간</t>
        </is>
      </c>
      <c r="D943" t="inlineStr">
        <is>
          <t>수영구</t>
        </is>
      </c>
      <c r="E943" t="inlineStr">
        <is>
          <t>부산광역시 수영구 망미로7번길 17 (망미동)</t>
        </is>
      </c>
      <c r="F943" s="11" t="inlineStr">
        <is>
          <t>http://cafe.naver.com/sungmo9820</t>
        </is>
      </c>
      <c r="G943" t="inlineStr">
        <is>
          <t>051-751-9820</t>
        </is>
      </c>
      <c r="H943" s="15" t="n">
        <v>46</v>
      </c>
      <c r="I943" s="15" t="n">
        <v>3</v>
      </c>
      <c r="J943" s="15" t="n">
        <v>5</v>
      </c>
      <c r="K943" s="15" t="n">
        <v>7</v>
      </c>
      <c r="L943" s="15" t="n">
        <v>0</v>
      </c>
      <c r="M943" s="15" t="n">
        <v>0</v>
      </c>
      <c r="N943" s="15" t="n">
        <v>0</v>
      </c>
      <c r="O943" s="15" t="n">
        <v>5</v>
      </c>
      <c r="P943" s="15" t="n">
        <v>0</v>
      </c>
      <c r="Q943" s="15" t="n">
        <v>0</v>
      </c>
      <c r="R943" s="15" t="n">
        <v>0</v>
      </c>
      <c r="S943" s="15" t="n">
        <v>12</v>
      </c>
      <c r="T943" s="14">
        <f>IF(COUNT(I943:S943)=0,"",SUM(I943:S943))</f>
        <v/>
      </c>
      <c r="U943" t="inlineStr"/>
    </row>
    <row r="944">
      <c r="A944" t="inlineStr">
        <is>
          <t>세림어린이집</t>
        </is>
      </c>
      <c r="B944" t="inlineStr">
        <is>
          <t>어린이집</t>
        </is>
      </c>
      <c r="C944" t="inlineStr">
        <is>
          <t>사회복지법인</t>
        </is>
      </c>
      <c r="D944" t="inlineStr">
        <is>
          <t>수영구</t>
        </is>
      </c>
      <c r="E944" t="inlineStr">
        <is>
          <t>부산광역시 수영구 망미배산로70번길 3 (망미동)</t>
        </is>
      </c>
      <c r="F944" s="11" t="inlineStr">
        <is>
          <t>http://cafe.daum.net/SLkid</t>
        </is>
      </c>
      <c r="G944" t="inlineStr">
        <is>
          <t>051-757-2260</t>
        </is>
      </c>
      <c r="H944" s="15" t="n">
        <v>49</v>
      </c>
      <c r="I944" s="15" t="n">
        <v>0</v>
      </c>
      <c r="J944" s="15" t="n">
        <v>0</v>
      </c>
      <c r="K944" s="15" t="n">
        <v>0</v>
      </c>
      <c r="L944" s="15" t="n">
        <v>0</v>
      </c>
      <c r="M944" s="15" t="n">
        <v>0</v>
      </c>
      <c r="N944" s="15" t="n">
        <v>0</v>
      </c>
      <c r="O944" s="15" t="n">
        <v>0</v>
      </c>
      <c r="P944" s="15" t="n">
        <v>0</v>
      </c>
      <c r="Q944" s="15" t="n">
        <v>0</v>
      </c>
      <c r="R944" s="15" t="n">
        <v>36</v>
      </c>
      <c r="S944" s="15" t="n">
        <v>0</v>
      </c>
      <c r="T944" s="14">
        <f>IF(COUNT(I944:S944)=0,"",SUM(I944:S944))</f>
        <v/>
      </c>
      <c r="U944" t="inlineStr"/>
    </row>
    <row r="945">
      <c r="A945" t="inlineStr">
        <is>
          <t>센텀비스타동원1차어린이집</t>
        </is>
      </c>
      <c r="B945" t="inlineStr">
        <is>
          <t>어린이집</t>
        </is>
      </c>
      <c r="C945" t="inlineStr">
        <is>
          <t>국공립</t>
        </is>
      </c>
      <c r="D945" t="inlineStr">
        <is>
          <t>수영구</t>
        </is>
      </c>
      <c r="E945" t="inlineStr">
        <is>
          <t>부산광역시 수영구 수영로 754 센텀비스타동원1차아파트 관리동</t>
        </is>
      </c>
      <c r="F945" t="inlineStr"/>
      <c r="G945" t="inlineStr">
        <is>
          <t>051-752-3221</t>
        </is>
      </c>
      <c r="H945" s="15" t="n">
        <v>83</v>
      </c>
      <c r="I945" s="15" t="n">
        <v>9</v>
      </c>
      <c r="J945" s="15" t="n">
        <v>25</v>
      </c>
      <c r="K945" s="15" t="n">
        <v>24</v>
      </c>
      <c r="L945" s="15" t="n">
        <v>0</v>
      </c>
      <c r="M945" s="15" t="n">
        <v>0</v>
      </c>
      <c r="N945" s="15" t="n">
        <v>0</v>
      </c>
      <c r="O945" s="15" t="n">
        <v>0</v>
      </c>
      <c r="P945" s="15" t="n">
        <v>0</v>
      </c>
      <c r="Q945" s="15" t="n">
        <v>0</v>
      </c>
      <c r="R945" s="15" t="n">
        <v>3</v>
      </c>
      <c r="S945" s="15" t="n">
        <v>5</v>
      </c>
      <c r="T945" s="14">
        <f>IF(COUNT(I945:S945)=0,"",SUM(I945:S945))</f>
        <v/>
      </c>
      <c r="U945" t="inlineStr"/>
    </row>
    <row r="946">
      <c r="A946" t="inlineStr">
        <is>
          <t>센텀비스타동원2차어린이집</t>
        </is>
      </c>
      <c r="B946" t="inlineStr">
        <is>
          <t>어린이집</t>
        </is>
      </c>
      <c r="C946" t="inlineStr">
        <is>
          <t>국공립</t>
        </is>
      </c>
      <c r="D946" t="inlineStr">
        <is>
          <t>수영구</t>
        </is>
      </c>
      <c r="E946" t="inlineStr">
        <is>
          <t>부산광역시 수영구 무학로63번길 142 센텀비스타 동원 2차 관리동</t>
        </is>
      </c>
      <c r="F946" s="11" t="inlineStr">
        <is>
          <t>http://cafe.naver.com/centumvista2kids</t>
        </is>
      </c>
      <c r="G946" t="inlineStr">
        <is>
          <t>051-761-0610</t>
        </is>
      </c>
      <c r="H946" s="15" t="n">
        <v>36</v>
      </c>
      <c r="I946" s="15" t="n">
        <v>3</v>
      </c>
      <c r="J946" s="15" t="n">
        <v>9</v>
      </c>
      <c r="K946" s="15" t="n">
        <v>13</v>
      </c>
      <c r="L946" s="15" t="n">
        <v>0</v>
      </c>
      <c r="M946" s="15" t="n">
        <v>0</v>
      </c>
      <c r="N946" s="15" t="n">
        <v>0</v>
      </c>
      <c r="O946" s="15" t="n">
        <v>0</v>
      </c>
      <c r="P946" s="15" t="n">
        <v>0</v>
      </c>
      <c r="Q946" s="15" t="n">
        <v>0</v>
      </c>
      <c r="R946" s="15" t="n">
        <v>0</v>
      </c>
      <c r="S946" s="15" t="n">
        <v>0</v>
      </c>
      <c r="T946" s="14">
        <f>IF(COUNT(I946:S946)=0,"",SUM(I946:S946))</f>
        <v/>
      </c>
      <c r="U946" t="inlineStr"/>
    </row>
    <row r="947">
      <c r="A947" t="inlineStr">
        <is>
          <t>센텀포레어린이집</t>
        </is>
      </c>
      <c r="B947" t="inlineStr">
        <is>
          <t>어린이집</t>
        </is>
      </c>
      <c r="C947" t="inlineStr">
        <is>
          <t>민간</t>
        </is>
      </c>
      <c r="D947" t="inlineStr">
        <is>
          <t>수영구</t>
        </is>
      </c>
      <c r="E947" t="inlineStr">
        <is>
          <t>부산광역시 수영구 수영로 776 (민락동, 부산더샵센텀포레아파트 102동 관리동)</t>
        </is>
      </c>
      <c r="F947" t="inlineStr"/>
      <c r="G947" t="inlineStr">
        <is>
          <t>051-757-6682</t>
        </is>
      </c>
      <c r="H947" s="15" t="n">
        <v>43</v>
      </c>
      <c r="I947" s="15" t="n">
        <v>8</v>
      </c>
      <c r="J947" s="15" t="n">
        <v>20</v>
      </c>
      <c r="K947" s="15" t="n">
        <v>13</v>
      </c>
      <c r="L947" s="15" t="n">
        <v>0</v>
      </c>
      <c r="M947" s="15" t="n">
        <v>0</v>
      </c>
      <c r="N947" s="15" t="n">
        <v>0</v>
      </c>
      <c r="O947" s="15" t="n">
        <v>0</v>
      </c>
      <c r="P947" s="15" t="n">
        <v>0</v>
      </c>
      <c r="Q947" s="15" t="n">
        <v>0</v>
      </c>
      <c r="R947" s="15" t="n">
        <v>0</v>
      </c>
      <c r="S947" s="15" t="n">
        <v>8</v>
      </c>
      <c r="T947" s="14">
        <f>IF(COUNT(I947:S947)=0,"",SUM(I947:S947))</f>
        <v/>
      </c>
      <c r="U947" t="inlineStr"/>
    </row>
    <row r="948">
      <c r="A948" t="inlineStr">
        <is>
          <t>수아&amp;영이어린이집</t>
        </is>
      </c>
      <c r="B948" t="inlineStr">
        <is>
          <t>어린이집</t>
        </is>
      </c>
      <c r="C948" t="inlineStr">
        <is>
          <t>국공립</t>
        </is>
      </c>
      <c r="D948" t="inlineStr">
        <is>
          <t>수영구</t>
        </is>
      </c>
      <c r="E948" t="inlineStr">
        <is>
          <t>부산광역시 수영구 광안로35번길 9</t>
        </is>
      </c>
      <c r="F948" s="11" t="inlineStr">
        <is>
          <t>http://cafe.daum.net/newsooanyounge</t>
        </is>
      </c>
      <c r="G948" t="inlineStr">
        <is>
          <t>051-761-5111</t>
        </is>
      </c>
      <c r="H948" s="15" t="n">
        <v>98</v>
      </c>
      <c r="I948" s="15" t="n">
        <v>0</v>
      </c>
      <c r="J948" s="15" t="n">
        <v>0</v>
      </c>
      <c r="K948" s="15" t="n">
        <v>24</v>
      </c>
      <c r="L948" s="15" t="n">
        <v>20</v>
      </c>
      <c r="M948" s="15" t="n">
        <v>14</v>
      </c>
      <c r="N948" s="15" t="n">
        <v>20</v>
      </c>
      <c r="O948" s="15" t="n">
        <v>0</v>
      </c>
      <c r="P948" s="15" t="n">
        <v>15</v>
      </c>
      <c r="Q948" s="15" t="n">
        <v>0</v>
      </c>
      <c r="R948" s="15" t="n">
        <v>5</v>
      </c>
      <c r="S948" s="15" t="n">
        <v>69</v>
      </c>
      <c r="T948" s="14">
        <f>IF(COUNT(I948:S948)=0,"",SUM(I948:S948))</f>
        <v/>
      </c>
      <c r="U948" t="inlineStr"/>
    </row>
    <row r="949">
      <c r="A949" t="inlineStr">
        <is>
          <t>수영SK뷰어린이집</t>
        </is>
      </c>
      <c r="B949" t="inlineStr">
        <is>
          <t>어린이집</t>
        </is>
      </c>
      <c r="C949" t="inlineStr">
        <is>
          <t>국공립</t>
        </is>
      </c>
      <c r="D949" t="inlineStr">
        <is>
          <t>수영구</t>
        </is>
      </c>
      <c r="E949" t="inlineStr">
        <is>
          <t>부산광역시 수영구 망미배산로 56 수영SK뷰 관리동</t>
        </is>
      </c>
      <c r="F949" t="inlineStr"/>
      <c r="G949" t="inlineStr">
        <is>
          <t>051-757-4859</t>
        </is>
      </c>
      <c r="H949" s="15" t="n">
        <v>67</v>
      </c>
      <c r="I949" s="15" t="n">
        <v>0</v>
      </c>
      <c r="J949" s="15" t="n">
        <v>9</v>
      </c>
      <c r="K949" s="15" t="n">
        <v>14</v>
      </c>
      <c r="L949" s="15" t="n">
        <v>0</v>
      </c>
      <c r="M949" s="15" t="n">
        <v>0</v>
      </c>
      <c r="N949" s="15" t="n">
        <v>0</v>
      </c>
      <c r="O949" s="15" t="n">
        <v>10</v>
      </c>
      <c r="P949" s="15" t="n">
        <v>7</v>
      </c>
      <c r="Q949" s="15" t="n">
        <v>0</v>
      </c>
      <c r="R949" s="15" t="n">
        <v>0</v>
      </c>
      <c r="S949" s="15" t="n">
        <v>5</v>
      </c>
      <c r="T949" s="14">
        <f>IF(COUNT(I949:S949)=0,"",SUM(I949:S949))</f>
        <v/>
      </c>
      <c r="U949" t="inlineStr"/>
    </row>
    <row r="950">
      <c r="A950" t="inlineStr">
        <is>
          <t>수영중앙어린이집</t>
        </is>
      </c>
      <c r="B950" t="inlineStr">
        <is>
          <t>어린이집</t>
        </is>
      </c>
      <c r="C950" t="inlineStr">
        <is>
          <t>민간</t>
        </is>
      </c>
      <c r="D950" t="inlineStr">
        <is>
          <t>수영구</t>
        </is>
      </c>
      <c r="E950" t="inlineStr">
        <is>
          <t>부산광역시 수영구 망미번영로74번길 88 (수영동)</t>
        </is>
      </c>
      <c r="F950" t="inlineStr"/>
      <c r="G950" t="inlineStr">
        <is>
          <t>051-754-3331</t>
        </is>
      </c>
      <c r="H950" s="15" t="n">
        <v>39</v>
      </c>
      <c r="I950" s="15" t="n">
        <v>2</v>
      </c>
      <c r="J950" s="15" t="n">
        <v>0</v>
      </c>
      <c r="K950" s="15" t="n">
        <v>6</v>
      </c>
      <c r="L950" s="15" t="n">
        <v>0</v>
      </c>
      <c r="M950" s="15" t="n">
        <v>0</v>
      </c>
      <c r="N950" s="15" t="n">
        <v>0</v>
      </c>
      <c r="O950" s="15" t="n">
        <v>2</v>
      </c>
      <c r="P950" s="15" t="n">
        <v>10</v>
      </c>
      <c r="Q950" s="15" t="n">
        <v>0</v>
      </c>
      <c r="R950" s="15" t="n">
        <v>0</v>
      </c>
      <c r="S950" s="15" t="n">
        <v>5</v>
      </c>
      <c r="T950" s="14">
        <f>IF(COUNT(I950:S950)=0,"",SUM(I950:S950))</f>
        <v/>
      </c>
      <c r="U950" t="inlineStr"/>
    </row>
    <row r="951">
      <c r="A951" t="inlineStr">
        <is>
          <t>쌍용예가어린이집</t>
        </is>
      </c>
      <c r="B951" t="inlineStr">
        <is>
          <t>어린이집</t>
        </is>
      </c>
      <c r="C951" t="inlineStr">
        <is>
          <t>민간</t>
        </is>
      </c>
      <c r="D951" t="inlineStr">
        <is>
          <t>수영구</t>
        </is>
      </c>
      <c r="E951" t="inlineStr">
        <is>
          <t>부산광역시 수영구 광안로 20 쌍용예가디오션 105동(관리동)</t>
        </is>
      </c>
      <c r="F951" t="inlineStr"/>
      <c r="G951" t="inlineStr">
        <is>
          <t>051-754-8383</t>
        </is>
      </c>
      <c r="H951" s="15" t="n">
        <v>73</v>
      </c>
      <c r="I951" s="15" t="n">
        <v>9</v>
      </c>
      <c r="J951" s="15" t="n">
        <v>15</v>
      </c>
      <c r="K951" s="15" t="n">
        <v>17</v>
      </c>
      <c r="L951" s="15" t="n">
        <v>0</v>
      </c>
      <c r="M951" s="15" t="n">
        <v>0</v>
      </c>
      <c r="N951" s="15" t="n">
        <v>0</v>
      </c>
      <c r="O951" s="15" t="n">
        <v>0</v>
      </c>
      <c r="P951" s="15" t="n">
        <v>0</v>
      </c>
      <c r="Q951" s="15" t="n">
        <v>0</v>
      </c>
      <c r="R951" s="15" t="n">
        <v>0</v>
      </c>
      <c r="S951" s="15" t="n">
        <v>0</v>
      </c>
      <c r="T951" s="14">
        <f>IF(COUNT(I951:S951)=0,"",SUM(I951:S951))</f>
        <v/>
      </c>
      <c r="U951" t="inlineStr"/>
    </row>
    <row r="952">
      <c r="A952" t="inlineStr">
        <is>
          <t>어울림어린이집</t>
        </is>
      </c>
      <c r="B952" t="inlineStr">
        <is>
          <t>어린이집</t>
        </is>
      </c>
      <c r="C952" t="inlineStr">
        <is>
          <t>민간</t>
        </is>
      </c>
      <c r="D952" t="inlineStr">
        <is>
          <t>수영구</t>
        </is>
      </c>
      <c r="E952" t="inlineStr">
        <is>
          <t>부산광역시 수영구 남천동로 91</t>
        </is>
      </c>
      <c r="F952" t="inlineStr"/>
      <c r="G952" t="inlineStr">
        <is>
          <t>051-912-2727</t>
        </is>
      </c>
      <c r="H952" s="15" t="n">
        <v>29</v>
      </c>
      <c r="I952" s="15" t="n">
        <v>6</v>
      </c>
      <c r="J952" s="15" t="n">
        <v>10</v>
      </c>
      <c r="K952" s="15" t="n">
        <v>13</v>
      </c>
      <c r="L952" s="15" t="n">
        <v>0</v>
      </c>
      <c r="M952" s="15" t="n">
        <v>0</v>
      </c>
      <c r="N952" s="15" t="n">
        <v>0</v>
      </c>
      <c r="O952" s="15" t="n">
        <v>0</v>
      </c>
      <c r="P952" s="15" t="n">
        <v>0</v>
      </c>
      <c r="Q952" s="15" t="n">
        <v>0</v>
      </c>
      <c r="R952" s="15" t="n">
        <v>0</v>
      </c>
      <c r="S952" s="15" t="n">
        <v>5</v>
      </c>
      <c r="T952" s="14">
        <f>IF(COUNT(I952:S952)=0,"",SUM(I952:S952))</f>
        <v/>
      </c>
      <c r="U952" t="inlineStr"/>
    </row>
    <row r="953">
      <c r="A953" t="inlineStr">
        <is>
          <t>영주암어린이집</t>
        </is>
      </c>
      <c r="B953" t="inlineStr">
        <is>
          <t>어린이집</t>
        </is>
      </c>
      <c r="C953" t="inlineStr">
        <is>
          <t>사회복지법인</t>
        </is>
      </c>
      <c r="D953" t="inlineStr">
        <is>
          <t>수영구</t>
        </is>
      </c>
      <c r="E953" t="inlineStr">
        <is>
          <t>부산광역시 수영구 망미배산로76번가길 37 영주암 어린이집</t>
        </is>
      </c>
      <c r="F953" s="11" t="inlineStr">
        <is>
          <t>http://kid.bulgukto.or.kr</t>
        </is>
      </c>
      <c r="G953" t="inlineStr">
        <is>
          <t>051-755-2888</t>
        </is>
      </c>
      <c r="H953" s="15" t="n">
        <v>97</v>
      </c>
      <c r="I953" s="15" t="n">
        <v>0</v>
      </c>
      <c r="J953" s="15" t="n">
        <v>20</v>
      </c>
      <c r="K953" s="15" t="n">
        <v>23</v>
      </c>
      <c r="L953" s="15" t="n">
        <v>12</v>
      </c>
      <c r="M953" s="15" t="n">
        <v>0</v>
      </c>
      <c r="N953" s="15" t="n">
        <v>0</v>
      </c>
      <c r="O953" s="15" t="n">
        <v>0</v>
      </c>
      <c r="P953" s="15" t="n">
        <v>0</v>
      </c>
      <c r="Q953" s="15" t="n">
        <v>0</v>
      </c>
      <c r="R953" s="15" t="n">
        <v>0</v>
      </c>
      <c r="S953" s="15" t="n">
        <v>5</v>
      </c>
      <c r="T953" s="14">
        <f>IF(COUNT(I953:S953)=0,"",SUM(I953:S953))</f>
        <v/>
      </c>
      <c r="U953" t="inlineStr"/>
    </row>
    <row r="954">
      <c r="A954" t="inlineStr">
        <is>
          <t>오션그린어린이집</t>
        </is>
      </c>
      <c r="B954" t="inlineStr">
        <is>
          <t>어린이집</t>
        </is>
      </c>
      <c r="C954" t="inlineStr">
        <is>
          <t>국공립</t>
        </is>
      </c>
      <c r="D954" t="inlineStr">
        <is>
          <t>수영구</t>
        </is>
      </c>
      <c r="E954" t="inlineStr">
        <is>
          <t>부산광역시 수영구 광안해변로326번길 31 오션테라스4단지</t>
        </is>
      </c>
      <c r="F954" t="inlineStr"/>
      <c r="G954" t="inlineStr">
        <is>
          <t>051-758-0202</t>
        </is>
      </c>
      <c r="H954" s="15" t="n">
        <v>45</v>
      </c>
      <c r="I954" s="15" t="n">
        <v>9</v>
      </c>
      <c r="J954" s="15" t="n">
        <v>10</v>
      </c>
      <c r="K954" s="15" t="n">
        <v>24</v>
      </c>
      <c r="L954" s="15" t="n">
        <v>0</v>
      </c>
      <c r="M954" s="15" t="n">
        <v>0</v>
      </c>
      <c r="N954" s="15" t="n">
        <v>0</v>
      </c>
      <c r="O954" s="15" t="n">
        <v>0</v>
      </c>
      <c r="P954" s="15" t="n">
        <v>0</v>
      </c>
      <c r="Q954" s="15" t="n">
        <v>0</v>
      </c>
      <c r="R954" s="15" t="n">
        <v>0</v>
      </c>
      <c r="S954" s="15" t="n">
        <v>5</v>
      </c>
      <c r="T954" s="14">
        <f>IF(COUNT(I954:S954)=0,"",SUM(I954:S954))</f>
        <v/>
      </c>
      <c r="U954" t="inlineStr"/>
    </row>
    <row r="955">
      <c r="A955" t="inlineStr">
        <is>
          <t>오션블루어린이집</t>
        </is>
      </c>
      <c r="B955" t="inlineStr">
        <is>
          <t>어린이집</t>
        </is>
      </c>
      <c r="C955" t="inlineStr">
        <is>
          <t>국공립</t>
        </is>
      </c>
      <c r="D955" t="inlineStr">
        <is>
          <t>수영구</t>
        </is>
      </c>
      <c r="E955" t="inlineStr">
        <is>
          <t>부산광역시 수영구 광안해변로326번길 32 오션테라스3단지</t>
        </is>
      </c>
      <c r="F955" t="inlineStr"/>
      <c r="G955" t="inlineStr">
        <is>
          <t>051-758-3700</t>
        </is>
      </c>
      <c r="H955" s="15" t="n">
        <v>30</v>
      </c>
      <c r="I955" s="15" t="n">
        <v>6</v>
      </c>
      <c r="J955" s="15" t="n">
        <v>11</v>
      </c>
      <c r="K955" s="15" t="n">
        <v>13</v>
      </c>
      <c r="L955" s="15" t="n">
        <v>0</v>
      </c>
      <c r="M955" s="15" t="n">
        <v>0</v>
      </c>
      <c r="N955" s="15" t="n">
        <v>0</v>
      </c>
      <c r="O955" s="15" t="n">
        <v>0</v>
      </c>
      <c r="P955" s="15" t="n">
        <v>0</v>
      </c>
      <c r="Q955" s="15" t="n">
        <v>0</v>
      </c>
      <c r="R955" s="15" t="n">
        <v>0</v>
      </c>
      <c r="S955" s="15" t="n">
        <v>7</v>
      </c>
      <c r="T955" s="14">
        <f>IF(COUNT(I955:S955)=0,"",SUM(I955:S955))</f>
        <v/>
      </c>
      <c r="U955" t="inlineStr"/>
    </row>
    <row r="956">
      <c r="A956" t="inlineStr">
        <is>
          <t>은솔어린이집</t>
        </is>
      </c>
      <c r="B956" t="inlineStr">
        <is>
          <t>어린이집</t>
        </is>
      </c>
      <c r="C956" t="inlineStr">
        <is>
          <t>사회복지법인</t>
        </is>
      </c>
      <c r="D956" t="inlineStr">
        <is>
          <t>수영구</t>
        </is>
      </c>
      <c r="E956" t="inlineStr">
        <is>
          <t>부산광역시 수영구 구락로25번길 16 (수영동)</t>
        </is>
      </c>
      <c r="F956" s="11" t="inlineStr">
        <is>
          <t>https://blog.naver.com/eunsol2662</t>
        </is>
      </c>
      <c r="G956" t="inlineStr">
        <is>
          <t>051-756-2662</t>
        </is>
      </c>
      <c r="H956" s="15" t="n">
        <v>39</v>
      </c>
      <c r="I956" s="15" t="n">
        <v>5</v>
      </c>
      <c r="J956" s="15" t="n">
        <v>9</v>
      </c>
      <c r="K956" s="15" t="n">
        <v>5</v>
      </c>
      <c r="L956" s="15" t="n">
        <v>0</v>
      </c>
      <c r="M956" s="15" t="n">
        <v>0</v>
      </c>
      <c r="N956" s="15" t="n">
        <v>0</v>
      </c>
      <c r="O956" s="15" t="n">
        <v>2</v>
      </c>
      <c r="P956" s="15" t="n">
        <v>0</v>
      </c>
      <c r="Q956" s="15" t="n">
        <v>0</v>
      </c>
      <c r="R956" s="15" t="n">
        <v>0</v>
      </c>
      <c r="S956" s="15" t="n">
        <v>2</v>
      </c>
      <c r="T956" s="14">
        <f>IF(COUNT(I956:S956)=0,"",SUM(I956:S956))</f>
        <v/>
      </c>
      <c r="U956" t="inlineStr"/>
    </row>
    <row r="957">
      <c r="A957" t="inlineStr">
        <is>
          <t>이편한어린이집</t>
        </is>
      </c>
      <c r="B957" t="inlineStr">
        <is>
          <t>어린이집</t>
        </is>
      </c>
      <c r="C957" t="inlineStr">
        <is>
          <t>민간</t>
        </is>
      </c>
      <c r="D957" t="inlineStr">
        <is>
          <t>수영구</t>
        </is>
      </c>
      <c r="E957" t="inlineStr">
        <is>
          <t>부산광역시 수영구 좌수영로 192   관리동</t>
        </is>
      </c>
      <c r="F957" t="inlineStr"/>
      <c r="G957" t="inlineStr">
        <is>
          <t>051-754-2232</t>
        </is>
      </c>
      <c r="H957" s="15" t="n">
        <v>28</v>
      </c>
      <c r="I957" s="15" t="n">
        <v>5</v>
      </c>
      <c r="J957" s="15" t="n">
        <v>10</v>
      </c>
      <c r="K957" s="15" t="n">
        <v>13</v>
      </c>
      <c r="L957" s="15" t="n">
        <v>0</v>
      </c>
      <c r="M957" s="15" t="n">
        <v>0</v>
      </c>
      <c r="N957" s="15" t="n">
        <v>0</v>
      </c>
      <c r="O957" s="15" t="n">
        <v>0</v>
      </c>
      <c r="P957" s="15" t="n">
        <v>0</v>
      </c>
      <c r="Q957" s="15" t="n">
        <v>0</v>
      </c>
      <c r="R957" s="15" t="n">
        <v>0</v>
      </c>
      <c r="S957" s="15" t="n">
        <v>5</v>
      </c>
      <c r="T957" s="14">
        <f>IF(COUNT(I957:S957)=0,"",SUM(I957:S957))</f>
        <v/>
      </c>
      <c r="U957" t="inlineStr"/>
    </row>
    <row r="958">
      <c r="A958" t="inlineStr">
        <is>
          <t>장한어린이집</t>
        </is>
      </c>
      <c r="B958" t="inlineStr">
        <is>
          <t>어린이집</t>
        </is>
      </c>
      <c r="C958" t="inlineStr">
        <is>
          <t>민간</t>
        </is>
      </c>
      <c r="D958" t="inlineStr">
        <is>
          <t>수영구</t>
        </is>
      </c>
      <c r="E958" t="inlineStr">
        <is>
          <t>부산광역시 수영구 광일로20번길 38 (광안동)</t>
        </is>
      </c>
      <c r="F958" s="11" t="inlineStr">
        <is>
          <t>http://cafe.daum.net/0517520866</t>
        </is>
      </c>
      <c r="G958" t="inlineStr">
        <is>
          <t>051-752-0866</t>
        </is>
      </c>
      <c r="H958" s="15" t="n">
        <v>40</v>
      </c>
      <c r="I958" s="15" t="n">
        <v>0</v>
      </c>
      <c r="J958" s="15" t="n">
        <v>0</v>
      </c>
      <c r="K958" s="15" t="n">
        <v>0</v>
      </c>
      <c r="L958" s="15" t="n">
        <v>0</v>
      </c>
      <c r="M958" s="15" t="n">
        <v>0</v>
      </c>
      <c r="N958" s="15" t="n">
        <v>0</v>
      </c>
      <c r="O958" s="15" t="n">
        <v>0</v>
      </c>
      <c r="P958" s="15" t="n">
        <v>0</v>
      </c>
      <c r="Q958" s="15" t="n">
        <v>0</v>
      </c>
      <c r="R958" s="15" t="n">
        <v>30</v>
      </c>
      <c r="S958" s="15" t="n">
        <v>0</v>
      </c>
      <c r="T958" s="14">
        <f>IF(COUNT(I958:S958)=0,"",SUM(I958:S958))</f>
        <v/>
      </c>
      <c r="U958" t="inlineStr"/>
    </row>
    <row r="959">
      <c r="A959" t="inlineStr">
        <is>
          <t>정다운어린이집</t>
        </is>
      </c>
      <c r="B959" t="inlineStr">
        <is>
          <t>어린이집</t>
        </is>
      </c>
      <c r="C959" t="inlineStr">
        <is>
          <t>민간</t>
        </is>
      </c>
      <c r="D959" t="inlineStr">
        <is>
          <t>수영구</t>
        </is>
      </c>
      <c r="E959" t="inlineStr">
        <is>
          <t>부산광역시 수영구 장대골로52번길 5 (광안동)</t>
        </is>
      </c>
      <c r="F959" t="inlineStr"/>
      <c r="G959" t="inlineStr">
        <is>
          <t>051-752-3133</t>
        </is>
      </c>
      <c r="H959" s="15" t="n">
        <v>37</v>
      </c>
      <c r="I959" s="15" t="n">
        <v>0</v>
      </c>
      <c r="J959" s="15" t="n">
        <v>4</v>
      </c>
      <c r="K959" s="15" t="n">
        <v>5</v>
      </c>
      <c r="L959" s="15" t="n">
        <v>4</v>
      </c>
      <c r="M959" s="15" t="n">
        <v>0</v>
      </c>
      <c r="N959" s="15" t="n">
        <v>0</v>
      </c>
      <c r="O959" s="15" t="n">
        <v>0</v>
      </c>
      <c r="P959" s="15" t="n">
        <v>0</v>
      </c>
      <c r="Q959" s="15" t="n">
        <v>0</v>
      </c>
      <c r="R959" s="15" t="n">
        <v>0</v>
      </c>
      <c r="S959" s="15" t="n">
        <v>4</v>
      </c>
      <c r="T959" s="14">
        <f>IF(COUNT(I959:S959)=0,"",SUM(I959:S959))</f>
        <v/>
      </c>
      <c r="U959" t="inlineStr"/>
    </row>
    <row r="960">
      <c r="A960" t="inlineStr">
        <is>
          <t>좋은강안어린이집</t>
        </is>
      </c>
      <c r="B960" t="inlineStr">
        <is>
          <t>어린이집</t>
        </is>
      </c>
      <c r="C960" t="inlineStr">
        <is>
          <t>직장</t>
        </is>
      </c>
      <c r="D960" t="inlineStr">
        <is>
          <t>수영구</t>
        </is>
      </c>
      <c r="E960" t="inlineStr">
        <is>
          <t>부산광역시 수영구 수영로 493 좋은강안병원</t>
        </is>
      </c>
      <c r="F960" t="inlineStr"/>
      <c r="G960" t="inlineStr">
        <is>
          <t>051-610-9966</t>
        </is>
      </c>
      <c r="H960" s="15" t="n">
        <v>18</v>
      </c>
      <c r="I960" s="15" t="n">
        <v>0</v>
      </c>
      <c r="J960" s="15" t="n">
        <v>0</v>
      </c>
      <c r="K960" s="15" t="n">
        <v>0</v>
      </c>
      <c r="L960" s="15" t="n">
        <v>0</v>
      </c>
      <c r="M960" s="15" t="n">
        <v>0</v>
      </c>
      <c r="N960" s="15" t="n">
        <v>0</v>
      </c>
      <c r="O960" s="15" t="n">
        <v>7</v>
      </c>
      <c r="P960" s="15" t="n">
        <v>0</v>
      </c>
      <c r="Q960" s="15" t="n">
        <v>0</v>
      </c>
      <c r="R960" s="15" t="n">
        <v>0</v>
      </c>
      <c r="S960" s="15" t="n">
        <v>0</v>
      </c>
      <c r="T960" s="14">
        <f>IF(COUNT(I960:S960)=0,"",SUM(I960:S960))</f>
        <v/>
      </c>
      <c r="U960" t="inlineStr"/>
    </row>
    <row r="961">
      <c r="A961" t="inlineStr">
        <is>
          <t>참조은어린이집</t>
        </is>
      </c>
      <c r="B961" t="inlineStr">
        <is>
          <t>어린이집</t>
        </is>
      </c>
      <c r="C961" t="inlineStr">
        <is>
          <t>가정</t>
        </is>
      </c>
      <c r="D961" t="inlineStr">
        <is>
          <t>수영구</t>
        </is>
      </c>
      <c r="E961" t="inlineStr">
        <is>
          <t>부산광역시 수영구 광안로21번가길 12-1</t>
        </is>
      </c>
      <c r="F961" t="inlineStr"/>
      <c r="G961" t="inlineStr">
        <is>
          <t>051-755-2426</t>
        </is>
      </c>
      <c r="H961" s="15" t="n">
        <v>16</v>
      </c>
      <c r="I961" s="15" t="n">
        <v>2</v>
      </c>
      <c r="J961" s="15" t="n">
        <v>0</v>
      </c>
      <c r="K961" s="15" t="n">
        <v>0</v>
      </c>
      <c r="L961" s="15" t="n">
        <v>0</v>
      </c>
      <c r="M961" s="15" t="n">
        <v>0</v>
      </c>
      <c r="N961" s="15" t="n">
        <v>0</v>
      </c>
      <c r="O961" s="15" t="n">
        <v>7</v>
      </c>
      <c r="P961" s="15" t="n">
        <v>0</v>
      </c>
      <c r="Q961" s="15" t="n">
        <v>0</v>
      </c>
      <c r="R961" s="15" t="n">
        <v>0</v>
      </c>
      <c r="S961" s="15" t="n">
        <v>3</v>
      </c>
      <c r="T961" s="14">
        <f>IF(COUNT(I961:S961)=0,"",SUM(I961:S961))</f>
        <v/>
      </c>
      <c r="U961" t="inlineStr"/>
    </row>
    <row r="962">
      <c r="A962" t="inlineStr">
        <is>
          <t>초예어린이집</t>
        </is>
      </c>
      <c r="B962" t="inlineStr">
        <is>
          <t>어린이집</t>
        </is>
      </c>
      <c r="C962" t="inlineStr">
        <is>
          <t>민간</t>
        </is>
      </c>
      <c r="D962" t="inlineStr">
        <is>
          <t>수영구</t>
        </is>
      </c>
      <c r="E962" t="inlineStr">
        <is>
          <t>부산광역시 수영구 광일로29번길 16 (광안동)</t>
        </is>
      </c>
      <c r="F962" t="inlineStr"/>
      <c r="G962" t="inlineStr">
        <is>
          <t>051-756-5631</t>
        </is>
      </c>
      <c r="H962" s="15" t="n">
        <v>37</v>
      </c>
      <c r="I962" s="15" t="n">
        <v>8</v>
      </c>
      <c r="J962" s="15" t="n">
        <v>15</v>
      </c>
      <c r="K962" s="15" t="n">
        <v>13</v>
      </c>
      <c r="L962" s="15" t="n">
        <v>0</v>
      </c>
      <c r="M962" s="15" t="n">
        <v>0</v>
      </c>
      <c r="N962" s="15" t="n">
        <v>0</v>
      </c>
      <c r="O962" s="15" t="n">
        <v>0</v>
      </c>
      <c r="P962" s="15" t="n">
        <v>0</v>
      </c>
      <c r="Q962" s="15" t="n">
        <v>0</v>
      </c>
      <c r="R962" s="15" t="n">
        <v>0</v>
      </c>
      <c r="S962" s="15" t="n">
        <v>8</v>
      </c>
      <c r="T962" s="14">
        <f>IF(COUNT(I962:S962)=0,"",SUM(I962:S962))</f>
        <v/>
      </c>
      <c r="U962" t="inlineStr"/>
    </row>
    <row r="963">
      <c r="A963" t="inlineStr">
        <is>
          <t>코오롱하늘채어린이집</t>
        </is>
      </c>
      <c r="B963" t="inlineStr">
        <is>
          <t>어린이집</t>
        </is>
      </c>
      <c r="C963" t="inlineStr">
        <is>
          <t>민간</t>
        </is>
      </c>
      <c r="D963" t="inlineStr">
        <is>
          <t>수영구</t>
        </is>
      </c>
      <c r="E963" t="inlineStr">
        <is>
          <t>부산광역시 수영구 남천동로 41 코오롱하늘채골든비치  단지내 관리동</t>
        </is>
      </c>
      <c r="F963" t="inlineStr"/>
      <c r="G963" t="inlineStr">
        <is>
          <t>051-626-0087</t>
        </is>
      </c>
      <c r="H963" s="15" t="n">
        <v>43</v>
      </c>
      <c r="I963" s="15" t="n">
        <v>9</v>
      </c>
      <c r="J963" s="15" t="n">
        <v>15</v>
      </c>
      <c r="K963" s="15" t="n">
        <v>12</v>
      </c>
      <c r="L963" s="15" t="n">
        <v>0</v>
      </c>
      <c r="M963" s="15" t="n">
        <v>0</v>
      </c>
      <c r="N963" s="15" t="n">
        <v>0</v>
      </c>
      <c r="O963" s="15" t="n">
        <v>3</v>
      </c>
      <c r="P963" s="15" t="n">
        <v>0</v>
      </c>
      <c r="Q963" s="15" t="n">
        <v>0</v>
      </c>
      <c r="R963" s="15" t="n">
        <v>0</v>
      </c>
      <c r="S963" s="15" t="n">
        <v>0</v>
      </c>
      <c r="T963" s="14">
        <f>IF(COUNT(I963:S963)=0,"",SUM(I963:S963))</f>
        <v/>
      </c>
      <c r="U963" t="inlineStr"/>
    </row>
    <row r="964">
      <c r="A964" t="inlineStr">
        <is>
          <t>푸르지오어린이집</t>
        </is>
      </c>
      <c r="B964" t="inlineStr">
        <is>
          <t>어린이집</t>
        </is>
      </c>
      <c r="C964" t="inlineStr">
        <is>
          <t>민간</t>
        </is>
      </c>
      <c r="D964" t="inlineStr">
        <is>
          <t>수영구</t>
        </is>
      </c>
      <c r="E964" t="inlineStr">
        <is>
          <t>부산광역시 수영구 광안해변로 418</t>
        </is>
      </c>
      <c r="F964" t="inlineStr"/>
      <c r="G964" t="inlineStr">
        <is>
          <t>051-757-5986</t>
        </is>
      </c>
      <c r="H964" s="15" t="n">
        <v>33</v>
      </c>
      <c r="I964" s="15" t="n">
        <v>8</v>
      </c>
      <c r="J964" s="15" t="n">
        <v>5</v>
      </c>
      <c r="K964" s="15" t="n">
        <v>13</v>
      </c>
      <c r="L964" s="15" t="n">
        <v>0</v>
      </c>
      <c r="M964" s="15" t="n">
        <v>0</v>
      </c>
      <c r="N964" s="15" t="n">
        <v>0</v>
      </c>
      <c r="O964" s="15" t="n">
        <v>4</v>
      </c>
      <c r="P964" s="15" t="n">
        <v>0</v>
      </c>
      <c r="Q964" s="15" t="n">
        <v>0</v>
      </c>
      <c r="R964" s="15" t="n">
        <v>0</v>
      </c>
      <c r="S964" s="15" t="n">
        <v>10</v>
      </c>
      <c r="T964" s="14">
        <f>IF(COUNT(I964:S964)=0,"",SUM(I964:S964))</f>
        <v/>
      </c>
      <c r="U964" t="inlineStr"/>
    </row>
    <row r="965">
      <c r="A965" t="inlineStr">
        <is>
          <t>하늘바다어린이집</t>
        </is>
      </c>
      <c r="B965" t="inlineStr">
        <is>
          <t>어린이집</t>
        </is>
      </c>
      <c r="C965" t="inlineStr">
        <is>
          <t>가정</t>
        </is>
      </c>
      <c r="D965" t="inlineStr">
        <is>
          <t>수영구</t>
        </is>
      </c>
      <c r="E965" t="inlineStr">
        <is>
          <t>부산광역시 수영구 수영로741번길 38 205동 1층(수영동, 수영협성르네상스타운)</t>
        </is>
      </c>
      <c r="F965" t="inlineStr"/>
      <c r="G965" t="inlineStr">
        <is>
          <t>051-761-2999</t>
        </is>
      </c>
      <c r="H965" s="15" t="n">
        <v>20</v>
      </c>
      <c r="I965" s="15" t="n">
        <v>5</v>
      </c>
      <c r="J965" s="15" t="n">
        <v>5</v>
      </c>
      <c r="K965" s="15" t="n">
        <v>5</v>
      </c>
      <c r="L965" s="15" t="n">
        <v>0</v>
      </c>
      <c r="M965" s="15" t="n">
        <v>0</v>
      </c>
      <c r="N965" s="15" t="n">
        <v>0</v>
      </c>
      <c r="O965" s="15" t="n">
        <v>0</v>
      </c>
      <c r="P965" s="15" t="n">
        <v>0</v>
      </c>
      <c r="Q965" s="15" t="n">
        <v>0</v>
      </c>
      <c r="R965" s="15" t="n">
        <v>0</v>
      </c>
      <c r="S965" s="15" t="n">
        <v>5</v>
      </c>
      <c r="T965" s="14">
        <f>IF(COUNT(I965:S965)=0,"",SUM(I965:S965))</f>
        <v/>
      </c>
      <c r="U965" t="inlineStr"/>
    </row>
    <row r="966">
      <c r="A966" t="inlineStr">
        <is>
          <t>한솔어린이집</t>
        </is>
      </c>
      <c r="B966" t="inlineStr">
        <is>
          <t>어린이집</t>
        </is>
      </c>
      <c r="C966" t="inlineStr">
        <is>
          <t>가정</t>
        </is>
      </c>
      <c r="D966" t="inlineStr">
        <is>
          <t>수영구</t>
        </is>
      </c>
      <c r="E966" t="inlineStr">
        <is>
          <t>부산광역시 수영구 수영로540번길 66 해변빌라 102호 (광안동)</t>
        </is>
      </c>
      <c r="F966" s="11" t="inlineStr">
        <is>
          <t>http://cafe.daum.net/hansol/7516048</t>
        </is>
      </c>
      <c r="G966" t="inlineStr">
        <is>
          <t>051-751-6048</t>
        </is>
      </c>
      <c r="H966" s="15" t="n">
        <v>20</v>
      </c>
      <c r="I966" s="15" t="n">
        <v>5</v>
      </c>
      <c r="J966" s="15" t="n">
        <v>5</v>
      </c>
      <c r="K966" s="15" t="n">
        <v>0</v>
      </c>
      <c r="L966" s="15" t="n">
        <v>0</v>
      </c>
      <c r="M966" s="15" t="n">
        <v>0</v>
      </c>
      <c r="N966" s="15" t="n">
        <v>0</v>
      </c>
      <c r="O966" s="15" t="n">
        <v>8</v>
      </c>
      <c r="P966" s="15" t="n">
        <v>0</v>
      </c>
      <c r="Q966" s="15" t="n">
        <v>0</v>
      </c>
      <c r="R966" s="15" t="n">
        <v>0</v>
      </c>
      <c r="S966" s="15" t="n">
        <v>5</v>
      </c>
      <c r="T966" s="14">
        <f>IF(COUNT(I966:S966)=0,"",SUM(I966:S966))</f>
        <v/>
      </c>
      <c r="U966" t="inlineStr"/>
    </row>
    <row r="967">
      <c r="A967" t="inlineStr">
        <is>
          <t>함박어린이집</t>
        </is>
      </c>
      <c r="B967" t="inlineStr">
        <is>
          <t>어린이집</t>
        </is>
      </c>
      <c r="C967" t="inlineStr">
        <is>
          <t>국공립</t>
        </is>
      </c>
      <c r="D967" t="inlineStr">
        <is>
          <t>수영구</t>
        </is>
      </c>
      <c r="E967" t="inlineStr">
        <is>
          <t>부산광역시 수영구 연수로275번길 30</t>
        </is>
      </c>
      <c r="F967" t="inlineStr"/>
      <c r="G967" t="inlineStr">
        <is>
          <t>051-752-4377</t>
        </is>
      </c>
      <c r="H967" s="15" t="n">
        <v>48</v>
      </c>
      <c r="I967" s="15" t="n">
        <v>9</v>
      </c>
      <c r="J967" s="15" t="n">
        <v>16</v>
      </c>
      <c r="K967" s="15" t="n">
        <v>11</v>
      </c>
      <c r="L967" s="15" t="n">
        <v>0</v>
      </c>
      <c r="M967" s="15" t="n">
        <v>0</v>
      </c>
      <c r="N967" s="15" t="n">
        <v>0</v>
      </c>
      <c r="O967" s="15" t="n">
        <v>0</v>
      </c>
      <c r="P967" s="15" t="n">
        <v>0</v>
      </c>
      <c r="Q967" s="15" t="n">
        <v>0</v>
      </c>
      <c r="R967" s="15" t="n">
        <v>0</v>
      </c>
      <c r="S967" s="15" t="n">
        <v>5</v>
      </c>
      <c r="T967" s="14">
        <f>IF(COUNT(I967:S967)=0,"",SUM(I967:S967))</f>
        <v/>
      </c>
      <c r="U967" t="inlineStr"/>
    </row>
    <row r="968">
      <c r="A968" t="inlineStr">
        <is>
          <t>혜승어린이집</t>
        </is>
      </c>
      <c r="B968" t="inlineStr">
        <is>
          <t>어린이집</t>
        </is>
      </c>
      <c r="C968" t="inlineStr">
        <is>
          <t>사회복지법인</t>
        </is>
      </c>
      <c r="D968" t="inlineStr">
        <is>
          <t>수영구</t>
        </is>
      </c>
      <c r="E968" t="inlineStr">
        <is>
          <t>부산광역시 수영구 과정로91번가길 10-8</t>
        </is>
      </c>
      <c r="F968" s="11" t="inlineStr">
        <is>
          <t>https://instagram.com/hyeseung2294?igshid=YmMyMTA2M2Y=</t>
        </is>
      </c>
      <c r="G968" t="inlineStr">
        <is>
          <t>051-758-2294</t>
        </is>
      </c>
      <c r="H968" s="15" t="n">
        <v>49</v>
      </c>
      <c r="I968" s="15" t="n">
        <v>5</v>
      </c>
      <c r="J968" s="15" t="n">
        <v>8</v>
      </c>
      <c r="K968" s="15" t="n">
        <v>6</v>
      </c>
      <c r="L968" s="15" t="n">
        <v>0</v>
      </c>
      <c r="M968" s="15" t="n">
        <v>0</v>
      </c>
      <c r="N968" s="15" t="n">
        <v>0</v>
      </c>
      <c r="O968" s="15" t="n">
        <v>0</v>
      </c>
      <c r="P968" s="15" t="n">
        <v>13</v>
      </c>
      <c r="Q968" s="15" t="n">
        <v>0</v>
      </c>
      <c r="R968" s="15" t="n">
        <v>0</v>
      </c>
      <c r="S968" s="15" t="n">
        <v>7</v>
      </c>
      <c r="T968" s="14">
        <f>IF(COUNT(I968:S968)=0,"",SUM(I968:S968))</f>
        <v/>
      </c>
      <c r="U968" t="inlineStr"/>
    </row>
    <row r="969">
      <c r="A969" t="inlineStr">
        <is>
          <t>ABC어린이집</t>
        </is>
      </c>
      <c r="B969" t="inlineStr">
        <is>
          <t>어린이집</t>
        </is>
      </c>
      <c r="C969" t="inlineStr">
        <is>
          <t>민간</t>
        </is>
      </c>
      <c r="D969" t="inlineStr">
        <is>
          <t>연제구</t>
        </is>
      </c>
      <c r="E969" t="inlineStr">
        <is>
          <t>부산광역시 연제구 월드컵대로165번길 51 (연산동)</t>
        </is>
      </c>
      <c r="F969" s="11" t="inlineStr">
        <is>
          <t>http://http//cafe.daum.net/7942abc</t>
        </is>
      </c>
      <c r="G969" t="inlineStr">
        <is>
          <t>051-851-0978</t>
        </is>
      </c>
      <c r="H969" s="15" t="n">
        <v>77</v>
      </c>
      <c r="I969" s="15" t="n">
        <v>12</v>
      </c>
      <c r="J969" s="15" t="n">
        <v>14</v>
      </c>
      <c r="K969" s="15" t="n">
        <v>20</v>
      </c>
      <c r="L969" s="15" t="n">
        <v>11</v>
      </c>
      <c r="M969" s="15" t="n">
        <v>0</v>
      </c>
      <c r="N969" s="15" t="n">
        <v>0</v>
      </c>
      <c r="O969" s="15" t="n">
        <v>0</v>
      </c>
      <c r="P969" s="15" t="n">
        <v>17</v>
      </c>
      <c r="Q969" s="15" t="n">
        <v>0</v>
      </c>
      <c r="R969" s="15" t="n">
        <v>0</v>
      </c>
      <c r="S969" s="15" t="n">
        <v>5</v>
      </c>
      <c r="T969" s="14">
        <f>IF(COUNT(I969:S969)=0,"",SUM(I969:S969))</f>
        <v/>
      </c>
      <c r="U969" t="inlineStr"/>
    </row>
    <row r="970">
      <c r="A970" t="inlineStr">
        <is>
          <t>LG토현영아전담어린이집</t>
        </is>
      </c>
      <c r="B970" t="inlineStr">
        <is>
          <t>어린이집</t>
        </is>
      </c>
      <c r="C970" t="inlineStr">
        <is>
          <t>가정</t>
        </is>
      </c>
      <c r="D970" t="inlineStr">
        <is>
          <t>연제구</t>
        </is>
      </c>
      <c r="E970" t="inlineStr">
        <is>
          <t>부산광역시 연제구 고분로 200 103동 101호(연산동, 연산엘지아파트)</t>
        </is>
      </c>
      <c r="F970" t="inlineStr"/>
      <c r="G970" t="inlineStr">
        <is>
          <t>051-755-2120</t>
        </is>
      </c>
      <c r="H970" s="15" t="n">
        <v>20</v>
      </c>
      <c r="I970" s="15" t="n">
        <v>2</v>
      </c>
      <c r="J970" s="15" t="n">
        <v>0</v>
      </c>
      <c r="K970" s="15" t="n">
        <v>4</v>
      </c>
      <c r="L970" s="15" t="n">
        <v>0</v>
      </c>
      <c r="M970" s="15" t="n">
        <v>0</v>
      </c>
      <c r="N970" s="15" t="n">
        <v>0</v>
      </c>
      <c r="O970" s="15" t="n">
        <v>4</v>
      </c>
      <c r="P970" s="15" t="n">
        <v>0</v>
      </c>
      <c r="Q970" s="15" t="n">
        <v>0</v>
      </c>
      <c r="R970" s="15" t="n">
        <v>0</v>
      </c>
      <c r="S970" s="15" t="n">
        <v>2</v>
      </c>
      <c r="T970" s="14">
        <f>IF(COUNT(I970:S970)=0,"",SUM(I970:S970))</f>
        <v/>
      </c>
      <c r="U970" t="inlineStr"/>
    </row>
    <row r="971">
      <c r="A971" t="inlineStr">
        <is>
          <t>거제드림어린이집</t>
        </is>
      </c>
      <c r="B971" t="inlineStr">
        <is>
          <t>어린이집</t>
        </is>
      </c>
      <c r="C971" t="inlineStr">
        <is>
          <t>법인·단체등</t>
        </is>
      </c>
      <c r="D971" t="inlineStr">
        <is>
          <t>연제구</t>
        </is>
      </c>
      <c r="E971" t="inlineStr">
        <is>
          <t>부산광역시 연제구 아시아드대로 12 (거제동)</t>
        </is>
      </c>
      <c r="F971" s="11" t="inlineStr">
        <is>
          <t>https://cafe.daum.net/geojedreamkid</t>
        </is>
      </c>
      <c r="G971" t="inlineStr">
        <is>
          <t>051-503-0113</t>
        </is>
      </c>
      <c r="H971" s="15" t="n">
        <v>99</v>
      </c>
      <c r="I971" s="15" t="n">
        <v>0</v>
      </c>
      <c r="J971" s="15" t="n">
        <v>15</v>
      </c>
      <c r="K971" s="15" t="n">
        <v>20</v>
      </c>
      <c r="L971" s="15" t="n">
        <v>14</v>
      </c>
      <c r="M971" s="15" t="n">
        <v>16</v>
      </c>
      <c r="N971" s="15" t="n">
        <v>16</v>
      </c>
      <c r="O971" s="15" t="n">
        <v>0</v>
      </c>
      <c r="P971" s="15" t="n">
        <v>0</v>
      </c>
      <c r="Q971" s="15" t="n">
        <v>0</v>
      </c>
      <c r="R971" s="15" t="n">
        <v>0</v>
      </c>
      <c r="S971" s="15" t="n">
        <v>19</v>
      </c>
      <c r="T971" s="14">
        <f>IF(COUNT(I971:S971)=0,"",SUM(I971:S971))</f>
        <v/>
      </c>
      <c r="U971" t="inlineStr"/>
    </row>
    <row r="972">
      <c r="A972" t="inlineStr">
        <is>
          <t>꿈나무영재어린이집</t>
        </is>
      </c>
      <c r="B972" t="inlineStr">
        <is>
          <t>어린이집</t>
        </is>
      </c>
      <c r="C972" t="inlineStr">
        <is>
          <t>민간</t>
        </is>
      </c>
      <c r="D972" t="inlineStr">
        <is>
          <t>연제구</t>
        </is>
      </c>
      <c r="E972" t="inlineStr">
        <is>
          <t>부산광역시 연제구 대리로22번길 8 (연산동)</t>
        </is>
      </c>
      <c r="F972" t="inlineStr"/>
      <c r="G972" t="inlineStr">
        <is>
          <t>051-865-0542</t>
        </is>
      </c>
      <c r="H972" s="15" t="n">
        <v>49</v>
      </c>
      <c r="I972" s="15" t="n">
        <v>16</v>
      </c>
      <c r="J972" s="15" t="n">
        <v>14</v>
      </c>
      <c r="K972" s="15" t="n">
        <v>16</v>
      </c>
      <c r="L972" s="15" t="n">
        <v>0</v>
      </c>
      <c r="M972" s="15" t="n">
        <v>0</v>
      </c>
      <c r="N972" s="15" t="n">
        <v>0</v>
      </c>
      <c r="O972" s="15" t="n">
        <v>0</v>
      </c>
      <c r="P972" s="15" t="n">
        <v>0</v>
      </c>
      <c r="Q972" s="15" t="n">
        <v>0</v>
      </c>
      <c r="R972" s="15" t="n">
        <v>0</v>
      </c>
      <c r="S972" s="15" t="n">
        <v>9</v>
      </c>
      <c r="T972" s="14">
        <f>IF(COUNT(I972:S972)=0,"",SUM(I972:S972))</f>
        <v/>
      </c>
      <c r="U972" t="inlineStr"/>
    </row>
    <row r="973">
      <c r="A973" t="inlineStr">
        <is>
          <t>대양어린이집</t>
        </is>
      </c>
      <c r="B973" t="inlineStr">
        <is>
          <t>어린이집</t>
        </is>
      </c>
      <c r="C973" t="inlineStr">
        <is>
          <t>민간</t>
        </is>
      </c>
      <c r="D973" t="inlineStr">
        <is>
          <t>연제구</t>
        </is>
      </c>
      <c r="E973" t="inlineStr">
        <is>
          <t>부산광역시 연제구 안연로8번길 88 (연산동)</t>
        </is>
      </c>
      <c r="F973" t="inlineStr"/>
      <c r="G973" t="inlineStr">
        <is>
          <t>051-759-9974</t>
        </is>
      </c>
      <c r="H973" s="15" t="n">
        <v>93</v>
      </c>
      <c r="I973" s="15" t="n">
        <v>9</v>
      </c>
      <c r="J973" s="15" t="n">
        <v>7</v>
      </c>
      <c r="K973" s="15" t="n">
        <v>14</v>
      </c>
      <c r="L973" s="15" t="n">
        <v>9</v>
      </c>
      <c r="M973" s="15" t="n">
        <v>0</v>
      </c>
      <c r="N973" s="15" t="n">
        <v>0</v>
      </c>
      <c r="O973" s="15" t="n">
        <v>0</v>
      </c>
      <c r="P973" s="15" t="n">
        <v>17</v>
      </c>
      <c r="Q973" s="15" t="n">
        <v>0</v>
      </c>
      <c r="R973" s="15" t="n">
        <v>0</v>
      </c>
      <c r="S973" s="15" t="n">
        <v>4</v>
      </c>
      <c r="T973" s="14">
        <f>IF(COUNT(I973:S973)=0,"",SUM(I973:S973))</f>
        <v/>
      </c>
      <c r="U973" t="inlineStr"/>
    </row>
    <row r="974">
      <c r="A974" t="inlineStr">
        <is>
          <t>더샵파크시티어린이집</t>
        </is>
      </c>
      <c r="B974" t="inlineStr">
        <is>
          <t>어린이집</t>
        </is>
      </c>
      <c r="C974" t="inlineStr">
        <is>
          <t>민간</t>
        </is>
      </c>
      <c r="D974" t="inlineStr">
        <is>
          <t>연제구</t>
        </is>
      </c>
      <c r="E974" t="inlineStr">
        <is>
          <t>부산광역시 연제구 안연로 33 106동(연산동, 더샵파크시티아파트)</t>
        </is>
      </c>
      <c r="F974" t="inlineStr"/>
      <c r="G974" t="inlineStr">
        <is>
          <t>051-862-7004</t>
        </is>
      </c>
      <c r="H974" s="15" t="n">
        <v>121</v>
      </c>
      <c r="I974" s="15" t="n">
        <v>9</v>
      </c>
      <c r="J974" s="15" t="n">
        <v>40</v>
      </c>
      <c r="K974" s="15" t="n">
        <v>41</v>
      </c>
      <c r="L974" s="15" t="n">
        <v>15</v>
      </c>
      <c r="M974" s="15" t="n">
        <v>0</v>
      </c>
      <c r="N974" s="15" t="n">
        <v>0</v>
      </c>
      <c r="O974" s="15" t="n">
        <v>0</v>
      </c>
      <c r="P974" s="15" t="n">
        <v>0</v>
      </c>
      <c r="Q974" s="15" t="n">
        <v>0</v>
      </c>
      <c r="R974" s="15" t="n">
        <v>0</v>
      </c>
      <c r="S974" s="15" t="n">
        <v>13</v>
      </c>
      <c r="T974" s="14">
        <f>IF(COUNT(I974:S974)=0,"",SUM(I974:S974))</f>
        <v/>
      </c>
      <c r="U974" t="inlineStr"/>
    </row>
    <row r="975">
      <c r="A975" t="inlineStr">
        <is>
          <t>디즈니영아전담어린이집</t>
        </is>
      </c>
      <c r="B975" t="inlineStr">
        <is>
          <t>어린이집</t>
        </is>
      </c>
      <c r="C975" t="inlineStr">
        <is>
          <t>가정</t>
        </is>
      </c>
      <c r="D975" t="inlineStr">
        <is>
          <t>연제구</t>
        </is>
      </c>
      <c r="E975" t="inlineStr">
        <is>
          <t>부산광역시 연제구 해맞이로 23 112동 103호(거제동, 거제유림아시아드아파트)</t>
        </is>
      </c>
      <c r="F975" s="11" t="inlineStr">
        <is>
          <t>http://cafe.daum.net/5042234</t>
        </is>
      </c>
      <c r="G975" t="inlineStr">
        <is>
          <t>051-504-2234</t>
        </is>
      </c>
      <c r="H975" s="15" t="n">
        <v>20</v>
      </c>
      <c r="I975" s="15" t="n">
        <v>6</v>
      </c>
      <c r="J975" s="15" t="n">
        <v>4</v>
      </c>
      <c r="K975" s="15" t="n">
        <v>6</v>
      </c>
      <c r="L975" s="15" t="n">
        <v>0</v>
      </c>
      <c r="M975" s="15" t="n">
        <v>0</v>
      </c>
      <c r="N975" s="15" t="n">
        <v>0</v>
      </c>
      <c r="O975" s="15" t="n">
        <v>2</v>
      </c>
      <c r="P975" s="15" t="n">
        <v>0</v>
      </c>
      <c r="Q975" s="15" t="n">
        <v>0</v>
      </c>
      <c r="R975" s="15" t="n">
        <v>0</v>
      </c>
      <c r="S975" s="15" t="n">
        <v>3</v>
      </c>
      <c r="T975" s="14">
        <f>IF(COUNT(I975:S975)=0,"",SUM(I975:S975))</f>
        <v/>
      </c>
      <c r="U975" t="inlineStr"/>
    </row>
    <row r="976">
      <c r="A976" t="inlineStr">
        <is>
          <t>레이카운티4단지어린이집</t>
        </is>
      </c>
      <c r="B976" t="inlineStr">
        <is>
          <t>어린이집</t>
        </is>
      </c>
      <c r="C976" t="inlineStr">
        <is>
          <t>민간</t>
        </is>
      </c>
      <c r="D976" t="inlineStr">
        <is>
          <t>연제구</t>
        </is>
      </c>
      <c r="E976" t="inlineStr">
        <is>
          <t>부산광역시 연제구 아시아드대로 39 레이카운티아파트 4단지 관리동</t>
        </is>
      </c>
      <c r="F976" t="inlineStr"/>
      <c r="G976" t="inlineStr">
        <is>
          <t>051-506-2578</t>
        </is>
      </c>
      <c r="H976" s="15" t="n">
        <v>65</v>
      </c>
      <c r="I976" s="15" t="n">
        <v>30</v>
      </c>
      <c r="J976" s="15" t="n">
        <v>24</v>
      </c>
      <c r="K976" s="15" t="n">
        <v>7</v>
      </c>
      <c r="L976" s="15" t="n">
        <v>0</v>
      </c>
      <c r="M976" s="15" t="n">
        <v>0</v>
      </c>
      <c r="N976" s="15" t="n">
        <v>0</v>
      </c>
      <c r="O976" s="15" t="n">
        <v>0</v>
      </c>
      <c r="P976" s="15" t="n">
        <v>0</v>
      </c>
      <c r="Q976" s="15" t="n">
        <v>0</v>
      </c>
      <c r="R976" s="15" t="n">
        <v>0</v>
      </c>
      <c r="S976" s="15" t="n">
        <v>10</v>
      </c>
      <c r="T976" s="14">
        <f>IF(COUNT(I976:S976)=0,"",SUM(I976:S976))</f>
        <v/>
      </c>
      <c r="U976" t="inlineStr"/>
    </row>
    <row r="977">
      <c r="A977" t="inlineStr">
        <is>
          <t>레이카운티5단지어린이집</t>
        </is>
      </c>
      <c r="B977" t="inlineStr">
        <is>
          <t>어린이집</t>
        </is>
      </c>
      <c r="C977" t="inlineStr">
        <is>
          <t>민간</t>
        </is>
      </c>
      <c r="D977" t="inlineStr">
        <is>
          <t>연제구</t>
        </is>
      </c>
      <c r="E977" t="inlineStr">
        <is>
          <t>부산광역시 연제구 아시아드대로 39 레이카운티아파트 5단지 관리동</t>
        </is>
      </c>
      <c r="F977" t="inlineStr"/>
      <c r="G977" t="inlineStr">
        <is>
          <t>051-927-5932</t>
        </is>
      </c>
      <c r="H977" s="15" t="n">
        <v>65</v>
      </c>
      <c r="I977" s="15" t="n">
        <v>15</v>
      </c>
      <c r="J977" s="15" t="n">
        <v>15</v>
      </c>
      <c r="K977" s="15" t="n">
        <v>0</v>
      </c>
      <c r="L977" s="15" t="n">
        <v>0</v>
      </c>
      <c r="M977" s="15" t="n">
        <v>0</v>
      </c>
      <c r="N977" s="15" t="n">
        <v>0</v>
      </c>
      <c r="O977" s="15" t="n">
        <v>23</v>
      </c>
      <c r="P977" s="15" t="n">
        <v>8</v>
      </c>
      <c r="Q977" s="15" t="n">
        <v>0</v>
      </c>
      <c r="R977" s="15" t="n">
        <v>0</v>
      </c>
      <c r="S977" s="15" t="n">
        <v>5</v>
      </c>
      <c r="T977" s="14">
        <f>IF(COUNT(I977:S977)=0,"",SUM(I977:S977))</f>
        <v/>
      </c>
      <c r="U977" t="inlineStr"/>
    </row>
    <row r="978">
      <c r="A978" t="inlineStr">
        <is>
          <t>롯데캐슬어린이집</t>
        </is>
      </c>
      <c r="B978" t="inlineStr">
        <is>
          <t>어린이집</t>
        </is>
      </c>
      <c r="C978" t="inlineStr">
        <is>
          <t>민간</t>
        </is>
      </c>
      <c r="D978" t="inlineStr">
        <is>
          <t>연제구</t>
        </is>
      </c>
      <c r="E978" t="inlineStr">
        <is>
          <t>부산광역시 연제구 세병로 44 관리동 1층</t>
        </is>
      </c>
      <c r="F978" t="inlineStr"/>
      <c r="G978" t="inlineStr">
        <is>
          <t>051-863-0510</t>
        </is>
      </c>
      <c r="H978" s="15" t="n">
        <v>21</v>
      </c>
      <c r="I978" s="15" t="n">
        <v>3</v>
      </c>
      <c r="J978" s="15" t="n">
        <v>0</v>
      </c>
      <c r="K978" s="15" t="n">
        <v>0</v>
      </c>
      <c r="L978" s="15" t="n">
        <v>0</v>
      </c>
      <c r="M978" s="15" t="n">
        <v>0</v>
      </c>
      <c r="N978" s="15" t="n">
        <v>0</v>
      </c>
      <c r="O978" s="15" t="n">
        <v>3</v>
      </c>
      <c r="P978" s="15" t="n">
        <v>0</v>
      </c>
      <c r="Q978" s="15" t="n">
        <v>0</v>
      </c>
      <c r="R978" s="15" t="n">
        <v>0</v>
      </c>
      <c r="S978" s="15" t="n">
        <v>0</v>
      </c>
      <c r="T978" s="14">
        <f>IF(COUNT(I978:S978)=0,"",SUM(I978:S978))</f>
        <v/>
      </c>
      <c r="U978" t="inlineStr"/>
    </row>
    <row r="979">
      <c r="A979" t="inlineStr">
        <is>
          <t>메르빌아이어린이집</t>
        </is>
      </c>
      <c r="B979" t="inlineStr">
        <is>
          <t>어린이집</t>
        </is>
      </c>
      <c r="C979" t="inlineStr">
        <is>
          <t>민간</t>
        </is>
      </c>
      <c r="D979" t="inlineStr">
        <is>
          <t>연제구</t>
        </is>
      </c>
      <c r="E979" t="inlineStr">
        <is>
          <t>부산광역시 연제구 연수로 110 (연산동, 연산 경동메르빌아파트)</t>
        </is>
      </c>
      <c r="F979" t="inlineStr"/>
      <c r="G979" t="inlineStr">
        <is>
          <t>051-868-8006</t>
        </is>
      </c>
      <c r="H979" s="15" t="n">
        <v>46</v>
      </c>
      <c r="I979" s="15" t="n">
        <v>6</v>
      </c>
      <c r="J979" s="15" t="n">
        <v>20</v>
      </c>
      <c r="K979" s="15" t="n">
        <v>20</v>
      </c>
      <c r="L979" s="15" t="n">
        <v>0</v>
      </c>
      <c r="M979" s="15" t="n">
        <v>0</v>
      </c>
      <c r="N979" s="15" t="n">
        <v>0</v>
      </c>
      <c r="O979" s="15" t="n">
        <v>0</v>
      </c>
      <c r="P979" s="15" t="n">
        <v>0</v>
      </c>
      <c r="Q979" s="15" t="n">
        <v>0</v>
      </c>
      <c r="R979" s="15" t="n">
        <v>0</v>
      </c>
      <c r="S979" s="15" t="n">
        <v>10</v>
      </c>
      <c r="T979" s="14">
        <f>IF(COUNT(I979:S979)=0,"",SUM(I979:S979))</f>
        <v/>
      </c>
      <c r="U979" t="inlineStr"/>
    </row>
    <row r="980">
      <c r="A980" t="inlineStr">
        <is>
          <t>미라주어린이집</t>
        </is>
      </c>
      <c r="B980" t="inlineStr">
        <is>
          <t>어린이집</t>
        </is>
      </c>
      <c r="C980" t="inlineStr">
        <is>
          <t>민간</t>
        </is>
      </c>
      <c r="D980" t="inlineStr">
        <is>
          <t>연제구</t>
        </is>
      </c>
      <c r="E980" t="inlineStr">
        <is>
          <t>부산광역시 연제구 반송로 80 113동 1층 (연산동, 일동미라주더스타)</t>
        </is>
      </c>
      <c r="F980" t="inlineStr"/>
      <c r="G980" t="inlineStr">
        <is>
          <t>051-867-4233</t>
        </is>
      </c>
      <c r="H980" s="15" t="n">
        <v>59</v>
      </c>
      <c r="I980" s="15" t="n">
        <v>12</v>
      </c>
      <c r="J980" s="15" t="n">
        <v>15</v>
      </c>
      <c r="K980" s="15" t="n">
        <v>14</v>
      </c>
      <c r="L980" s="15" t="n">
        <v>0</v>
      </c>
      <c r="M980" s="15" t="n">
        <v>0</v>
      </c>
      <c r="N980" s="15" t="n">
        <v>0</v>
      </c>
      <c r="O980" s="15" t="n">
        <v>8</v>
      </c>
      <c r="P980" s="15" t="n">
        <v>0</v>
      </c>
      <c r="Q980" s="15" t="n">
        <v>0</v>
      </c>
      <c r="R980" s="15" t="n">
        <v>0</v>
      </c>
      <c r="S980" s="15" t="n">
        <v>5</v>
      </c>
      <c r="T980" s="14">
        <f>IF(COUNT(I980:S980)=0,"",SUM(I980:S980))</f>
        <v/>
      </c>
      <c r="U980" t="inlineStr"/>
    </row>
    <row r="981">
      <c r="A981" t="inlineStr">
        <is>
          <t>백합어린이집</t>
        </is>
      </c>
      <c r="B981" t="inlineStr">
        <is>
          <t>어린이집</t>
        </is>
      </c>
      <c r="C981" t="inlineStr">
        <is>
          <t>사회복지법인</t>
        </is>
      </c>
      <c r="D981" t="inlineStr">
        <is>
          <t>연제구</t>
        </is>
      </c>
      <c r="E981" t="inlineStr">
        <is>
          <t>부산광역시 연제구 과정로260번길 27-1 (연산동)</t>
        </is>
      </c>
      <c r="F981" s="11" t="inlineStr">
        <is>
          <t>http://cafe.naver.com/baghapdaycarecenter</t>
        </is>
      </c>
      <c r="G981" t="inlineStr">
        <is>
          <t>051-851-5008</t>
        </is>
      </c>
      <c r="H981" s="15" t="n">
        <v>46</v>
      </c>
      <c r="I981" s="15" t="n">
        <v>6</v>
      </c>
      <c r="J981" s="15" t="n">
        <v>10</v>
      </c>
      <c r="K981" s="15" t="n">
        <v>13</v>
      </c>
      <c r="L981" s="15" t="n">
        <v>0</v>
      </c>
      <c r="M981" s="15" t="n">
        <v>0</v>
      </c>
      <c r="N981" s="15" t="n">
        <v>0</v>
      </c>
      <c r="O981" s="15" t="n">
        <v>3</v>
      </c>
      <c r="P981" s="15" t="n">
        <v>9</v>
      </c>
      <c r="Q981" s="15" t="n">
        <v>0</v>
      </c>
      <c r="R981" s="15" t="n">
        <v>0</v>
      </c>
      <c r="S981" s="15" t="n">
        <v>0</v>
      </c>
      <c r="T981" s="14">
        <f>IF(COUNT(I981:S981)=0,"",SUM(I981:S981))</f>
        <v/>
      </c>
      <c r="U981" t="inlineStr"/>
    </row>
    <row r="982">
      <c r="A982" t="inlineStr">
        <is>
          <t>벧엘어린이집</t>
        </is>
      </c>
      <c r="B982" t="inlineStr">
        <is>
          <t>어린이집</t>
        </is>
      </c>
      <c r="C982" t="inlineStr">
        <is>
          <t>가정</t>
        </is>
      </c>
      <c r="D982" t="inlineStr">
        <is>
          <t>연제구</t>
        </is>
      </c>
      <c r="E982" t="inlineStr">
        <is>
          <t>부산광역시 연제구 월드컵대로165번길 74 (연산동)</t>
        </is>
      </c>
      <c r="F982" t="inlineStr"/>
      <c r="G982" t="inlineStr">
        <is>
          <t>051-866-8493</t>
        </is>
      </c>
      <c r="H982" s="15" t="n">
        <v>20</v>
      </c>
      <c r="I982" s="15" t="n">
        <v>4</v>
      </c>
      <c r="J982" s="15" t="n">
        <v>5</v>
      </c>
      <c r="K982" s="15" t="n">
        <v>5</v>
      </c>
      <c r="L982" s="15" t="n">
        <v>0</v>
      </c>
      <c r="M982" s="15" t="n">
        <v>0</v>
      </c>
      <c r="N982" s="15" t="n">
        <v>0</v>
      </c>
      <c r="O982" s="15" t="n">
        <v>2</v>
      </c>
      <c r="P982" s="15" t="n">
        <v>0</v>
      </c>
      <c r="Q982" s="15" t="n">
        <v>0</v>
      </c>
      <c r="R982" s="15" t="n">
        <v>0</v>
      </c>
      <c r="S982" s="15" t="n">
        <v>5</v>
      </c>
      <c r="T982" s="14">
        <f>IF(COUNT(I982:S982)=0,"",SUM(I982:S982))</f>
        <v/>
      </c>
      <c r="U982" t="inlineStr"/>
    </row>
    <row r="983">
      <c r="A983" t="inlineStr">
        <is>
          <t>부산 하나금융 공동직장어린이집</t>
        </is>
      </c>
      <c r="B983" t="inlineStr">
        <is>
          <t>어린이집</t>
        </is>
      </c>
      <c r="C983" t="inlineStr">
        <is>
          <t>직장</t>
        </is>
      </c>
      <c r="D983" t="inlineStr">
        <is>
          <t>연제구</t>
        </is>
      </c>
      <c r="E983" t="inlineStr">
        <is>
          <t>부산광역시 연제구 반송로 10 2층</t>
        </is>
      </c>
      <c r="F983" t="inlineStr"/>
      <c r="G983" t="inlineStr">
        <is>
          <t>051-852-9372</t>
        </is>
      </c>
      <c r="H983" s="15" t="n">
        <v>49</v>
      </c>
      <c r="I983" s="15" t="n">
        <v>0</v>
      </c>
      <c r="J983" s="15" t="n">
        <v>6</v>
      </c>
      <c r="K983" s="15" t="n">
        <v>12</v>
      </c>
      <c r="L983" s="15" t="n">
        <v>6</v>
      </c>
      <c r="M983" s="15" t="n">
        <v>0</v>
      </c>
      <c r="N983" s="15" t="n">
        <v>0</v>
      </c>
      <c r="O983" s="15" t="n">
        <v>0</v>
      </c>
      <c r="P983" s="15" t="n">
        <v>7</v>
      </c>
      <c r="Q983" s="15" t="n">
        <v>0</v>
      </c>
      <c r="R983" s="15" t="n">
        <v>0</v>
      </c>
      <c r="S983" s="15" t="n">
        <v>27</v>
      </c>
      <c r="T983" s="14">
        <f>IF(COUNT(I983:S983)=0,"",SUM(I983:S983))</f>
        <v/>
      </c>
      <c r="U983" t="inlineStr"/>
    </row>
    <row r="984">
      <c r="A984" t="inlineStr">
        <is>
          <t>부산검찰어린이집</t>
        </is>
      </c>
      <c r="B984" t="inlineStr">
        <is>
          <t>어린이집</t>
        </is>
      </c>
      <c r="C984" t="inlineStr">
        <is>
          <t>직장</t>
        </is>
      </c>
      <c r="D984" t="inlineStr">
        <is>
          <t>연제구</t>
        </is>
      </c>
      <c r="E984" t="inlineStr">
        <is>
          <t>부산광역시 연제구 법원로 15 (거제동)</t>
        </is>
      </c>
      <c r="F984" t="inlineStr"/>
      <c r="G984" t="inlineStr">
        <is>
          <t>051-506-8860</t>
        </is>
      </c>
      <c r="H984" s="15" t="n">
        <v>80</v>
      </c>
      <c r="I984" s="15" t="n">
        <v>0</v>
      </c>
      <c r="J984" s="15" t="n">
        <v>9</v>
      </c>
      <c r="K984" s="15" t="n">
        <v>14</v>
      </c>
      <c r="L984" s="15" t="n">
        <v>10</v>
      </c>
      <c r="M984" s="15" t="n">
        <v>7</v>
      </c>
      <c r="N984" s="15" t="n">
        <v>16</v>
      </c>
      <c r="O984" s="15" t="n">
        <v>0</v>
      </c>
      <c r="P984" s="15" t="n">
        <v>0</v>
      </c>
      <c r="Q984" s="15" t="n">
        <v>0</v>
      </c>
      <c r="R984" s="15" t="n">
        <v>0</v>
      </c>
      <c r="S984" s="15" t="n">
        <v>37</v>
      </c>
      <c r="T984" s="14">
        <f>IF(COUNT(I984:S984)=0,"",SUM(I984:S984))</f>
        <v/>
      </c>
      <c r="U984" t="inlineStr"/>
    </row>
    <row r="985">
      <c r="A985" t="inlineStr">
        <is>
          <t>부산광역시곰두리어린이집</t>
        </is>
      </c>
      <c r="B985" t="inlineStr">
        <is>
          <t>어린이집</t>
        </is>
      </c>
      <c r="C985" t="inlineStr">
        <is>
          <t>국공립</t>
        </is>
      </c>
      <c r="D985" t="inlineStr">
        <is>
          <t>연제구</t>
        </is>
      </c>
      <c r="E985" t="inlineStr">
        <is>
          <t>부산광역시 연제구 중앙대로1150번길 15 부산광역시장애인종합복지관 3층 (연산동)</t>
        </is>
      </c>
      <c r="F985" t="inlineStr"/>
      <c r="G985" t="inlineStr">
        <is>
          <t>051-790-6440</t>
        </is>
      </c>
      <c r="H985" s="15" t="n">
        <v>48</v>
      </c>
      <c r="I985" s="15" t="n">
        <v>0</v>
      </c>
      <c r="J985" s="15" t="n">
        <v>0</v>
      </c>
      <c r="K985" s="15" t="n">
        <v>0</v>
      </c>
      <c r="L985" s="15" t="n">
        <v>0</v>
      </c>
      <c r="M985" s="15" t="n">
        <v>0</v>
      </c>
      <c r="N985" s="15" t="n">
        <v>0</v>
      </c>
      <c r="O985" s="15" t="n">
        <v>0</v>
      </c>
      <c r="P985" s="15" t="n">
        <v>0</v>
      </c>
      <c r="Q985" s="15" t="n">
        <v>0</v>
      </c>
      <c r="R985" s="15" t="n">
        <v>33</v>
      </c>
      <c r="S985" s="15" t="n">
        <v>0</v>
      </c>
      <c r="T985" s="14">
        <f>IF(COUNT(I985:S985)=0,"",SUM(I985:S985))</f>
        <v/>
      </c>
      <c r="U985" t="inlineStr"/>
    </row>
    <row r="986">
      <c r="A986" t="inlineStr">
        <is>
          <t>부산법원어린이집</t>
        </is>
      </c>
      <c r="B986" t="inlineStr">
        <is>
          <t>어린이집</t>
        </is>
      </c>
      <c r="C986" t="inlineStr">
        <is>
          <t>직장</t>
        </is>
      </c>
      <c r="D986" t="inlineStr">
        <is>
          <t>연제구</t>
        </is>
      </c>
      <c r="E986" t="inlineStr">
        <is>
          <t>부산광역시 연제구 법원로 31 (거제동)</t>
        </is>
      </c>
      <c r="F986" s="11" t="inlineStr">
        <is>
          <t>http://www.ecocourtchild.or.kr</t>
        </is>
      </c>
      <c r="G986" t="inlineStr">
        <is>
          <t>051-501-3357</t>
        </is>
      </c>
      <c r="H986" s="15" t="n">
        <v>98</v>
      </c>
      <c r="I986" s="15" t="n">
        <v>0</v>
      </c>
      <c r="J986" s="15" t="n">
        <v>6</v>
      </c>
      <c r="K986" s="15" t="n">
        <v>11</v>
      </c>
      <c r="L986" s="15" t="n">
        <v>11</v>
      </c>
      <c r="M986" s="15" t="n">
        <v>16</v>
      </c>
      <c r="N986" s="15" t="n">
        <v>8</v>
      </c>
      <c r="O986" s="15" t="n">
        <v>7</v>
      </c>
      <c r="P986" s="15" t="n">
        <v>0</v>
      </c>
      <c r="Q986" s="15" t="n">
        <v>0</v>
      </c>
      <c r="R986" s="15" t="n">
        <v>0</v>
      </c>
      <c r="S986" s="15" t="n">
        <v>48</v>
      </c>
      <c r="T986" s="14">
        <f>IF(COUNT(I986:S986)=0,"",SUM(I986:S986))</f>
        <v/>
      </c>
      <c r="U986" t="inlineStr"/>
    </row>
    <row r="987">
      <c r="A987" t="inlineStr">
        <is>
          <t>부산의료원어린이집</t>
        </is>
      </c>
      <c r="B987" t="inlineStr">
        <is>
          <t>어린이집</t>
        </is>
      </c>
      <c r="C987" t="inlineStr">
        <is>
          <t>직장</t>
        </is>
      </c>
      <c r="D987" t="inlineStr">
        <is>
          <t>연제구</t>
        </is>
      </c>
      <c r="E987" t="inlineStr">
        <is>
          <t>부산광역시 연제구 월드컵대로 359 (거제동) 부산광역시의료원</t>
        </is>
      </c>
      <c r="F987" t="inlineStr"/>
      <c r="G987" t="inlineStr">
        <is>
          <t>051-607-2553</t>
        </is>
      </c>
      <c r="H987" s="15" t="n">
        <v>30</v>
      </c>
      <c r="I987" s="15" t="n">
        <v>6</v>
      </c>
      <c r="J987" s="15" t="n">
        <v>0</v>
      </c>
      <c r="K987" s="15" t="n">
        <v>0</v>
      </c>
      <c r="L987" s="15" t="n">
        <v>0</v>
      </c>
      <c r="M987" s="15" t="n">
        <v>0</v>
      </c>
      <c r="N987" s="15" t="n">
        <v>0</v>
      </c>
      <c r="O987" s="15" t="n">
        <v>10</v>
      </c>
      <c r="P987" s="15" t="n">
        <v>5</v>
      </c>
      <c r="Q987" s="15" t="n">
        <v>0</v>
      </c>
      <c r="R987" s="15" t="n">
        <v>0</v>
      </c>
      <c r="S987" s="15" t="n">
        <v>15</v>
      </c>
      <c r="T987" s="14">
        <f>IF(COUNT(I987:S987)=0,"",SUM(I987:S987))</f>
        <v/>
      </c>
      <c r="U987" t="inlineStr"/>
    </row>
    <row r="988">
      <c r="A988" t="inlineStr">
        <is>
          <t>부산지방국세청 우리누리어린이집</t>
        </is>
      </c>
      <c r="B988" t="inlineStr">
        <is>
          <t>어린이집</t>
        </is>
      </c>
      <c r="C988" t="inlineStr">
        <is>
          <t>직장</t>
        </is>
      </c>
      <c r="D988" t="inlineStr">
        <is>
          <t>연제구</t>
        </is>
      </c>
      <c r="E988" t="inlineStr">
        <is>
          <t>부산광역시 연제구 연제로 12 부산지방국세청 1층</t>
        </is>
      </c>
      <c r="F988" t="inlineStr"/>
      <c r="G988" t="inlineStr">
        <is>
          <t>051-759-8814</t>
        </is>
      </c>
      <c r="H988" s="15" t="n">
        <v>30</v>
      </c>
      <c r="I988" s="15" t="n">
        <v>6</v>
      </c>
      <c r="J988" s="15" t="n">
        <v>5</v>
      </c>
      <c r="K988" s="15" t="n">
        <v>6</v>
      </c>
      <c r="L988" s="15" t="n">
        <v>0</v>
      </c>
      <c r="M988" s="15" t="n">
        <v>0</v>
      </c>
      <c r="N988" s="15" t="n">
        <v>0</v>
      </c>
      <c r="O988" s="15" t="n">
        <v>0</v>
      </c>
      <c r="P988" s="15" t="n">
        <v>0</v>
      </c>
      <c r="Q988" s="15" t="n">
        <v>0</v>
      </c>
      <c r="R988" s="15" t="n">
        <v>0</v>
      </c>
      <c r="S988" s="15" t="n">
        <v>1</v>
      </c>
      <c r="T988" s="14">
        <f>IF(COUNT(I988:S988)=0,"",SUM(I988:S988))</f>
        <v/>
      </c>
      <c r="U988" t="inlineStr"/>
    </row>
    <row r="989">
      <c r="A989" t="inlineStr">
        <is>
          <t>센텀리버마리별어린이집</t>
        </is>
      </c>
      <c r="B989" t="inlineStr">
        <is>
          <t>어린이집</t>
        </is>
      </c>
      <c r="C989" t="inlineStr">
        <is>
          <t>민간</t>
        </is>
      </c>
      <c r="D989" t="inlineStr">
        <is>
          <t>연제구</t>
        </is>
      </c>
      <c r="E989" t="inlineStr">
        <is>
          <t>부산광역시 연제구 좌수영로 225 203동(연산동 센텀리버 SK VIEW 아파트)</t>
        </is>
      </c>
      <c r="F989" t="inlineStr"/>
      <c r="G989" t="inlineStr">
        <is>
          <t>051-755-3598</t>
        </is>
      </c>
      <c r="H989" s="15" t="n">
        <v>49</v>
      </c>
      <c r="I989" s="15" t="n">
        <v>11</v>
      </c>
      <c r="J989" s="15" t="n">
        <v>20</v>
      </c>
      <c r="K989" s="15" t="n">
        <v>14</v>
      </c>
      <c r="L989" s="15" t="n">
        <v>0</v>
      </c>
      <c r="M989" s="15" t="n">
        <v>0</v>
      </c>
      <c r="N989" s="15" t="n">
        <v>0</v>
      </c>
      <c r="O989" s="15" t="n">
        <v>0</v>
      </c>
      <c r="P989" s="15" t="n">
        <v>0</v>
      </c>
      <c r="Q989" s="15" t="n">
        <v>0</v>
      </c>
      <c r="R989" s="15" t="n">
        <v>0</v>
      </c>
      <c r="S989" s="15" t="n">
        <v>3</v>
      </c>
      <c r="T989" s="14">
        <f>IF(COUNT(I989:S989)=0,"",SUM(I989:S989))</f>
        <v/>
      </c>
      <c r="U989" t="inlineStr"/>
    </row>
    <row r="990">
      <c r="A990" t="inlineStr">
        <is>
          <t>센트럴어린이집</t>
        </is>
      </c>
      <c r="B990" t="inlineStr">
        <is>
          <t>어린이집</t>
        </is>
      </c>
      <c r="C990" t="inlineStr">
        <is>
          <t>민간</t>
        </is>
      </c>
      <c r="D990" t="inlineStr">
        <is>
          <t>연제구</t>
        </is>
      </c>
      <c r="E990" t="inlineStr">
        <is>
          <t>부산광역시 연제구 중앙천로 81-12 102동 1층 관리동</t>
        </is>
      </c>
      <c r="F990" t="inlineStr"/>
      <c r="G990" t="inlineStr">
        <is>
          <t>051-911-3967</t>
        </is>
      </c>
      <c r="H990" s="15" t="n">
        <v>35</v>
      </c>
      <c r="I990" s="15" t="n">
        <v>6</v>
      </c>
      <c r="J990" s="15" t="n">
        <v>20</v>
      </c>
      <c r="K990" s="15" t="n">
        <v>8</v>
      </c>
      <c r="L990" s="15" t="n">
        <v>0</v>
      </c>
      <c r="M990" s="15" t="n">
        <v>0</v>
      </c>
      <c r="N990" s="15" t="n">
        <v>0</v>
      </c>
      <c r="O990" s="15" t="n">
        <v>0</v>
      </c>
      <c r="P990" s="15" t="n">
        <v>0</v>
      </c>
      <c r="Q990" s="15" t="n">
        <v>0</v>
      </c>
      <c r="R990" s="15" t="n">
        <v>0</v>
      </c>
      <c r="S990" s="15" t="n">
        <v>3</v>
      </c>
      <c r="T990" s="14">
        <f>IF(COUNT(I990:S990)=0,"",SUM(I990:S990))</f>
        <v/>
      </c>
      <c r="U990" t="inlineStr"/>
    </row>
    <row r="991">
      <c r="A991" t="inlineStr">
        <is>
          <t>소담어린이집</t>
        </is>
      </c>
      <c r="B991" t="inlineStr">
        <is>
          <t>어린이집</t>
        </is>
      </c>
      <c r="C991" t="inlineStr">
        <is>
          <t>민간</t>
        </is>
      </c>
      <c r="D991" t="inlineStr">
        <is>
          <t>연제구</t>
        </is>
      </c>
      <c r="E991" t="inlineStr">
        <is>
          <t>부산광역시 연제구 배산북로 22 (연산동)</t>
        </is>
      </c>
      <c r="F991" t="inlineStr"/>
      <c r="G991" t="inlineStr">
        <is>
          <t>051-867-8403</t>
        </is>
      </c>
      <c r="H991" s="15" t="n">
        <v>161</v>
      </c>
      <c r="I991" s="15" t="n">
        <v>3</v>
      </c>
      <c r="J991" s="15" t="n">
        <v>0</v>
      </c>
      <c r="K991" s="15" t="n">
        <v>14</v>
      </c>
      <c r="L991" s="15" t="n">
        <v>7</v>
      </c>
      <c r="M991" s="15" t="n">
        <v>0</v>
      </c>
      <c r="N991" s="15" t="n">
        <v>0</v>
      </c>
      <c r="O991" s="15" t="n">
        <v>3</v>
      </c>
      <c r="P991" s="15" t="n">
        <v>12</v>
      </c>
      <c r="Q991" s="15" t="n">
        <v>0</v>
      </c>
      <c r="R991" s="15" t="n">
        <v>0</v>
      </c>
      <c r="S991" s="15" t="n">
        <v>10</v>
      </c>
      <c r="T991" s="14">
        <f>IF(COUNT(I991:S991)=0,"",SUM(I991:S991))</f>
        <v/>
      </c>
      <c r="U991" t="inlineStr"/>
    </row>
    <row r="992">
      <c r="A992" t="inlineStr">
        <is>
          <t>쌍용해랑어린이집</t>
        </is>
      </c>
      <c r="B992" t="inlineStr">
        <is>
          <t>어린이집</t>
        </is>
      </c>
      <c r="C992" t="inlineStr">
        <is>
          <t>민간</t>
        </is>
      </c>
      <c r="D992" t="inlineStr">
        <is>
          <t>연제구</t>
        </is>
      </c>
      <c r="E992" t="inlineStr">
        <is>
          <t>부산광역시 연제구 법원북로 13 관리동(거제동, 쌍용스윗닷홈아파트)</t>
        </is>
      </c>
      <c r="F992" t="inlineStr"/>
      <c r="G992" t="inlineStr">
        <is>
          <t>051-507-1162</t>
        </is>
      </c>
      <c r="H992" s="15" t="n">
        <v>25</v>
      </c>
      <c r="I992" s="15" t="n">
        <v>5</v>
      </c>
      <c r="J992" s="15" t="n">
        <v>8</v>
      </c>
      <c r="K992" s="15" t="n">
        <v>7</v>
      </c>
      <c r="L992" s="15" t="n">
        <v>0</v>
      </c>
      <c r="M992" s="15" t="n">
        <v>0</v>
      </c>
      <c r="N992" s="15" t="n">
        <v>0</v>
      </c>
      <c r="O992" s="15" t="n">
        <v>0</v>
      </c>
      <c r="P992" s="15" t="n">
        <v>0</v>
      </c>
      <c r="Q992" s="15" t="n">
        <v>0</v>
      </c>
      <c r="R992" s="15" t="n">
        <v>0</v>
      </c>
      <c r="S992" s="15" t="n">
        <v>6</v>
      </c>
      <c r="T992" s="14">
        <f>IF(COUNT(I992:S992)=0,"",SUM(I992:S992))</f>
        <v/>
      </c>
      <c r="U992" t="inlineStr"/>
    </row>
    <row r="993">
      <c r="A993" t="inlineStr">
        <is>
          <t>연산꿈꾸는어린이집</t>
        </is>
      </c>
      <c r="B993" t="inlineStr">
        <is>
          <t>어린이집</t>
        </is>
      </c>
      <c r="C993" t="inlineStr">
        <is>
          <t>가정</t>
        </is>
      </c>
      <c r="D993" t="inlineStr">
        <is>
          <t>연제구</t>
        </is>
      </c>
      <c r="E993" t="inlineStr">
        <is>
          <t>부산광역시 연제구 진남로 607</t>
        </is>
      </c>
      <c r="F993" t="inlineStr"/>
      <c r="G993" t="inlineStr">
        <is>
          <t>051-868-3592</t>
        </is>
      </c>
      <c r="H993" s="15" t="n">
        <v>18</v>
      </c>
      <c r="I993" s="15" t="n">
        <v>8</v>
      </c>
      <c r="J993" s="15" t="n">
        <v>5</v>
      </c>
      <c r="K993" s="15" t="n">
        <v>0</v>
      </c>
      <c r="L993" s="15" t="n">
        <v>0</v>
      </c>
      <c r="M993" s="15" t="n">
        <v>0</v>
      </c>
      <c r="N993" s="15" t="n">
        <v>0</v>
      </c>
      <c r="O993" s="15" t="n">
        <v>4</v>
      </c>
      <c r="P993" s="15" t="n">
        <v>0</v>
      </c>
      <c r="Q993" s="15" t="n">
        <v>0</v>
      </c>
      <c r="R993" s="15" t="n">
        <v>0</v>
      </c>
      <c r="S993" s="15" t="n">
        <v>2</v>
      </c>
      <c r="T993" s="14">
        <f>IF(COUNT(I993:S993)=0,"",SUM(I993:S993))</f>
        <v/>
      </c>
      <c r="U993" t="inlineStr"/>
    </row>
    <row r="994">
      <c r="A994" t="inlineStr">
        <is>
          <t>연산꿈나래어린이집</t>
        </is>
      </c>
      <c r="B994" t="inlineStr">
        <is>
          <t>어린이집</t>
        </is>
      </c>
      <c r="C994" t="inlineStr">
        <is>
          <t>민간</t>
        </is>
      </c>
      <c r="D994" t="inlineStr">
        <is>
          <t>연제구</t>
        </is>
      </c>
      <c r="E994" t="inlineStr">
        <is>
          <t>부산광역시 연제구 고분로55번길 11 (연산동)</t>
        </is>
      </c>
      <c r="F994" t="inlineStr"/>
      <c r="G994" t="inlineStr">
        <is>
          <t>051-851-1158</t>
        </is>
      </c>
      <c r="H994" s="15" t="n">
        <v>39</v>
      </c>
      <c r="I994" s="15" t="n">
        <v>1</v>
      </c>
      <c r="J994" s="15" t="n">
        <v>0</v>
      </c>
      <c r="K994" s="15" t="n">
        <v>0</v>
      </c>
      <c r="L994" s="15" t="n">
        <v>0</v>
      </c>
      <c r="M994" s="15" t="n">
        <v>0</v>
      </c>
      <c r="N994" s="15" t="n">
        <v>0</v>
      </c>
      <c r="O994" s="15" t="n">
        <v>3</v>
      </c>
      <c r="P994" s="15" t="n">
        <v>5</v>
      </c>
      <c r="Q994" s="15" t="n">
        <v>0</v>
      </c>
      <c r="R994" s="15" t="n">
        <v>0</v>
      </c>
      <c r="S994" s="15" t="n">
        <v>5</v>
      </c>
      <c r="T994" s="14">
        <f>IF(COUNT(I994:S994)=0,"",SUM(I994:S994))</f>
        <v/>
      </c>
      <c r="U994" t="inlineStr"/>
    </row>
    <row r="995">
      <c r="A995" t="inlineStr">
        <is>
          <t>연산자이어린이집</t>
        </is>
      </c>
      <c r="B995" t="inlineStr">
        <is>
          <t>어린이집</t>
        </is>
      </c>
      <c r="C995" t="inlineStr">
        <is>
          <t>민간</t>
        </is>
      </c>
      <c r="D995" t="inlineStr">
        <is>
          <t>연제구</t>
        </is>
      </c>
      <c r="E995" t="inlineStr">
        <is>
          <t>부산광역시 연제구 과정로343번길 43 119동 1층(연산동, 연산자이)</t>
        </is>
      </c>
      <c r="F995" t="inlineStr"/>
      <c r="G995" t="inlineStr">
        <is>
          <t>051-853-3396</t>
        </is>
      </c>
      <c r="H995" s="15" t="n">
        <v>46</v>
      </c>
      <c r="I995" s="15" t="n">
        <v>9</v>
      </c>
      <c r="J995" s="15" t="n">
        <v>15</v>
      </c>
      <c r="K995" s="15" t="n">
        <v>20</v>
      </c>
      <c r="L995" s="15" t="n">
        <v>0</v>
      </c>
      <c r="M995" s="15" t="n">
        <v>0</v>
      </c>
      <c r="N995" s="15" t="n">
        <v>0</v>
      </c>
      <c r="O995" s="15" t="n">
        <v>0</v>
      </c>
      <c r="P995" s="15" t="n">
        <v>0</v>
      </c>
      <c r="Q995" s="15" t="n">
        <v>0</v>
      </c>
      <c r="R995" s="15" t="n">
        <v>0</v>
      </c>
      <c r="S995" s="15" t="n">
        <v>4</v>
      </c>
      <c r="T995" s="14">
        <f>IF(COUNT(I995:S995)=0,"",SUM(I995:S995))</f>
        <v/>
      </c>
      <c r="U995" t="inlineStr"/>
    </row>
    <row r="996">
      <c r="A996" t="inlineStr">
        <is>
          <t>연산하늘채어린이집</t>
        </is>
      </c>
      <c r="B996" t="inlineStr">
        <is>
          <t>어린이집</t>
        </is>
      </c>
      <c r="C996" t="inlineStr">
        <is>
          <t>민간</t>
        </is>
      </c>
      <c r="D996" t="inlineStr">
        <is>
          <t>연제구</t>
        </is>
      </c>
      <c r="E996" t="inlineStr">
        <is>
          <t>부산광역시 연제구 세병로 7 연산하늘채엘센트로아파트 101동 1층</t>
        </is>
      </c>
      <c r="F996" t="inlineStr"/>
      <c r="G996" t="inlineStr">
        <is>
          <t>051-861-4184</t>
        </is>
      </c>
      <c r="H996" s="15" t="n">
        <v>41</v>
      </c>
      <c r="I996" s="15" t="n">
        <v>12</v>
      </c>
      <c r="J996" s="15" t="n">
        <v>10</v>
      </c>
      <c r="K996" s="15" t="n">
        <v>12</v>
      </c>
      <c r="L996" s="15" t="n">
        <v>0</v>
      </c>
      <c r="M996" s="15" t="n">
        <v>0</v>
      </c>
      <c r="N996" s="15" t="n">
        <v>0</v>
      </c>
      <c r="O996" s="15" t="n">
        <v>0</v>
      </c>
      <c r="P996" s="15" t="n">
        <v>0</v>
      </c>
      <c r="Q996" s="15" t="n">
        <v>0</v>
      </c>
      <c r="R996" s="15" t="n">
        <v>0</v>
      </c>
      <c r="S996" s="15" t="n">
        <v>7</v>
      </c>
      <c r="T996" s="14">
        <f>IF(COUNT(I996:S996)=0,"",SUM(I996:S996))</f>
        <v/>
      </c>
      <c r="U996" t="inlineStr"/>
    </row>
    <row r="997">
      <c r="A997" t="inlineStr">
        <is>
          <t>연서어린이집</t>
        </is>
      </c>
      <c r="B997" t="inlineStr">
        <is>
          <t>어린이집</t>
        </is>
      </c>
      <c r="C997" t="inlineStr">
        <is>
          <t>민간</t>
        </is>
      </c>
      <c r="D997" t="inlineStr">
        <is>
          <t>연제구</t>
        </is>
      </c>
      <c r="E997" t="inlineStr">
        <is>
          <t>부산광역시 연제구 세병로 10-4</t>
        </is>
      </c>
      <c r="F997" t="inlineStr"/>
      <c r="G997" t="inlineStr">
        <is>
          <t>051-861-4184</t>
        </is>
      </c>
      <c r="H997" s="15" t="n">
        <v>39</v>
      </c>
      <c r="I997" s="15" t="n">
        <v>0</v>
      </c>
      <c r="J997" s="15" t="n">
        <v>0</v>
      </c>
      <c r="K997" s="15" t="n">
        <v>0</v>
      </c>
      <c r="L997" s="15" t="n">
        <v>0</v>
      </c>
      <c r="M997" s="15" t="n">
        <v>0</v>
      </c>
      <c r="N997" s="15" t="n">
        <v>0</v>
      </c>
      <c r="O997" s="15" t="n">
        <v>0</v>
      </c>
      <c r="P997" s="15" t="n">
        <v>0</v>
      </c>
      <c r="Q997" s="15" t="n">
        <v>0</v>
      </c>
      <c r="R997" s="15" t="n">
        <v>0</v>
      </c>
      <c r="S997" s="15" t="n">
        <v>0</v>
      </c>
      <c r="T997" s="14">
        <f>IF(COUNT(I997:S997)=0,"",SUM(I997:S997))</f>
        <v/>
      </c>
      <c r="U997" t="inlineStr"/>
    </row>
    <row r="998">
      <c r="A998" t="inlineStr">
        <is>
          <t>연제구거제센트럴자이어린이집</t>
        </is>
      </c>
      <c r="B998" t="inlineStr">
        <is>
          <t>어린이집</t>
        </is>
      </c>
      <c r="C998" t="inlineStr">
        <is>
          <t>국공립</t>
        </is>
      </c>
      <c r="D998" t="inlineStr">
        <is>
          <t>연제구</t>
        </is>
      </c>
      <c r="E998" t="inlineStr">
        <is>
          <t>부산광역시 연제구 법원북로 93 거제센트럴자이아파트</t>
        </is>
      </c>
      <c r="F998" s="11" t="inlineStr">
        <is>
          <t>https://cafe.daum.net/GeojeCentralCH</t>
        </is>
      </c>
      <c r="G998" t="inlineStr">
        <is>
          <t>051-501-1155</t>
        </is>
      </c>
      <c r="H998" s="15" t="n">
        <v>62</v>
      </c>
      <c r="I998" s="15" t="n">
        <v>6</v>
      </c>
      <c r="J998" s="15" t="n">
        <v>20</v>
      </c>
      <c r="K998" s="15" t="n">
        <v>20</v>
      </c>
      <c r="L998" s="15" t="n">
        <v>0</v>
      </c>
      <c r="M998" s="15" t="n">
        <v>0</v>
      </c>
      <c r="N998" s="15" t="n">
        <v>0</v>
      </c>
      <c r="O998" s="15" t="n">
        <v>0</v>
      </c>
      <c r="P998" s="15" t="n">
        <v>0</v>
      </c>
      <c r="Q998" s="15" t="n">
        <v>0</v>
      </c>
      <c r="R998" s="15" t="n">
        <v>0</v>
      </c>
      <c r="S998" s="15" t="n">
        <v>13</v>
      </c>
      <c r="T998" s="14">
        <f>IF(COUNT(I998:S998)=0,"",SUM(I998:S998))</f>
        <v/>
      </c>
      <c r="U998" t="inlineStr"/>
    </row>
    <row r="999">
      <c r="A999" t="inlineStr">
        <is>
          <t>연제구둥지어린이집</t>
        </is>
      </c>
      <c r="B999" t="inlineStr">
        <is>
          <t>어린이집</t>
        </is>
      </c>
      <c r="C999" t="inlineStr">
        <is>
          <t>국공립</t>
        </is>
      </c>
      <c r="D999" t="inlineStr">
        <is>
          <t>연제구</t>
        </is>
      </c>
      <c r="E999" t="inlineStr">
        <is>
          <t>부산광역시 연제구 거제대로124번길 22 (거제동)</t>
        </is>
      </c>
      <c r="F999" s="11" t="inlineStr">
        <is>
          <t>https://youtu.be/dnivk-4E0gs?si=tAY4lt2DBL24amsj</t>
        </is>
      </c>
      <c r="G999" t="inlineStr">
        <is>
          <t>051-503-6395</t>
        </is>
      </c>
      <c r="H999" s="15" t="n">
        <v>66</v>
      </c>
      <c r="I999" s="15" t="n">
        <v>0</v>
      </c>
      <c r="J999" s="15" t="n">
        <v>9</v>
      </c>
      <c r="K999" s="15" t="n">
        <v>14</v>
      </c>
      <c r="L999" s="15" t="n">
        <v>9</v>
      </c>
      <c r="M999" s="15" t="n">
        <v>0</v>
      </c>
      <c r="N999" s="15" t="n">
        <v>0</v>
      </c>
      <c r="O999" s="15" t="n">
        <v>0</v>
      </c>
      <c r="P999" s="15" t="n">
        <v>16</v>
      </c>
      <c r="Q999" s="15" t="n">
        <v>0</v>
      </c>
      <c r="R999" s="15" t="n">
        <v>0</v>
      </c>
      <c r="S999" s="15" t="n">
        <v>5</v>
      </c>
      <c r="T999" s="14">
        <f>IF(COUNT(I999:S999)=0,"",SUM(I999:S999))</f>
        <v/>
      </c>
      <c r="U999" t="inlineStr"/>
    </row>
    <row r="1000">
      <c r="A1000" t="inlineStr">
        <is>
          <t>연제구레이카운티1단지어린이집</t>
        </is>
      </c>
      <c r="B1000" t="inlineStr">
        <is>
          <t>어린이집</t>
        </is>
      </c>
      <c r="C1000" t="inlineStr">
        <is>
          <t>국공립</t>
        </is>
      </c>
      <c r="D1000" t="inlineStr">
        <is>
          <t>연제구</t>
        </is>
      </c>
      <c r="E1000" t="inlineStr">
        <is>
          <t>부산광역시 연제구 아시아드대로 39</t>
        </is>
      </c>
      <c r="F1000" t="inlineStr"/>
      <c r="G1000" t="inlineStr">
        <is>
          <t>051-921-1004</t>
        </is>
      </c>
      <c r="H1000" s="15" t="n">
        <v>96</v>
      </c>
      <c r="I1000" s="15" t="n">
        <v>5</v>
      </c>
      <c r="J1000" s="15" t="n">
        <v>20</v>
      </c>
      <c r="K1000" s="15" t="n">
        <v>26</v>
      </c>
      <c r="L1000" s="15" t="n">
        <v>17</v>
      </c>
      <c r="M1000" s="15" t="n">
        <v>12</v>
      </c>
      <c r="N1000" s="15" t="n">
        <v>16</v>
      </c>
      <c r="O1000" s="15" t="n">
        <v>0</v>
      </c>
      <c r="P1000" s="15" t="n">
        <v>0</v>
      </c>
      <c r="Q1000" s="15" t="n">
        <v>0</v>
      </c>
      <c r="R1000" s="15" t="n">
        <v>0</v>
      </c>
      <c r="S1000" s="15" t="n">
        <v>25</v>
      </c>
      <c r="T1000" s="14">
        <f>IF(COUNT(I1000:S1000)=0,"",SUM(I1000:S1000))</f>
        <v/>
      </c>
      <c r="U1000" t="inlineStr"/>
    </row>
    <row r="1001">
      <c r="A1001" t="inlineStr">
        <is>
          <t>연제구레이카운티2단지어린이집</t>
        </is>
      </c>
      <c r="B1001" t="inlineStr">
        <is>
          <t>어린이집</t>
        </is>
      </c>
      <c r="C1001" t="inlineStr">
        <is>
          <t>국공립</t>
        </is>
      </c>
      <c r="D1001" t="inlineStr">
        <is>
          <t>연제구</t>
        </is>
      </c>
      <c r="E1001" t="inlineStr">
        <is>
          <t>부산광역시 연제구 아시아드대로 39 레이카운티2단지아파트</t>
        </is>
      </c>
      <c r="F1001" t="inlineStr"/>
      <c r="G1001" t="inlineStr">
        <is>
          <t>051-987-7773</t>
        </is>
      </c>
      <c r="H1001" s="15" t="n">
        <v>93</v>
      </c>
      <c r="I1001" s="15" t="n">
        <v>0</v>
      </c>
      <c r="J1001" s="15" t="n">
        <v>20</v>
      </c>
      <c r="K1001" s="15" t="n">
        <v>28</v>
      </c>
      <c r="L1001" s="15" t="n">
        <v>13</v>
      </c>
      <c r="M1001" s="15" t="n">
        <v>11</v>
      </c>
      <c r="N1001" s="15" t="n">
        <v>13</v>
      </c>
      <c r="O1001" s="15" t="n">
        <v>0</v>
      </c>
      <c r="P1001" s="15" t="n">
        <v>0</v>
      </c>
      <c r="Q1001" s="15" t="n">
        <v>0</v>
      </c>
      <c r="R1001" s="15" t="n">
        <v>0</v>
      </c>
      <c r="S1001" s="15" t="n">
        <v>54</v>
      </c>
      <c r="T1001" s="14">
        <f>IF(COUNT(I1001:S1001)=0,"",SUM(I1001:S1001))</f>
        <v/>
      </c>
      <c r="U1001" t="inlineStr"/>
    </row>
    <row r="1002">
      <c r="A1002" t="inlineStr">
        <is>
          <t>연제구레이카운티3단지어린이집</t>
        </is>
      </c>
      <c r="B1002" t="inlineStr">
        <is>
          <t>어린이집</t>
        </is>
      </c>
      <c r="C1002" t="inlineStr">
        <is>
          <t>국공립</t>
        </is>
      </c>
      <c r="D1002" t="inlineStr">
        <is>
          <t>연제구</t>
        </is>
      </c>
      <c r="E1002" t="inlineStr">
        <is>
          <t>부산광역시 연제구 아시아드대로 39 레이카운티3단지아파트</t>
        </is>
      </c>
      <c r="F1002" t="inlineStr"/>
      <c r="G1002" t="inlineStr">
        <is>
          <t>051-916-1401</t>
        </is>
      </c>
      <c r="H1002" s="15" t="n">
        <v>93</v>
      </c>
      <c r="I1002" s="15" t="n">
        <v>5</v>
      </c>
      <c r="J1002" s="15" t="n">
        <v>20</v>
      </c>
      <c r="K1002" s="15" t="n">
        <v>21</v>
      </c>
      <c r="L1002" s="15" t="n">
        <v>17</v>
      </c>
      <c r="M1002" s="15" t="n">
        <v>14</v>
      </c>
      <c r="N1002" s="15" t="n">
        <v>0</v>
      </c>
      <c r="O1002" s="15" t="n">
        <v>0</v>
      </c>
      <c r="P1002" s="15" t="n">
        <v>9</v>
      </c>
      <c r="Q1002" s="15" t="n">
        <v>0</v>
      </c>
      <c r="R1002" s="15" t="n">
        <v>3</v>
      </c>
      <c r="S1002" s="15" t="n">
        <v>20</v>
      </c>
      <c r="T1002" s="14">
        <f>IF(COUNT(I1002:S1002)=0,"",SUM(I1002:S1002))</f>
        <v/>
      </c>
      <c r="U1002" t="inlineStr"/>
    </row>
    <row r="1003">
      <c r="A1003" t="inlineStr">
        <is>
          <t>연제구롯데캐슬골드포레어린이집</t>
        </is>
      </c>
      <c r="B1003" t="inlineStr">
        <is>
          <t>어린이집</t>
        </is>
      </c>
      <c r="C1003" t="inlineStr">
        <is>
          <t>국공립</t>
        </is>
      </c>
      <c r="D1003" t="inlineStr">
        <is>
          <t>연제구</t>
        </is>
      </c>
      <c r="E1003" t="inlineStr">
        <is>
          <t>부산광역시 연제구 황령산로 615 롯데캐슬골드포레아파트</t>
        </is>
      </c>
      <c r="F1003" s="11" t="inlineStr">
        <is>
          <t>http://cafe.daum.net/goldfore</t>
        </is>
      </c>
      <c r="G1003" t="inlineStr">
        <is>
          <t>051-851-5375</t>
        </is>
      </c>
      <c r="H1003" s="15" t="n">
        <v>80</v>
      </c>
      <c r="I1003" s="15" t="n">
        <v>0</v>
      </c>
      <c r="J1003" s="15" t="n">
        <v>15</v>
      </c>
      <c r="K1003" s="15" t="n">
        <v>18</v>
      </c>
      <c r="L1003" s="15" t="n">
        <v>14</v>
      </c>
      <c r="M1003" s="15" t="n">
        <v>14</v>
      </c>
      <c r="N1003" s="15" t="n">
        <v>15</v>
      </c>
      <c r="O1003" s="15" t="n">
        <v>0</v>
      </c>
      <c r="P1003" s="15" t="n">
        <v>0</v>
      </c>
      <c r="Q1003" s="15" t="n">
        <v>0</v>
      </c>
      <c r="R1003" s="15" t="n">
        <v>3</v>
      </c>
      <c r="S1003" s="15" t="n">
        <v>10</v>
      </c>
      <c r="T1003" s="14">
        <f>IF(COUNT(I1003:S1003)=0,"",SUM(I1003:S1003))</f>
        <v/>
      </c>
      <c r="U1003" t="inlineStr"/>
    </row>
    <row r="1004">
      <c r="A1004" t="inlineStr">
        <is>
          <t>연제구롯데캐슬앤데시앙어린이집</t>
        </is>
      </c>
      <c r="B1004" t="inlineStr">
        <is>
          <t>어린이집</t>
        </is>
      </c>
      <c r="C1004" t="inlineStr">
        <is>
          <t>국공립</t>
        </is>
      </c>
      <c r="D1004" t="inlineStr">
        <is>
          <t>연제구</t>
        </is>
      </c>
      <c r="E1004" t="inlineStr">
        <is>
          <t>부산광역시 연제구 월드컵대로 55 연산동, 연제롯데캐슬앤데시앙</t>
        </is>
      </c>
      <c r="F1004" t="inlineStr"/>
      <c r="G1004" t="inlineStr">
        <is>
          <t>051-853-1880</t>
        </is>
      </c>
      <c r="H1004" s="15" t="n">
        <v>70</v>
      </c>
      <c r="I1004" s="15" t="n">
        <v>5</v>
      </c>
      <c r="J1004" s="15" t="n">
        <v>28</v>
      </c>
      <c r="K1004" s="15" t="n">
        <v>24</v>
      </c>
      <c r="L1004" s="15" t="n">
        <v>0</v>
      </c>
      <c r="M1004" s="15" t="n">
        <v>0</v>
      </c>
      <c r="N1004" s="15" t="n">
        <v>0</v>
      </c>
      <c r="O1004" s="15" t="n">
        <v>0</v>
      </c>
      <c r="P1004" s="15" t="n">
        <v>0</v>
      </c>
      <c r="Q1004" s="15" t="n">
        <v>0</v>
      </c>
      <c r="R1004" s="15" t="n">
        <v>0</v>
      </c>
      <c r="S1004" s="15" t="n">
        <v>8</v>
      </c>
      <c r="T1004" s="14">
        <f>IF(COUNT(I1004:S1004)=0,"",SUM(I1004:S1004))</f>
        <v/>
      </c>
      <c r="U1004" t="inlineStr"/>
    </row>
    <row r="1005">
      <c r="A1005" t="inlineStr">
        <is>
          <t>연제구브라운스톤연제어린이집</t>
        </is>
      </c>
      <c r="B1005" t="inlineStr">
        <is>
          <t>어린이집</t>
        </is>
      </c>
      <c r="C1005" t="inlineStr">
        <is>
          <t>국공립</t>
        </is>
      </c>
      <c r="D1005" t="inlineStr">
        <is>
          <t>연제구</t>
        </is>
      </c>
      <c r="E1005" t="inlineStr">
        <is>
          <t>부산광역시 연제구 연제로8번길 29</t>
        </is>
      </c>
      <c r="F1005" s="11" t="inlineStr">
        <is>
          <t>http://brownstoneyj@daum.net</t>
        </is>
      </c>
      <c r="G1005" t="inlineStr">
        <is>
          <t>051-851-0301</t>
        </is>
      </c>
      <c r="H1005" s="15" t="n">
        <v>45</v>
      </c>
      <c r="I1005" s="15" t="n">
        <v>4</v>
      </c>
      <c r="J1005" s="15" t="n">
        <v>13</v>
      </c>
      <c r="K1005" s="15" t="n">
        <v>19</v>
      </c>
      <c r="L1005" s="15" t="n">
        <v>0</v>
      </c>
      <c r="M1005" s="15" t="n">
        <v>0</v>
      </c>
      <c r="N1005" s="15" t="n">
        <v>0</v>
      </c>
      <c r="O1005" s="15" t="n">
        <v>0</v>
      </c>
      <c r="P1005" s="15" t="n">
        <v>0</v>
      </c>
      <c r="Q1005" s="15" t="n">
        <v>0</v>
      </c>
      <c r="R1005" s="15" t="n">
        <v>0</v>
      </c>
      <c r="S1005" s="15" t="n">
        <v>9</v>
      </c>
      <c r="T1005" s="14">
        <f>IF(COUNT(I1005:S1005)=0,"",SUM(I1005:S1005))</f>
        <v/>
      </c>
      <c r="U1005" t="inlineStr"/>
    </row>
    <row r="1006">
      <c r="A1006" t="inlineStr">
        <is>
          <t>연제구비스타동원어린이집</t>
        </is>
      </c>
      <c r="B1006" t="inlineStr">
        <is>
          <t>어린이집</t>
        </is>
      </c>
      <c r="C1006" t="inlineStr">
        <is>
          <t>국공립</t>
        </is>
      </c>
      <c r="D1006" t="inlineStr">
        <is>
          <t>연제구</t>
        </is>
      </c>
      <c r="E1006" t="inlineStr">
        <is>
          <t>부산광역시 연제구 연제로 30 시청역 비스타동원</t>
        </is>
      </c>
      <c r="F1006" t="inlineStr"/>
      <c r="G1006" t="inlineStr">
        <is>
          <t>051-851-5200</t>
        </is>
      </c>
      <c r="H1006" s="15" t="n">
        <v>60</v>
      </c>
      <c r="I1006" s="15" t="n">
        <v>6</v>
      </c>
      <c r="J1006" s="15" t="n">
        <v>20</v>
      </c>
      <c r="K1006" s="15" t="n">
        <v>21</v>
      </c>
      <c r="L1006" s="15" t="n">
        <v>0</v>
      </c>
      <c r="M1006" s="15" t="n">
        <v>0</v>
      </c>
      <c r="N1006" s="15" t="n">
        <v>0</v>
      </c>
      <c r="O1006" s="15" t="n">
        <v>0</v>
      </c>
      <c r="P1006" s="15" t="n">
        <v>0</v>
      </c>
      <c r="Q1006" s="15" t="n">
        <v>0</v>
      </c>
      <c r="R1006" s="15" t="n">
        <v>0</v>
      </c>
      <c r="S1006" s="15" t="n">
        <v>6</v>
      </c>
      <c r="T1006" s="14">
        <f>IF(COUNT(I1006:S1006)=0,"",SUM(I1006:S1006))</f>
        <v/>
      </c>
      <c r="U1006" t="inlineStr"/>
    </row>
    <row r="1007">
      <c r="A1007" t="inlineStr">
        <is>
          <t>연제구쌍용거제아시아드어린이집</t>
        </is>
      </c>
      <c r="B1007" t="inlineStr">
        <is>
          <t>어린이집</t>
        </is>
      </c>
      <c r="C1007" t="inlineStr">
        <is>
          <t>국공립</t>
        </is>
      </c>
      <c r="D1007" t="inlineStr">
        <is>
          <t>연제구</t>
        </is>
      </c>
      <c r="E1007" t="inlineStr">
        <is>
          <t>부산광역시 연제구 아시아드대로 7 쌍용더플래티넘거제아시아드아파트</t>
        </is>
      </c>
      <c r="F1007" t="inlineStr"/>
      <c r="G1007" t="inlineStr">
        <is>
          <t>051-501-5505</t>
        </is>
      </c>
      <c r="H1007" s="15" t="n">
        <v>41</v>
      </c>
      <c r="I1007" s="15" t="n">
        <v>6</v>
      </c>
      <c r="J1007" s="15" t="n">
        <v>9</v>
      </c>
      <c r="K1007" s="15" t="n">
        <v>14</v>
      </c>
      <c r="L1007" s="15" t="n">
        <v>10</v>
      </c>
      <c r="M1007" s="15" t="n">
        <v>0</v>
      </c>
      <c r="N1007" s="15" t="n">
        <v>0</v>
      </c>
      <c r="O1007" s="15" t="n">
        <v>0</v>
      </c>
      <c r="P1007" s="15" t="n">
        <v>0</v>
      </c>
      <c r="Q1007" s="15" t="n">
        <v>0</v>
      </c>
      <c r="R1007" s="15" t="n">
        <v>0</v>
      </c>
      <c r="S1007" s="15" t="n">
        <v>18</v>
      </c>
      <c r="T1007" s="14">
        <f>IF(COUNT(I1007:S1007)=0,"",SUM(I1007:S1007))</f>
        <v/>
      </c>
      <c r="U1007" t="inlineStr"/>
    </row>
    <row r="1008">
      <c r="A1008" t="inlineStr">
        <is>
          <t>연제구연산더샵어린이집</t>
        </is>
      </c>
      <c r="B1008" t="inlineStr">
        <is>
          <t>어린이집</t>
        </is>
      </c>
      <c r="C1008" t="inlineStr">
        <is>
          <t>국공립</t>
        </is>
      </c>
      <c r="D1008" t="inlineStr">
        <is>
          <t>연제구</t>
        </is>
      </c>
      <c r="E1008" t="inlineStr">
        <is>
          <t>부산광역시 연제구 연수로 130 (연산동, 연산더샵)</t>
        </is>
      </c>
      <c r="F1008" t="inlineStr"/>
      <c r="G1008" t="inlineStr">
        <is>
          <t>051-932-0011</t>
        </is>
      </c>
      <c r="H1008" s="15" t="n">
        <v>70</v>
      </c>
      <c r="I1008" s="15" t="n">
        <v>0</v>
      </c>
      <c r="J1008" s="15" t="n">
        <v>15</v>
      </c>
      <c r="K1008" s="15" t="n">
        <v>21</v>
      </c>
      <c r="L1008" s="15" t="n">
        <v>22</v>
      </c>
      <c r="M1008" s="15" t="n">
        <v>10</v>
      </c>
      <c r="N1008" s="15" t="n">
        <v>0</v>
      </c>
      <c r="O1008" s="15" t="n">
        <v>0</v>
      </c>
      <c r="P1008" s="15" t="n">
        <v>0</v>
      </c>
      <c r="Q1008" s="15" t="n">
        <v>0</v>
      </c>
      <c r="R1008" s="15" t="n">
        <v>0</v>
      </c>
      <c r="S1008" s="15" t="n">
        <v>20</v>
      </c>
      <c r="T1008" s="14">
        <f>IF(COUNT(I1008:S1008)=0,"",SUM(I1008:S1008))</f>
        <v/>
      </c>
      <c r="U1008" t="inlineStr"/>
    </row>
    <row r="1009">
      <c r="A1009" t="inlineStr">
        <is>
          <t>연제구연산복지관어린이집</t>
        </is>
      </c>
      <c r="B1009" t="inlineStr">
        <is>
          <t>어린이집</t>
        </is>
      </c>
      <c r="C1009" t="inlineStr">
        <is>
          <t>국공립</t>
        </is>
      </c>
      <c r="D1009" t="inlineStr">
        <is>
          <t>연제구</t>
        </is>
      </c>
      <c r="E1009" t="inlineStr">
        <is>
          <t>부산광역시 연제구 봉수로 17</t>
        </is>
      </c>
      <c r="F1009" s="11" t="inlineStr">
        <is>
          <t>https://cafe.naver.com/wv12</t>
        </is>
      </c>
      <c r="G1009" t="inlineStr">
        <is>
          <t>051-864-8363</t>
        </is>
      </c>
      <c r="H1009" s="15" t="n">
        <v>55</v>
      </c>
      <c r="I1009" s="15" t="n">
        <v>0</v>
      </c>
      <c r="J1009" s="15" t="n">
        <v>10</v>
      </c>
      <c r="K1009" s="15" t="n">
        <v>13</v>
      </c>
      <c r="L1009" s="15" t="n">
        <v>0</v>
      </c>
      <c r="M1009" s="15" t="n">
        <v>0</v>
      </c>
      <c r="N1009" s="15" t="n">
        <v>0</v>
      </c>
      <c r="O1009" s="15" t="n">
        <v>0</v>
      </c>
      <c r="P1009" s="15" t="n">
        <v>14</v>
      </c>
      <c r="Q1009" s="15" t="n">
        <v>0</v>
      </c>
      <c r="R1009" s="15" t="n">
        <v>4</v>
      </c>
      <c r="S1009" s="15" t="n">
        <v>13</v>
      </c>
      <c r="T1009" s="14">
        <f>IF(COUNT(I1009:S1009)=0,"",SUM(I1009:S1009))</f>
        <v/>
      </c>
      <c r="U1009" t="inlineStr"/>
    </row>
    <row r="1010">
      <c r="A1010" t="inlineStr">
        <is>
          <t>연제구연산서희어린이집</t>
        </is>
      </c>
      <c r="B1010" t="inlineStr">
        <is>
          <t>어린이집</t>
        </is>
      </c>
      <c r="C1010" t="inlineStr">
        <is>
          <t>국공립</t>
        </is>
      </c>
      <c r="D1010" t="inlineStr">
        <is>
          <t>연제구</t>
        </is>
      </c>
      <c r="E1010" t="inlineStr">
        <is>
          <t>부산광역시 연제구 묘봉산로 30 연산포레서희스타힐스아파트 내</t>
        </is>
      </c>
      <c r="F1010" t="inlineStr"/>
      <c r="G1010" t="inlineStr">
        <is>
          <t>051-868-3310</t>
        </is>
      </c>
      <c r="H1010" s="15" t="n">
        <v>47</v>
      </c>
      <c r="I1010" s="15" t="n">
        <v>5</v>
      </c>
      <c r="J1010" s="15" t="n">
        <v>10</v>
      </c>
      <c r="K1010" s="15" t="n">
        <v>14</v>
      </c>
      <c r="L1010" s="15" t="n">
        <v>0</v>
      </c>
      <c r="M1010" s="15" t="n">
        <v>0</v>
      </c>
      <c r="N1010" s="15" t="n">
        <v>0</v>
      </c>
      <c r="O1010" s="15" t="n">
        <v>10</v>
      </c>
      <c r="P1010" s="15" t="n">
        <v>8</v>
      </c>
      <c r="Q1010" s="15" t="n">
        <v>0</v>
      </c>
      <c r="R1010" s="15" t="n">
        <v>0</v>
      </c>
      <c r="S1010" s="15" t="n">
        <v>16</v>
      </c>
      <c r="T1010" s="14">
        <f>IF(COUNT(I1010:S1010)=0,"",SUM(I1010:S1010))</f>
        <v/>
      </c>
      <c r="U1010" t="inlineStr"/>
    </row>
    <row r="1011">
      <c r="A1011" t="inlineStr">
        <is>
          <t>연제구연산어린이집</t>
        </is>
      </c>
      <c r="B1011" t="inlineStr">
        <is>
          <t>어린이집</t>
        </is>
      </c>
      <c r="C1011" t="inlineStr">
        <is>
          <t>국공립</t>
        </is>
      </c>
      <c r="D1011" t="inlineStr">
        <is>
          <t>연제구</t>
        </is>
      </c>
      <c r="E1011" t="inlineStr">
        <is>
          <t>부산광역시 연제구 고분로20번길 84 (연산동)</t>
        </is>
      </c>
      <c r="F1011" t="inlineStr"/>
      <c r="G1011" t="inlineStr">
        <is>
          <t>051-861-0017</t>
        </is>
      </c>
      <c r="H1011" s="15" t="n">
        <v>41</v>
      </c>
      <c r="I1011" s="15" t="n">
        <v>8</v>
      </c>
      <c r="J1011" s="15" t="n">
        <v>15</v>
      </c>
      <c r="K1011" s="15" t="n">
        <v>12</v>
      </c>
      <c r="L1011" s="15" t="n">
        <v>0</v>
      </c>
      <c r="M1011" s="15" t="n">
        <v>0</v>
      </c>
      <c r="N1011" s="15" t="n">
        <v>0</v>
      </c>
      <c r="O1011" s="15" t="n">
        <v>0</v>
      </c>
      <c r="P1011" s="15" t="n">
        <v>0</v>
      </c>
      <c r="Q1011" s="15" t="n">
        <v>0</v>
      </c>
      <c r="R1011" s="15" t="n">
        <v>0</v>
      </c>
      <c r="S1011" s="15" t="n">
        <v>5</v>
      </c>
      <c r="T1011" s="14">
        <f>IF(COUNT(I1011:S1011)=0,"",SUM(I1011:S1011))</f>
        <v/>
      </c>
      <c r="U1011" t="inlineStr"/>
    </row>
    <row r="1012">
      <c r="A1012" t="inlineStr">
        <is>
          <t>연제구연산이편한어린이집</t>
        </is>
      </c>
      <c r="B1012" t="inlineStr">
        <is>
          <t>어린이집</t>
        </is>
      </c>
      <c r="C1012" t="inlineStr">
        <is>
          <t>국공립</t>
        </is>
      </c>
      <c r="D1012" t="inlineStr">
        <is>
          <t>연제구</t>
        </is>
      </c>
      <c r="E1012" t="inlineStr">
        <is>
          <t>부산광역시 연제구 반송로 40</t>
        </is>
      </c>
      <c r="F1012" t="inlineStr"/>
      <c r="G1012" t="inlineStr">
        <is>
          <t>051-864-7979</t>
        </is>
      </c>
      <c r="H1012" s="15" t="n">
        <v>35</v>
      </c>
      <c r="I1012" s="15" t="n">
        <v>6</v>
      </c>
      <c r="J1012" s="15" t="n">
        <v>14</v>
      </c>
      <c r="K1012" s="15" t="n">
        <v>13</v>
      </c>
      <c r="L1012" s="15" t="n">
        <v>0</v>
      </c>
      <c r="M1012" s="15" t="n">
        <v>0</v>
      </c>
      <c r="N1012" s="15" t="n">
        <v>0</v>
      </c>
      <c r="O1012" s="15" t="n">
        <v>0</v>
      </c>
      <c r="P1012" s="15" t="n">
        <v>0</v>
      </c>
      <c r="Q1012" s="15" t="n">
        <v>0</v>
      </c>
      <c r="R1012" s="15" t="n">
        <v>0</v>
      </c>
      <c r="S1012" s="15" t="n">
        <v>5</v>
      </c>
      <c r="T1012" s="14">
        <f>IF(COUNT(I1012:S1012)=0,"",SUM(I1012:S1012))</f>
        <v/>
      </c>
      <c r="U1012" t="inlineStr"/>
    </row>
    <row r="1013">
      <c r="A1013" t="inlineStr">
        <is>
          <t>연제구연아어린이집</t>
        </is>
      </c>
      <c r="B1013" t="inlineStr">
        <is>
          <t>어린이집</t>
        </is>
      </c>
      <c r="C1013" t="inlineStr">
        <is>
          <t>국공립</t>
        </is>
      </c>
      <c r="D1013" t="inlineStr">
        <is>
          <t>연제구</t>
        </is>
      </c>
      <c r="E1013" t="inlineStr">
        <is>
          <t>부산광역시 연제구 토곡남로20번길 9 연제구연아어린이집</t>
        </is>
      </c>
      <c r="F1013" t="inlineStr"/>
      <c r="G1013" t="inlineStr">
        <is>
          <t>051-759-6128</t>
        </is>
      </c>
      <c r="H1013" s="15" t="n">
        <v>49</v>
      </c>
      <c r="I1013" s="15" t="n">
        <v>9</v>
      </c>
      <c r="J1013" s="15" t="n">
        <v>13</v>
      </c>
      <c r="K1013" s="15" t="n">
        <v>13</v>
      </c>
      <c r="L1013" s="15" t="n">
        <v>0</v>
      </c>
      <c r="M1013" s="15" t="n">
        <v>0</v>
      </c>
      <c r="N1013" s="15" t="n">
        <v>0</v>
      </c>
      <c r="O1013" s="15" t="n">
        <v>0</v>
      </c>
      <c r="P1013" s="15" t="n">
        <v>10</v>
      </c>
      <c r="Q1013" s="15" t="n">
        <v>0</v>
      </c>
      <c r="R1013" s="15" t="n">
        <v>3</v>
      </c>
      <c r="S1013" s="15" t="n">
        <v>5</v>
      </c>
      <c r="T1013" s="14">
        <f>IF(COUNT(I1013:S1013)=0,"",SUM(I1013:S1013))</f>
        <v/>
      </c>
      <c r="U1013" t="inlineStr"/>
    </row>
    <row r="1014">
      <c r="A1014" t="inlineStr">
        <is>
          <t>연제구예랑어린이집</t>
        </is>
      </c>
      <c r="B1014" t="inlineStr">
        <is>
          <t>어린이집</t>
        </is>
      </c>
      <c r="C1014" t="inlineStr">
        <is>
          <t>국공립</t>
        </is>
      </c>
      <c r="D1014" t="inlineStr">
        <is>
          <t>연제구</t>
        </is>
      </c>
      <c r="E1014" t="inlineStr">
        <is>
          <t>부산광역시 연제구 과정로132번길 44-1 예랑어린이집</t>
        </is>
      </c>
      <c r="F1014" t="inlineStr"/>
      <c r="G1014" t="inlineStr">
        <is>
          <t>051-751-1063</t>
        </is>
      </c>
      <c r="H1014" s="15" t="n">
        <v>33</v>
      </c>
      <c r="I1014" s="15" t="n">
        <v>7</v>
      </c>
      <c r="J1014" s="15" t="n">
        <v>8</v>
      </c>
      <c r="K1014" s="15" t="n">
        <v>6</v>
      </c>
      <c r="L1014" s="15" t="n">
        <v>0</v>
      </c>
      <c r="M1014" s="15" t="n">
        <v>0</v>
      </c>
      <c r="N1014" s="15" t="n">
        <v>0</v>
      </c>
      <c r="O1014" s="15" t="n">
        <v>0</v>
      </c>
      <c r="P1014" s="15" t="n">
        <v>9</v>
      </c>
      <c r="Q1014" s="15" t="n">
        <v>0</v>
      </c>
      <c r="R1014" s="15" t="n">
        <v>3</v>
      </c>
      <c r="S1014" s="15" t="n">
        <v>3</v>
      </c>
      <c r="T1014" s="14">
        <f>IF(COUNT(I1014:S1014)=0,"",SUM(I1014:S1014))</f>
        <v/>
      </c>
      <c r="U1014" t="inlineStr"/>
    </row>
    <row r="1015">
      <c r="A1015" t="inlineStr">
        <is>
          <t>연제구진선미어린이집</t>
        </is>
      </c>
      <c r="B1015" t="inlineStr">
        <is>
          <t>어린이집</t>
        </is>
      </c>
      <c r="C1015" t="inlineStr">
        <is>
          <t>국공립</t>
        </is>
      </c>
      <c r="D1015" t="inlineStr">
        <is>
          <t>연제구</t>
        </is>
      </c>
      <c r="E1015" t="inlineStr">
        <is>
          <t>부산광역시 연제구 쌍미천로125번길 11 진선미 어린이집 (연산동)</t>
        </is>
      </c>
      <c r="F1015" t="inlineStr"/>
      <c r="G1015" t="inlineStr">
        <is>
          <t>051-862-5467</t>
        </is>
      </c>
      <c r="H1015" s="15" t="n">
        <v>76</v>
      </c>
      <c r="I1015" s="15" t="n">
        <v>13</v>
      </c>
      <c r="J1015" s="15" t="n">
        <v>9</v>
      </c>
      <c r="K1015" s="15" t="n">
        <v>0</v>
      </c>
      <c r="L1015" s="15" t="n">
        <v>0</v>
      </c>
      <c r="M1015" s="15" t="n">
        <v>0</v>
      </c>
      <c r="N1015" s="15" t="n">
        <v>0</v>
      </c>
      <c r="O1015" s="15" t="n">
        <v>10</v>
      </c>
      <c r="P1015" s="15" t="n">
        <v>0</v>
      </c>
      <c r="Q1015" s="15" t="n">
        <v>0</v>
      </c>
      <c r="R1015" s="15" t="n">
        <v>0</v>
      </c>
      <c r="S1015" s="15" t="n">
        <v>2</v>
      </c>
      <c r="T1015" s="14">
        <f>IF(COUNT(I1015:S1015)=0,"",SUM(I1015:S1015))</f>
        <v/>
      </c>
      <c r="U1015" t="inlineStr"/>
    </row>
    <row r="1016">
      <c r="A1016" t="inlineStr">
        <is>
          <t>연제구키즈레일거제역어린이집</t>
        </is>
      </c>
      <c r="B1016" t="inlineStr">
        <is>
          <t>어린이집</t>
        </is>
      </c>
      <c r="C1016" t="inlineStr">
        <is>
          <t>국공립</t>
        </is>
      </c>
      <c r="D1016" t="inlineStr">
        <is>
          <t>연제구</t>
        </is>
      </c>
      <c r="E1016" t="inlineStr">
        <is>
          <t>부산광역시 연제구 법원남로9번길 17-1</t>
        </is>
      </c>
      <c r="F1016" t="inlineStr"/>
      <c r="G1016" t="inlineStr">
        <is>
          <t>051-852-0748</t>
        </is>
      </c>
      <c r="H1016" s="15" t="n">
        <v>30</v>
      </c>
      <c r="I1016" s="15" t="n">
        <v>6</v>
      </c>
      <c r="J1016" s="15" t="n">
        <v>10</v>
      </c>
      <c r="K1016" s="15" t="n">
        <v>11</v>
      </c>
      <c r="L1016" s="15" t="n">
        <v>0</v>
      </c>
      <c r="M1016" s="15" t="n">
        <v>0</v>
      </c>
      <c r="N1016" s="15" t="n">
        <v>0</v>
      </c>
      <c r="O1016" s="15" t="n">
        <v>0</v>
      </c>
      <c r="P1016" s="15" t="n">
        <v>0</v>
      </c>
      <c r="Q1016" s="15" t="n">
        <v>0</v>
      </c>
      <c r="R1016" s="15" t="n">
        <v>0</v>
      </c>
      <c r="S1016" s="15" t="n">
        <v>5</v>
      </c>
      <c r="T1016" s="14">
        <f>IF(COUNT(I1016:S1016)=0,"",SUM(I1016:S1016))</f>
        <v/>
      </c>
      <c r="U1016" t="inlineStr"/>
    </row>
    <row r="1017">
      <c r="A1017" t="inlineStr">
        <is>
          <t>연제구항도어린이집</t>
        </is>
      </c>
      <c r="B1017" t="inlineStr">
        <is>
          <t>어린이집</t>
        </is>
      </c>
      <c r="C1017" t="inlineStr">
        <is>
          <t>국공립</t>
        </is>
      </c>
      <c r="D1017" t="inlineStr">
        <is>
          <t>연제구</t>
        </is>
      </c>
      <c r="E1017" t="inlineStr">
        <is>
          <t>부산광역시 연제구 연제로8번길 92 (연산동)</t>
        </is>
      </c>
      <c r="F1017" s="11" t="inlineStr">
        <is>
          <t>http://8665166@daum.net</t>
        </is>
      </c>
      <c r="G1017" t="inlineStr">
        <is>
          <t>051-852-5195</t>
        </is>
      </c>
      <c r="H1017" s="15" t="n">
        <v>53</v>
      </c>
      <c r="I1017" s="15" t="n">
        <v>0</v>
      </c>
      <c r="J1017" s="15" t="n">
        <v>0</v>
      </c>
      <c r="K1017" s="15" t="n">
        <v>7</v>
      </c>
      <c r="L1017" s="15" t="n">
        <v>14</v>
      </c>
      <c r="M1017" s="15" t="n">
        <v>0</v>
      </c>
      <c r="N1017" s="15" t="n">
        <v>0</v>
      </c>
      <c r="O1017" s="15" t="n">
        <v>16</v>
      </c>
      <c r="P1017" s="15" t="n">
        <v>13</v>
      </c>
      <c r="Q1017" s="15" t="n">
        <v>0</v>
      </c>
      <c r="R1017" s="15" t="n">
        <v>0</v>
      </c>
      <c r="S1017" s="15" t="n">
        <v>11</v>
      </c>
      <c r="T1017" s="14">
        <f>IF(COUNT(I1017:S1017)=0,"",SUM(I1017:S1017))</f>
        <v/>
      </c>
      <c r="U1017" t="inlineStr"/>
    </row>
    <row r="1018">
      <c r="A1018" t="inlineStr">
        <is>
          <t>연제구햇살어린이집</t>
        </is>
      </c>
      <c r="B1018" t="inlineStr">
        <is>
          <t>어린이집</t>
        </is>
      </c>
      <c r="C1018" t="inlineStr">
        <is>
          <t>국공립</t>
        </is>
      </c>
      <c r="D1018" t="inlineStr">
        <is>
          <t>연제구</t>
        </is>
      </c>
      <c r="E1018" t="inlineStr">
        <is>
          <t>부산광역시 연제구 고분로248번길 55 55(연산동)</t>
        </is>
      </c>
      <c r="F1018" t="inlineStr"/>
      <c r="G1018" t="inlineStr">
        <is>
          <t>051-755-0025</t>
        </is>
      </c>
      <c r="H1018" s="15" t="n">
        <v>60</v>
      </c>
      <c r="I1018" s="15" t="n">
        <v>6</v>
      </c>
      <c r="J1018" s="15" t="n">
        <v>4</v>
      </c>
      <c r="K1018" s="15" t="n">
        <v>10</v>
      </c>
      <c r="L1018" s="15" t="n">
        <v>0</v>
      </c>
      <c r="M1018" s="15" t="n">
        <v>0</v>
      </c>
      <c r="N1018" s="15" t="n">
        <v>0</v>
      </c>
      <c r="O1018" s="15" t="n">
        <v>0</v>
      </c>
      <c r="P1018" s="15" t="n">
        <v>0</v>
      </c>
      <c r="Q1018" s="15" t="n">
        <v>0</v>
      </c>
      <c r="R1018" s="15" t="n">
        <v>0</v>
      </c>
      <c r="S1018" s="15" t="n">
        <v>3</v>
      </c>
      <c r="T1018" s="14">
        <f>IF(COUNT(I1018:S1018)=0,"",SUM(I1018:S1018))</f>
        <v/>
      </c>
      <c r="U1018" t="inlineStr"/>
    </row>
    <row r="1019">
      <c r="A1019" t="inlineStr">
        <is>
          <t>연제구행복어린이집</t>
        </is>
      </c>
      <c r="B1019" t="inlineStr">
        <is>
          <t>어린이집</t>
        </is>
      </c>
      <c r="C1019" t="inlineStr">
        <is>
          <t>국공립</t>
        </is>
      </c>
      <c r="D1019" t="inlineStr">
        <is>
          <t>연제구</t>
        </is>
      </c>
      <c r="E1019" t="inlineStr">
        <is>
          <t>부산광역시 연제구 중앙대로1038번길 40 시청앞 행복주택 204동</t>
        </is>
      </c>
      <c r="F1019" t="inlineStr"/>
      <c r="G1019" t="inlineStr">
        <is>
          <t>051-862-5505</t>
        </is>
      </c>
      <c r="H1019" s="15" t="n">
        <v>51</v>
      </c>
      <c r="I1019" s="15" t="n">
        <v>3</v>
      </c>
      <c r="J1019" s="15" t="n">
        <v>13</v>
      </c>
      <c r="K1019" s="15" t="n">
        <v>14</v>
      </c>
      <c r="L1019" s="15" t="n">
        <v>0</v>
      </c>
      <c r="M1019" s="15" t="n">
        <v>0</v>
      </c>
      <c r="N1019" s="15" t="n">
        <v>0</v>
      </c>
      <c r="O1019" s="15" t="n">
        <v>0</v>
      </c>
      <c r="P1019" s="15" t="n">
        <v>13</v>
      </c>
      <c r="Q1019" s="15" t="n">
        <v>0</v>
      </c>
      <c r="R1019" s="15" t="n">
        <v>0</v>
      </c>
      <c r="S1019" s="15" t="n">
        <v>18</v>
      </c>
      <c r="T1019" s="14">
        <f>IF(COUNT(I1019:S1019)=0,"",SUM(I1019:S1019))</f>
        <v/>
      </c>
      <c r="U1019" t="inlineStr"/>
    </row>
    <row r="1020">
      <c r="A1020" t="inlineStr">
        <is>
          <t>연제구현대동심어린이집</t>
        </is>
      </c>
      <c r="B1020" t="inlineStr">
        <is>
          <t>어린이집</t>
        </is>
      </c>
      <c r="C1020" t="inlineStr">
        <is>
          <t>국공립</t>
        </is>
      </c>
      <c r="D1020" t="inlineStr">
        <is>
          <t>연제구</t>
        </is>
      </c>
      <c r="E1020" t="inlineStr">
        <is>
          <t>부산광역시 연제구 법원북로 34 관리동</t>
        </is>
      </c>
      <c r="F1020" t="inlineStr"/>
      <c r="G1020" t="inlineStr">
        <is>
          <t>051-505-2926</t>
        </is>
      </c>
      <c r="H1020" s="15" t="n">
        <v>36</v>
      </c>
      <c r="I1020" s="15" t="n">
        <v>6</v>
      </c>
      <c r="J1020" s="15" t="n">
        <v>11</v>
      </c>
      <c r="K1020" s="15" t="n">
        <v>7</v>
      </c>
      <c r="L1020" s="15" t="n">
        <v>0</v>
      </c>
      <c r="M1020" s="15" t="n">
        <v>0</v>
      </c>
      <c r="N1020" s="15" t="n">
        <v>0</v>
      </c>
      <c r="O1020" s="15" t="n">
        <v>0</v>
      </c>
      <c r="P1020" s="15" t="n">
        <v>0</v>
      </c>
      <c r="Q1020" s="15" t="n">
        <v>0</v>
      </c>
      <c r="R1020" s="15" t="n">
        <v>0</v>
      </c>
      <c r="S1020" s="15" t="n">
        <v>7</v>
      </c>
      <c r="T1020" s="14">
        <f>IF(COUNT(I1020:S1020)=0,"",SUM(I1020:S1020))</f>
        <v/>
      </c>
      <c r="U1020" t="inlineStr"/>
    </row>
    <row r="1021">
      <c r="A1021" t="inlineStr">
        <is>
          <t>연제구힐스테이트연산어린이집</t>
        </is>
      </c>
      <c r="B1021" t="inlineStr">
        <is>
          <t>어린이집</t>
        </is>
      </c>
      <c r="C1021" t="inlineStr">
        <is>
          <t>국공립</t>
        </is>
      </c>
      <c r="D1021" t="inlineStr">
        <is>
          <t>연제구</t>
        </is>
      </c>
      <c r="E1021" t="inlineStr">
        <is>
          <t>부산광역시 연제구 봉수로 25</t>
        </is>
      </c>
      <c r="F1021" t="inlineStr"/>
      <c r="G1021" t="inlineStr">
        <is>
          <t>051-867-8867</t>
        </is>
      </c>
      <c r="H1021" s="15" t="n">
        <v>40</v>
      </c>
      <c r="I1021" s="15" t="n">
        <v>5</v>
      </c>
      <c r="J1021" s="15" t="n">
        <v>20</v>
      </c>
      <c r="K1021" s="15" t="n">
        <v>15</v>
      </c>
      <c r="L1021" s="15" t="n">
        <v>0</v>
      </c>
      <c r="M1021" s="15" t="n">
        <v>0</v>
      </c>
      <c r="N1021" s="15" t="n">
        <v>0</v>
      </c>
      <c r="O1021" s="15" t="n">
        <v>0</v>
      </c>
      <c r="P1021" s="15" t="n">
        <v>0</v>
      </c>
      <c r="Q1021" s="15" t="n">
        <v>0</v>
      </c>
      <c r="R1021" s="15" t="n">
        <v>0</v>
      </c>
      <c r="S1021" s="15" t="n">
        <v>5</v>
      </c>
      <c r="T1021" s="14">
        <f>IF(COUNT(I1021:S1021)=0,"",SUM(I1021:S1021))</f>
        <v/>
      </c>
      <c r="U1021" t="inlineStr"/>
    </row>
    <row r="1022">
      <c r="A1022" t="inlineStr">
        <is>
          <t>연제어린이집</t>
        </is>
      </c>
      <c r="B1022" t="inlineStr">
        <is>
          <t>어린이집</t>
        </is>
      </c>
      <c r="C1022" t="inlineStr">
        <is>
          <t>직장</t>
        </is>
      </c>
      <c r="D1022" t="inlineStr">
        <is>
          <t>연제구</t>
        </is>
      </c>
      <c r="E1022" t="inlineStr">
        <is>
          <t>부산광역시 연제구 중앙천로19번길 20</t>
        </is>
      </c>
      <c r="F1022" t="inlineStr"/>
      <c r="G1022" t="inlineStr">
        <is>
          <t>051-989-1001</t>
        </is>
      </c>
      <c r="H1022" s="15" t="n">
        <v>50</v>
      </c>
      <c r="I1022" s="15" t="n">
        <v>0</v>
      </c>
      <c r="J1022" s="15" t="n">
        <v>4</v>
      </c>
      <c r="K1022" s="15" t="n">
        <v>5</v>
      </c>
      <c r="L1022" s="15" t="n">
        <v>5</v>
      </c>
      <c r="M1022" s="15" t="n">
        <v>0</v>
      </c>
      <c r="N1022" s="15" t="n">
        <v>0</v>
      </c>
      <c r="O1022" s="15" t="n">
        <v>0</v>
      </c>
      <c r="P1022" s="15" t="n">
        <v>7</v>
      </c>
      <c r="Q1022" s="15" t="n">
        <v>0</v>
      </c>
      <c r="R1022" s="15" t="n">
        <v>0</v>
      </c>
      <c r="S1022" s="15" t="n">
        <v>5</v>
      </c>
      <c r="T1022" s="14">
        <f>IF(COUNT(I1022:S1022)=0,"",SUM(I1022:S1022))</f>
        <v/>
      </c>
      <c r="U1022" t="inlineStr"/>
    </row>
    <row r="1023">
      <c r="A1023" t="inlineStr">
        <is>
          <t>연제옥스포드어린이집</t>
        </is>
      </c>
      <c r="B1023" t="inlineStr">
        <is>
          <t>어린이집</t>
        </is>
      </c>
      <c r="C1023" t="inlineStr">
        <is>
          <t>민간</t>
        </is>
      </c>
      <c r="D1023" t="inlineStr">
        <is>
          <t>연제구</t>
        </is>
      </c>
      <c r="E1023" t="inlineStr">
        <is>
          <t>부산광역시 연제구 해맞이로61번길 49 (거제동)</t>
        </is>
      </c>
      <c r="F1023" t="inlineStr"/>
      <c r="G1023" t="inlineStr">
        <is>
          <t>051-503-7050</t>
        </is>
      </c>
      <c r="H1023" s="15" t="n">
        <v>108</v>
      </c>
      <c r="I1023" s="15" t="n">
        <v>1</v>
      </c>
      <c r="J1023" s="15" t="n">
        <v>4</v>
      </c>
      <c r="K1023" s="15" t="n">
        <v>6</v>
      </c>
      <c r="L1023" s="15" t="n">
        <v>6</v>
      </c>
      <c r="M1023" s="15" t="n">
        <v>0</v>
      </c>
      <c r="N1023" s="15" t="n">
        <v>0</v>
      </c>
      <c r="O1023" s="15" t="n">
        <v>5</v>
      </c>
      <c r="P1023" s="15" t="n">
        <v>18</v>
      </c>
      <c r="Q1023" s="15" t="n">
        <v>0</v>
      </c>
      <c r="R1023" s="15" t="n">
        <v>0</v>
      </c>
      <c r="S1023" s="15" t="n">
        <v>16</v>
      </c>
      <c r="T1023" s="14">
        <f>IF(COUNT(I1023:S1023)=0,"",SUM(I1023:S1023))</f>
        <v/>
      </c>
      <c r="U1023" t="inlineStr"/>
    </row>
    <row r="1024">
      <c r="A1024" t="inlineStr">
        <is>
          <t>연천영아전담어린이집</t>
        </is>
      </c>
      <c r="B1024" t="inlineStr">
        <is>
          <t>어린이집</t>
        </is>
      </c>
      <c r="C1024" t="inlineStr">
        <is>
          <t>민간</t>
        </is>
      </c>
      <c r="D1024" t="inlineStr">
        <is>
          <t>연제구</t>
        </is>
      </c>
      <c r="E1024" t="inlineStr">
        <is>
          <t>부산광역시 연제구 고분로143번길 41 (연산동)</t>
        </is>
      </c>
      <c r="F1024" s="11" t="inlineStr">
        <is>
          <t>https://instagram.com/yeoncheon_1020?igshid=YmMyMTA2M2Y=</t>
        </is>
      </c>
      <c r="G1024" t="inlineStr">
        <is>
          <t>051-863-1020</t>
        </is>
      </c>
      <c r="H1024" s="15" t="n">
        <v>47</v>
      </c>
      <c r="I1024" s="15" t="n">
        <v>2</v>
      </c>
      <c r="J1024" s="15" t="n">
        <v>8</v>
      </c>
      <c r="K1024" s="15" t="n">
        <v>7</v>
      </c>
      <c r="L1024" s="15" t="n">
        <v>0</v>
      </c>
      <c r="M1024" s="15" t="n">
        <v>0</v>
      </c>
      <c r="N1024" s="15" t="n">
        <v>0</v>
      </c>
      <c r="O1024" s="15" t="n">
        <v>1</v>
      </c>
      <c r="P1024" s="15" t="n">
        <v>0</v>
      </c>
      <c r="Q1024" s="15" t="n">
        <v>7</v>
      </c>
      <c r="R1024" s="15" t="n">
        <v>0</v>
      </c>
      <c r="S1024" s="15" t="n">
        <v>14</v>
      </c>
      <c r="T1024" s="14">
        <f>IF(COUNT(I1024:S1024)=0,"",SUM(I1024:S1024))</f>
        <v/>
      </c>
      <c r="U1024" t="inlineStr"/>
    </row>
    <row r="1025">
      <c r="A1025" t="inlineStr">
        <is>
          <t>예지어린이집</t>
        </is>
      </c>
      <c r="B1025" t="inlineStr">
        <is>
          <t>어린이집</t>
        </is>
      </c>
      <c r="C1025" t="inlineStr">
        <is>
          <t>사회복지법인</t>
        </is>
      </c>
      <c r="D1025" t="inlineStr">
        <is>
          <t>연제구</t>
        </is>
      </c>
      <c r="E1025" t="inlineStr">
        <is>
          <t>부산광역시 연제구 해맞이로 97 (거제동)</t>
        </is>
      </c>
      <c r="F1025" t="inlineStr"/>
      <c r="G1025" t="inlineStr">
        <is>
          <t>051-504-2622</t>
        </is>
      </c>
      <c r="H1025" s="15" t="n">
        <v>72</v>
      </c>
      <c r="I1025" s="15" t="n">
        <v>0</v>
      </c>
      <c r="J1025" s="15" t="n">
        <v>12</v>
      </c>
      <c r="K1025" s="15" t="n">
        <v>18</v>
      </c>
      <c r="L1025" s="15" t="n">
        <v>12</v>
      </c>
      <c r="M1025" s="15" t="n">
        <v>12</v>
      </c>
      <c r="N1025" s="15" t="n">
        <v>14</v>
      </c>
      <c r="O1025" s="15" t="n">
        <v>0</v>
      </c>
      <c r="P1025" s="15" t="n">
        <v>0</v>
      </c>
      <c r="Q1025" s="15" t="n">
        <v>0</v>
      </c>
      <c r="R1025" s="15" t="n">
        <v>0</v>
      </c>
      <c r="S1025" s="15" t="n">
        <v>20</v>
      </c>
      <c r="T1025" s="14">
        <f>IF(COUNT(I1025:S1025)=0,"",SUM(I1025:S1025))</f>
        <v/>
      </c>
      <c r="U1025" t="inlineStr"/>
    </row>
    <row r="1026">
      <c r="A1026" t="inlineStr">
        <is>
          <t>월드림어린이집</t>
        </is>
      </c>
      <c r="B1026" t="inlineStr">
        <is>
          <t>어린이집</t>
        </is>
      </c>
      <c r="C1026" t="inlineStr">
        <is>
          <t>법인·단체등</t>
        </is>
      </c>
      <c r="D1026" t="inlineStr">
        <is>
          <t>연제구</t>
        </is>
      </c>
      <c r="E1026" t="inlineStr">
        <is>
          <t>부산광역시 연제구 연수로208번길 6 (연산동)</t>
        </is>
      </c>
      <c r="F1026" t="inlineStr"/>
      <c r="G1026" t="inlineStr">
        <is>
          <t>051-853-1233</t>
        </is>
      </c>
      <c r="H1026" s="15" t="n">
        <v>68</v>
      </c>
      <c r="I1026" s="15" t="n">
        <v>0</v>
      </c>
      <c r="J1026" s="15" t="n">
        <v>10</v>
      </c>
      <c r="K1026" s="15" t="n">
        <v>20</v>
      </c>
      <c r="L1026" s="15" t="n">
        <v>10</v>
      </c>
      <c r="M1026" s="15" t="n">
        <v>0</v>
      </c>
      <c r="N1026" s="15" t="n">
        <v>11</v>
      </c>
      <c r="O1026" s="15" t="n">
        <v>0</v>
      </c>
      <c r="P1026" s="15" t="n">
        <v>11</v>
      </c>
      <c r="Q1026" s="15" t="n">
        <v>0</v>
      </c>
      <c r="R1026" s="15" t="n">
        <v>0</v>
      </c>
      <c r="S1026" s="15" t="n">
        <v>5</v>
      </c>
      <c r="T1026" s="14">
        <f>IF(COUNT(I1026:S1026)=0,"",SUM(I1026:S1026))</f>
        <v/>
      </c>
      <c r="U1026" t="inlineStr"/>
    </row>
    <row r="1027">
      <c r="A1027" t="inlineStr">
        <is>
          <t>월드메르디앙어린이집</t>
        </is>
      </c>
      <c r="B1027" t="inlineStr">
        <is>
          <t>어린이집</t>
        </is>
      </c>
      <c r="C1027" t="inlineStr">
        <is>
          <t>민간</t>
        </is>
      </c>
      <c r="D1027" t="inlineStr">
        <is>
          <t>연제구</t>
        </is>
      </c>
      <c r="E1027" t="inlineStr">
        <is>
          <t>부산광역시 연제구 거제천로 233 103동 1층 (거제동,거제동월드메르디앙아파트)</t>
        </is>
      </c>
      <c r="F1027" t="inlineStr"/>
      <c r="G1027" t="inlineStr">
        <is>
          <t>051-522-4323</t>
        </is>
      </c>
      <c r="H1027" s="15" t="n">
        <v>37</v>
      </c>
      <c r="I1027" s="15" t="n">
        <v>9</v>
      </c>
      <c r="J1027" s="15" t="n">
        <v>10</v>
      </c>
      <c r="K1027" s="15" t="n">
        <v>16</v>
      </c>
      <c r="L1027" s="15" t="n">
        <v>0</v>
      </c>
      <c r="M1027" s="15" t="n">
        <v>0</v>
      </c>
      <c r="N1027" s="15" t="n">
        <v>0</v>
      </c>
      <c r="O1027" s="15" t="n">
        <v>0</v>
      </c>
      <c r="P1027" s="15" t="n">
        <v>0</v>
      </c>
      <c r="Q1027" s="15" t="n">
        <v>0</v>
      </c>
      <c r="R1027" s="15" t="n">
        <v>0</v>
      </c>
      <c r="S1027" s="15" t="n">
        <v>5</v>
      </c>
      <c r="T1027" s="14">
        <f>IF(COUNT(I1027:S1027)=0,"",SUM(I1027:S1027))</f>
        <v/>
      </c>
      <c r="U1027" t="inlineStr"/>
    </row>
    <row r="1028">
      <c r="A1028" t="inlineStr">
        <is>
          <t>유림자연어린이집</t>
        </is>
      </c>
      <c r="B1028" t="inlineStr">
        <is>
          <t>어린이집</t>
        </is>
      </c>
      <c r="C1028" t="inlineStr">
        <is>
          <t>민간</t>
        </is>
      </c>
      <c r="D1028" t="inlineStr">
        <is>
          <t>연제구</t>
        </is>
      </c>
      <c r="E1028" t="inlineStr">
        <is>
          <t>부산광역시 연제구 해맞이로 23 유림자연어린이집 (거제동 거제유림아시아드)</t>
        </is>
      </c>
      <c r="F1028" t="inlineStr"/>
      <c r="G1028" t="inlineStr">
        <is>
          <t>051-504-5493</t>
        </is>
      </c>
      <c r="H1028" s="15" t="n">
        <v>47</v>
      </c>
      <c r="I1028" s="15" t="n">
        <v>6</v>
      </c>
      <c r="J1028" s="15" t="n">
        <v>10</v>
      </c>
      <c r="K1028" s="15" t="n">
        <v>7</v>
      </c>
      <c r="L1028" s="15" t="n">
        <v>0</v>
      </c>
      <c r="M1028" s="15" t="n">
        <v>0</v>
      </c>
      <c r="N1028" s="15" t="n">
        <v>0</v>
      </c>
      <c r="O1028" s="15" t="n">
        <v>5</v>
      </c>
      <c r="P1028" s="15" t="n">
        <v>7</v>
      </c>
      <c r="Q1028" s="15" t="n">
        <v>0</v>
      </c>
      <c r="R1028" s="15" t="n">
        <v>0</v>
      </c>
      <c r="S1028" s="15" t="n">
        <v>6</v>
      </c>
      <c r="T1028" s="14">
        <f>IF(COUNT(I1028:S1028)=0,"",SUM(I1028:S1028))</f>
        <v/>
      </c>
      <c r="U1028" t="inlineStr"/>
    </row>
    <row r="1029">
      <c r="A1029" t="inlineStr">
        <is>
          <t>자이어린이집</t>
        </is>
      </c>
      <c r="B1029" t="inlineStr">
        <is>
          <t>어린이집</t>
        </is>
      </c>
      <c r="C1029" t="inlineStr">
        <is>
          <t>가정</t>
        </is>
      </c>
      <c r="D1029" t="inlineStr">
        <is>
          <t>연제구</t>
        </is>
      </c>
      <c r="E1029" t="inlineStr">
        <is>
          <t>부산광역시 연제구 과정로343번길 43 103동 101호(연산동, 연산자이)</t>
        </is>
      </c>
      <c r="F1029" t="inlineStr"/>
      <c r="G1029" t="inlineStr">
        <is>
          <t>051-528-0466</t>
        </is>
      </c>
      <c r="H1029" s="15" t="n">
        <v>20</v>
      </c>
      <c r="I1029" s="15" t="n">
        <v>2</v>
      </c>
      <c r="J1029" s="15" t="n">
        <v>8</v>
      </c>
      <c r="K1029" s="15" t="n">
        <v>6</v>
      </c>
      <c r="L1029" s="15" t="n">
        <v>0</v>
      </c>
      <c r="M1029" s="15" t="n">
        <v>0</v>
      </c>
      <c r="N1029" s="15" t="n">
        <v>0</v>
      </c>
      <c r="O1029" s="15" t="n">
        <v>0</v>
      </c>
      <c r="P1029" s="15" t="n">
        <v>0</v>
      </c>
      <c r="Q1029" s="15" t="n">
        <v>0</v>
      </c>
      <c r="R1029" s="15" t="n">
        <v>0</v>
      </c>
      <c r="S1029" s="15" t="n">
        <v>5</v>
      </c>
      <c r="T1029" s="14">
        <f>IF(COUNT(I1029:S1029)=0,"",SUM(I1029:S1029))</f>
        <v/>
      </c>
      <c r="U1029" t="inlineStr"/>
    </row>
    <row r="1030">
      <c r="A1030" t="inlineStr">
        <is>
          <t>정성어린이집</t>
        </is>
      </c>
      <c r="B1030" t="inlineStr">
        <is>
          <t>어린이집</t>
        </is>
      </c>
      <c r="C1030" t="inlineStr">
        <is>
          <t>사회복지법인</t>
        </is>
      </c>
      <c r="D1030" t="inlineStr">
        <is>
          <t>연제구</t>
        </is>
      </c>
      <c r="E1030" t="inlineStr">
        <is>
          <t>부산광역시 연제구 연동로 22-3 (연산동)</t>
        </is>
      </c>
      <c r="F1030" s="11" t="inlineStr">
        <is>
          <t>http://www.instagram.com/js8670660</t>
        </is>
      </c>
      <c r="G1030" t="inlineStr">
        <is>
          <t>051-867-0660</t>
        </is>
      </c>
      <c r="H1030" s="15" t="n">
        <v>49</v>
      </c>
      <c r="I1030" s="15" t="n">
        <v>2</v>
      </c>
      <c r="J1030" s="15" t="n">
        <v>4</v>
      </c>
      <c r="K1030" s="15" t="n">
        <v>9</v>
      </c>
      <c r="L1030" s="15" t="n">
        <v>0</v>
      </c>
      <c r="M1030" s="15" t="n">
        <v>0</v>
      </c>
      <c r="N1030" s="15" t="n">
        <v>0</v>
      </c>
      <c r="O1030" s="15" t="n">
        <v>4</v>
      </c>
      <c r="P1030" s="15" t="n">
        <v>9</v>
      </c>
      <c r="Q1030" s="15" t="n">
        <v>0</v>
      </c>
      <c r="R1030" s="15" t="n">
        <v>0</v>
      </c>
      <c r="S1030" s="15" t="n">
        <v>0</v>
      </c>
      <c r="T1030" s="14">
        <f>IF(COUNT(I1030:S1030)=0,"",SUM(I1030:S1030))</f>
        <v/>
      </c>
      <c r="U1030" t="inlineStr"/>
    </row>
    <row r="1031">
      <c r="A1031" t="inlineStr">
        <is>
          <t>정언어린이집</t>
        </is>
      </c>
      <c r="B1031" t="inlineStr">
        <is>
          <t>어린이집</t>
        </is>
      </c>
      <c r="C1031" t="inlineStr">
        <is>
          <t>민간</t>
        </is>
      </c>
      <c r="D1031" t="inlineStr">
        <is>
          <t>연제구</t>
        </is>
      </c>
      <c r="E1031" t="inlineStr">
        <is>
          <t>부산광역시 연제구 연동로 32 (연산동)</t>
        </is>
      </c>
      <c r="F1031" s="11" t="inlineStr">
        <is>
          <t>http://phmjw1234@naver.com</t>
        </is>
      </c>
      <c r="G1031" t="inlineStr">
        <is>
          <t>051-866-7805</t>
        </is>
      </c>
      <c r="H1031" s="15" t="n">
        <v>76</v>
      </c>
      <c r="I1031" s="15" t="n">
        <v>0</v>
      </c>
      <c r="J1031" s="15" t="n">
        <v>9</v>
      </c>
      <c r="K1031" s="15" t="n">
        <v>13</v>
      </c>
      <c r="L1031" s="15" t="n">
        <v>14</v>
      </c>
      <c r="M1031" s="15" t="n">
        <v>11</v>
      </c>
      <c r="N1031" s="15" t="n">
        <v>14</v>
      </c>
      <c r="O1031" s="15" t="n">
        <v>2</v>
      </c>
      <c r="P1031" s="15" t="n">
        <v>0</v>
      </c>
      <c r="Q1031" s="15" t="n">
        <v>0</v>
      </c>
      <c r="R1031" s="15" t="n">
        <v>0</v>
      </c>
      <c r="S1031" s="15" t="n">
        <v>20</v>
      </c>
      <c r="T1031" s="14">
        <f>IF(COUNT(I1031:S1031)=0,"",SUM(I1031:S1031))</f>
        <v/>
      </c>
      <c r="U1031" t="inlineStr"/>
    </row>
    <row r="1032">
      <c r="A1032" t="inlineStr">
        <is>
          <t>조은어린이집</t>
        </is>
      </c>
      <c r="B1032" t="inlineStr">
        <is>
          <t>어린이집</t>
        </is>
      </c>
      <c r="C1032" t="inlineStr">
        <is>
          <t>민간</t>
        </is>
      </c>
      <c r="D1032" t="inlineStr">
        <is>
          <t>연제구</t>
        </is>
      </c>
      <c r="E1032" t="inlineStr">
        <is>
          <t>부산광역시 연제구 거제대로230번길 50 (거제동)</t>
        </is>
      </c>
      <c r="F1032" t="inlineStr"/>
      <c r="G1032" t="inlineStr">
        <is>
          <t>051-853-4632</t>
        </is>
      </c>
      <c r="H1032" s="15" t="n">
        <v>38</v>
      </c>
      <c r="I1032" s="15" t="n">
        <v>0</v>
      </c>
      <c r="J1032" s="15" t="n">
        <v>5</v>
      </c>
      <c r="K1032" s="15" t="n">
        <v>7</v>
      </c>
      <c r="L1032" s="15" t="n">
        <v>0</v>
      </c>
      <c r="M1032" s="15" t="n">
        <v>0</v>
      </c>
      <c r="N1032" s="15" t="n">
        <v>0</v>
      </c>
      <c r="O1032" s="15" t="n">
        <v>7</v>
      </c>
      <c r="P1032" s="15" t="n">
        <v>0</v>
      </c>
      <c r="Q1032" s="15" t="n">
        <v>0</v>
      </c>
      <c r="R1032" s="15" t="n">
        <v>0</v>
      </c>
      <c r="S1032" s="15" t="n">
        <v>5</v>
      </c>
      <c r="T1032" s="14">
        <f>IF(COUNT(I1032:S1032)=0,"",SUM(I1032:S1032))</f>
        <v/>
      </c>
      <c r="U1032" t="inlineStr"/>
    </row>
    <row r="1033">
      <c r="A1033" t="inlineStr">
        <is>
          <t>창의샘어린이집</t>
        </is>
      </c>
      <c r="B1033" t="inlineStr">
        <is>
          <t>어린이집</t>
        </is>
      </c>
      <c r="C1033" t="inlineStr">
        <is>
          <t>민간</t>
        </is>
      </c>
      <c r="D1033" t="inlineStr">
        <is>
          <t>연제구</t>
        </is>
      </c>
      <c r="E1033" t="inlineStr">
        <is>
          <t>부산광역시 연제구 쌍미천로47번길 19-1 (연산동)</t>
        </is>
      </c>
      <c r="F1033" t="inlineStr"/>
      <c r="G1033" t="inlineStr">
        <is>
          <t>051-866-4129</t>
        </is>
      </c>
      <c r="H1033" s="15" t="n">
        <v>39</v>
      </c>
      <c r="I1033" s="15" t="n">
        <v>12</v>
      </c>
      <c r="J1033" s="15" t="n">
        <v>10</v>
      </c>
      <c r="K1033" s="15" t="n">
        <v>7</v>
      </c>
      <c r="L1033" s="15" t="n">
        <v>0</v>
      </c>
      <c r="M1033" s="15" t="n">
        <v>0</v>
      </c>
      <c r="N1033" s="15" t="n">
        <v>0</v>
      </c>
      <c r="O1033" s="15" t="n">
        <v>0</v>
      </c>
      <c r="P1033" s="15" t="n">
        <v>0</v>
      </c>
      <c r="Q1033" s="15" t="n">
        <v>0</v>
      </c>
      <c r="R1033" s="15" t="n">
        <v>0</v>
      </c>
      <c r="S1033" s="15" t="n">
        <v>5</v>
      </c>
      <c r="T1033" s="14">
        <f>IF(COUNT(I1033:S1033)=0,"",SUM(I1033:S1033))</f>
        <v/>
      </c>
      <c r="U1033" t="inlineStr"/>
    </row>
    <row r="1034">
      <c r="A1034" t="inlineStr">
        <is>
          <t>토곡어린이집</t>
        </is>
      </c>
      <c r="B1034" t="inlineStr">
        <is>
          <t>어린이집</t>
        </is>
      </c>
      <c r="C1034" t="inlineStr">
        <is>
          <t>민간</t>
        </is>
      </c>
      <c r="D1034" t="inlineStr">
        <is>
          <t>연제구</t>
        </is>
      </c>
      <c r="E1034" t="inlineStr">
        <is>
          <t>부산광역시 연제구 과정로191번나길 17 (연산동)</t>
        </is>
      </c>
      <c r="F1034" t="inlineStr"/>
      <c r="G1034" t="inlineStr">
        <is>
          <t>051-759-7922</t>
        </is>
      </c>
      <c r="H1034" s="15" t="n">
        <v>123</v>
      </c>
      <c r="I1034" s="15" t="n">
        <v>3</v>
      </c>
      <c r="J1034" s="15" t="n">
        <v>0</v>
      </c>
      <c r="K1034" s="15" t="n">
        <v>7</v>
      </c>
      <c r="L1034" s="15" t="n">
        <v>0</v>
      </c>
      <c r="M1034" s="15" t="n">
        <v>0</v>
      </c>
      <c r="N1034" s="15" t="n">
        <v>0</v>
      </c>
      <c r="O1034" s="15" t="n">
        <v>4</v>
      </c>
      <c r="P1034" s="15" t="n">
        <v>8</v>
      </c>
      <c r="Q1034" s="15" t="n">
        <v>0</v>
      </c>
      <c r="R1034" s="15" t="n">
        <v>0</v>
      </c>
      <c r="S1034" s="15" t="n">
        <v>8</v>
      </c>
      <c r="T1034" s="14">
        <f>IF(COUNT(I1034:S1034)=0,"",SUM(I1034:S1034))</f>
        <v/>
      </c>
      <c r="U1034" t="inlineStr"/>
    </row>
    <row r="1035">
      <c r="A1035" t="inlineStr">
        <is>
          <t>토끼와당근어린이집</t>
        </is>
      </c>
      <c r="B1035" t="inlineStr">
        <is>
          <t>어린이집</t>
        </is>
      </c>
      <c r="C1035" t="inlineStr">
        <is>
          <t>민간</t>
        </is>
      </c>
      <c r="D1035" t="inlineStr">
        <is>
          <t>연제구</t>
        </is>
      </c>
      <c r="E1035" t="inlineStr">
        <is>
          <t>부산광역시 연제구 고분로235번길 26-1 (연산동)</t>
        </is>
      </c>
      <c r="F1035" s="11" t="inlineStr">
        <is>
          <t>http://cafe.daum.net/rc2011</t>
        </is>
      </c>
      <c r="G1035" t="inlineStr">
        <is>
          <t>051-865-0377</t>
        </is>
      </c>
      <c r="H1035" s="15" t="n">
        <v>118</v>
      </c>
      <c r="I1035" s="15" t="n">
        <v>15</v>
      </c>
      <c r="J1035" s="15" t="n">
        <v>29</v>
      </c>
      <c r="K1035" s="15" t="n">
        <v>20</v>
      </c>
      <c r="L1035" s="15" t="n">
        <v>17</v>
      </c>
      <c r="M1035" s="15" t="n">
        <v>12</v>
      </c>
      <c r="N1035" s="15" t="n">
        <v>18</v>
      </c>
      <c r="O1035" s="15" t="n">
        <v>0</v>
      </c>
      <c r="P1035" s="15" t="n">
        <v>0</v>
      </c>
      <c r="Q1035" s="15" t="n">
        <v>0</v>
      </c>
      <c r="R1035" s="15" t="n">
        <v>0</v>
      </c>
      <c r="S1035" s="15" t="n">
        <v>18</v>
      </c>
      <c r="T1035" s="14">
        <f>IF(COUNT(I1035:S1035)=0,"",SUM(I1035:S1035))</f>
        <v/>
      </c>
      <c r="U1035" t="inlineStr"/>
    </row>
    <row r="1036">
      <c r="A1036" t="inlineStr">
        <is>
          <t>푸르지오어린이집</t>
        </is>
      </c>
      <c r="B1036" t="inlineStr">
        <is>
          <t>어린이집</t>
        </is>
      </c>
      <c r="C1036" t="inlineStr">
        <is>
          <t>민간</t>
        </is>
      </c>
      <c r="D1036" t="inlineStr">
        <is>
          <t>연제구</t>
        </is>
      </c>
      <c r="E1036" t="inlineStr">
        <is>
          <t>부산광역시 연제구 고분로 280 (연산동, 센텀푸르지오아파트)</t>
        </is>
      </c>
      <c r="F1036" t="inlineStr"/>
      <c r="G1036" t="inlineStr">
        <is>
          <t>051-757-4313</t>
        </is>
      </c>
      <c r="H1036" s="15" t="n">
        <v>39</v>
      </c>
      <c r="I1036" s="15" t="n">
        <v>11</v>
      </c>
      <c r="J1036" s="15" t="n">
        <v>15</v>
      </c>
      <c r="K1036" s="15" t="n">
        <v>13</v>
      </c>
      <c r="L1036" s="15" t="n">
        <v>0</v>
      </c>
      <c r="M1036" s="15" t="n">
        <v>0</v>
      </c>
      <c r="N1036" s="15" t="n">
        <v>0</v>
      </c>
      <c r="O1036" s="15" t="n">
        <v>0</v>
      </c>
      <c r="P1036" s="15" t="n">
        <v>0</v>
      </c>
      <c r="Q1036" s="15" t="n">
        <v>0</v>
      </c>
      <c r="R1036" s="15" t="n">
        <v>0</v>
      </c>
      <c r="S1036" s="15" t="n">
        <v>19</v>
      </c>
      <c r="T1036" s="14">
        <f>IF(COUNT(I1036:S1036)=0,"",SUM(I1036:S1036))</f>
        <v/>
      </c>
      <c r="U1036" t="inlineStr"/>
    </row>
    <row r="1037">
      <c r="A1037" t="inlineStr">
        <is>
          <t>하나둘어린이집</t>
        </is>
      </c>
      <c r="B1037" t="inlineStr">
        <is>
          <t>어린이집</t>
        </is>
      </c>
      <c r="C1037" t="inlineStr">
        <is>
          <t>민간</t>
        </is>
      </c>
      <c r="D1037" t="inlineStr">
        <is>
          <t>연제구</t>
        </is>
      </c>
      <c r="E1037" t="inlineStr">
        <is>
          <t>부산광역시 연제구 여고로14번길 47 (거제동)</t>
        </is>
      </c>
      <c r="F1037" t="inlineStr"/>
      <c r="G1037" t="inlineStr">
        <is>
          <t>051-503-3077</t>
        </is>
      </c>
      <c r="H1037" s="15" t="n">
        <v>104</v>
      </c>
      <c r="I1037" s="15" t="n">
        <v>5</v>
      </c>
      <c r="J1037" s="15" t="n">
        <v>3</v>
      </c>
      <c r="K1037" s="15" t="n">
        <v>0</v>
      </c>
      <c r="L1037" s="15" t="n">
        <v>0</v>
      </c>
      <c r="M1037" s="15" t="n">
        <v>0</v>
      </c>
      <c r="N1037" s="15" t="n">
        <v>0</v>
      </c>
      <c r="O1037" s="15" t="n">
        <v>5</v>
      </c>
      <c r="P1037" s="15" t="n">
        <v>8</v>
      </c>
      <c r="Q1037" s="15" t="n">
        <v>0</v>
      </c>
      <c r="R1037" s="15" t="n">
        <v>0</v>
      </c>
      <c r="S1037" s="15" t="n">
        <v>0</v>
      </c>
      <c r="T1037" s="14">
        <f>IF(COUNT(I1037:S1037)=0,"",SUM(I1037:S1037))</f>
        <v/>
      </c>
      <c r="U1037" t="inlineStr"/>
    </row>
    <row r="1038">
      <c r="A1038" t="inlineStr">
        <is>
          <t>하나어린이집</t>
        </is>
      </c>
      <c r="B1038" t="inlineStr">
        <is>
          <t>어린이집</t>
        </is>
      </c>
      <c r="C1038" t="inlineStr">
        <is>
          <t>가정</t>
        </is>
      </c>
      <c r="D1038" t="inlineStr">
        <is>
          <t>연제구</t>
        </is>
      </c>
      <c r="E1038" t="inlineStr">
        <is>
          <t>부산광역시 연제구 해맞이로 23 111동 104호(거제동, 거제유림아시아드아파트)</t>
        </is>
      </c>
      <c r="F1038" t="inlineStr"/>
      <c r="G1038" t="inlineStr">
        <is>
          <t>051-504-9209</t>
        </is>
      </c>
      <c r="H1038" s="15" t="n">
        <v>20</v>
      </c>
      <c r="I1038" s="15" t="n">
        <v>0</v>
      </c>
      <c r="J1038" s="15" t="n">
        <v>0</v>
      </c>
      <c r="K1038" s="15" t="n">
        <v>0</v>
      </c>
      <c r="L1038" s="15" t="n">
        <v>0</v>
      </c>
      <c r="M1038" s="15" t="n">
        <v>0</v>
      </c>
      <c r="N1038" s="15" t="n">
        <v>0</v>
      </c>
      <c r="O1038" s="15" t="n">
        <v>7</v>
      </c>
      <c r="P1038" s="15" t="n">
        <v>0</v>
      </c>
      <c r="Q1038" s="15" t="n">
        <v>0</v>
      </c>
      <c r="R1038" s="15" t="n">
        <v>0</v>
      </c>
      <c r="S1038" s="15" t="n">
        <v>4</v>
      </c>
      <c r="T1038" s="14">
        <f>IF(COUNT(I1038:S1038)=0,"",SUM(I1038:S1038))</f>
        <v/>
      </c>
      <c r="U1038" t="inlineStr"/>
    </row>
    <row r="1039">
      <c r="A1039" t="inlineStr">
        <is>
          <t>하늘어린이집</t>
        </is>
      </c>
      <c r="B1039" t="inlineStr">
        <is>
          <t>어린이집</t>
        </is>
      </c>
      <c r="C1039" t="inlineStr">
        <is>
          <t>민간</t>
        </is>
      </c>
      <c r="D1039" t="inlineStr">
        <is>
          <t>연제구</t>
        </is>
      </c>
      <c r="E1039" t="inlineStr">
        <is>
          <t>부산광역시 연제구 거제대로178번길 42 (거제동)</t>
        </is>
      </c>
      <c r="F1039" t="inlineStr"/>
      <c r="G1039" t="inlineStr">
        <is>
          <t>051-502-7976</t>
        </is>
      </c>
      <c r="H1039" s="15" t="n">
        <v>38</v>
      </c>
      <c r="I1039" s="15" t="n">
        <v>8</v>
      </c>
      <c r="J1039" s="15" t="n">
        <v>10</v>
      </c>
      <c r="K1039" s="15" t="n">
        <v>5</v>
      </c>
      <c r="L1039" s="15" t="n">
        <v>0</v>
      </c>
      <c r="M1039" s="15" t="n">
        <v>0</v>
      </c>
      <c r="N1039" s="15" t="n">
        <v>0</v>
      </c>
      <c r="O1039" s="15" t="n">
        <v>0</v>
      </c>
      <c r="P1039" s="15" t="n">
        <v>0</v>
      </c>
      <c r="Q1039" s="15" t="n">
        <v>0</v>
      </c>
      <c r="R1039" s="15" t="n">
        <v>0</v>
      </c>
      <c r="S1039" s="15" t="n">
        <v>3</v>
      </c>
      <c r="T1039" s="14">
        <f>IF(COUNT(I1039:S1039)=0,"",SUM(I1039:S1039))</f>
        <v/>
      </c>
      <c r="U1039" t="inlineStr"/>
    </row>
    <row r="1040">
      <c r="A1040" t="inlineStr">
        <is>
          <t>해님어린이집</t>
        </is>
      </c>
      <c r="B1040" t="inlineStr">
        <is>
          <t>어린이집</t>
        </is>
      </c>
      <c r="C1040" t="inlineStr">
        <is>
          <t>민간</t>
        </is>
      </c>
      <c r="D1040" t="inlineStr">
        <is>
          <t>연제구</t>
        </is>
      </c>
      <c r="E1040" t="inlineStr">
        <is>
          <t>부산광역시 연제구 연수로 194 (연산동)</t>
        </is>
      </c>
      <c r="F1040" t="inlineStr"/>
      <c r="G1040" t="inlineStr">
        <is>
          <t>051-865-6263</t>
        </is>
      </c>
      <c r="H1040" s="15" t="n">
        <v>46</v>
      </c>
      <c r="I1040" s="15" t="n">
        <v>10</v>
      </c>
      <c r="J1040" s="15" t="n">
        <v>9</v>
      </c>
      <c r="K1040" s="15" t="n">
        <v>12</v>
      </c>
      <c r="L1040" s="15" t="n">
        <v>0</v>
      </c>
      <c r="M1040" s="15" t="n">
        <v>0</v>
      </c>
      <c r="N1040" s="15" t="n">
        <v>0</v>
      </c>
      <c r="O1040" s="15" t="n">
        <v>0</v>
      </c>
      <c r="P1040" s="15" t="n">
        <v>0</v>
      </c>
      <c r="Q1040" s="15" t="n">
        <v>0</v>
      </c>
      <c r="R1040" s="15" t="n">
        <v>0</v>
      </c>
      <c r="S1040" s="15" t="n">
        <v>10</v>
      </c>
      <c r="T1040" s="14">
        <f>IF(COUNT(I1040:S1040)=0,"",SUM(I1040:S1040))</f>
        <v/>
      </c>
      <c r="U1040" t="inlineStr"/>
    </row>
    <row r="1041">
      <c r="A1041" t="inlineStr">
        <is>
          <t>해돋는어린이집</t>
        </is>
      </c>
      <c r="B1041" t="inlineStr">
        <is>
          <t>어린이집</t>
        </is>
      </c>
      <c r="C1041" t="inlineStr">
        <is>
          <t>가정</t>
        </is>
      </c>
      <c r="D1041" t="inlineStr">
        <is>
          <t>연제구</t>
        </is>
      </c>
      <c r="E1041" t="inlineStr">
        <is>
          <t>부산광역시 연제구 마곡천로 54 102동 101호(연산동, 연산동현대홈타운)</t>
        </is>
      </c>
      <c r="F1041" t="inlineStr"/>
      <c r="G1041" t="inlineStr">
        <is>
          <t>051-865-9135</t>
        </is>
      </c>
      <c r="H1041" s="15" t="n">
        <v>19</v>
      </c>
      <c r="I1041" s="15" t="n">
        <v>5</v>
      </c>
      <c r="J1041" s="15" t="n">
        <v>7</v>
      </c>
      <c r="K1041" s="15" t="n">
        <v>7</v>
      </c>
      <c r="L1041" s="15" t="n">
        <v>0</v>
      </c>
      <c r="M1041" s="15" t="n">
        <v>0</v>
      </c>
      <c r="N1041" s="15" t="n">
        <v>0</v>
      </c>
      <c r="O1041" s="15" t="n">
        <v>0</v>
      </c>
      <c r="P1041" s="15" t="n">
        <v>0</v>
      </c>
      <c r="Q1041" s="15" t="n">
        <v>0</v>
      </c>
      <c r="R1041" s="15" t="n">
        <v>0</v>
      </c>
      <c r="S1041" s="15" t="n">
        <v>5</v>
      </c>
      <c r="T1041" s="14">
        <f>IF(COUNT(I1041:S1041)=0,"",SUM(I1041:S1041))</f>
        <v/>
      </c>
      <c r="U1041" t="inlineStr"/>
    </row>
    <row r="1042">
      <c r="A1042" t="inlineStr">
        <is>
          <t>현대홈타운어린이집</t>
        </is>
      </c>
      <c r="B1042" t="inlineStr">
        <is>
          <t>어린이집</t>
        </is>
      </c>
      <c r="C1042" t="inlineStr">
        <is>
          <t>민간</t>
        </is>
      </c>
      <c r="D1042" t="inlineStr">
        <is>
          <t>연제구</t>
        </is>
      </c>
      <c r="E1042" t="inlineStr">
        <is>
          <t>부산광역시 연제구 법원북로 16 관리동 3호 (거제동 현대2차 현대홈타운 )</t>
        </is>
      </c>
      <c r="F1042" t="inlineStr"/>
      <c r="G1042" t="inlineStr">
        <is>
          <t>051-505-3500</t>
        </is>
      </c>
      <c r="H1042" s="15" t="n">
        <v>45</v>
      </c>
      <c r="I1042" s="15" t="n">
        <v>2</v>
      </c>
      <c r="J1042" s="15" t="n">
        <v>15</v>
      </c>
      <c r="K1042" s="15" t="n">
        <v>0</v>
      </c>
      <c r="L1042" s="15" t="n">
        <v>0</v>
      </c>
      <c r="M1042" s="15" t="n">
        <v>0</v>
      </c>
      <c r="N1042" s="15" t="n">
        <v>0</v>
      </c>
      <c r="O1042" s="15" t="n">
        <v>8</v>
      </c>
      <c r="P1042" s="15" t="n">
        <v>0</v>
      </c>
      <c r="Q1042" s="15" t="n">
        <v>0</v>
      </c>
      <c r="R1042" s="15" t="n">
        <v>0</v>
      </c>
      <c r="S1042" s="15" t="n">
        <v>5</v>
      </c>
      <c r="T1042" s="14">
        <f>IF(COUNT(I1042:S1042)=0,"",SUM(I1042:S1042))</f>
        <v/>
      </c>
      <c r="U1042" t="inlineStr"/>
    </row>
    <row r="1043">
      <c r="A1043" t="inlineStr">
        <is>
          <t>희정어린이집</t>
        </is>
      </c>
      <c r="B1043" t="inlineStr">
        <is>
          <t>어린이집</t>
        </is>
      </c>
      <c r="C1043" t="inlineStr">
        <is>
          <t>가정</t>
        </is>
      </c>
      <c r="D1043" t="inlineStr">
        <is>
          <t>연제구</t>
        </is>
      </c>
      <c r="E1043" t="inlineStr">
        <is>
          <t>부산광역시 연제구 월드컵대로35번길 15 (연산동)</t>
        </is>
      </c>
      <c r="F1043" s="11" t="inlineStr">
        <is>
          <t>http://cafe.daum.net/kids-hj</t>
        </is>
      </c>
      <c r="G1043" t="inlineStr">
        <is>
          <t>051-862-2466</t>
        </is>
      </c>
      <c r="H1043" s="15" t="n">
        <v>16</v>
      </c>
      <c r="I1043" s="15" t="n">
        <v>9</v>
      </c>
      <c r="J1043" s="15" t="n">
        <v>5</v>
      </c>
      <c r="K1043" s="15" t="n">
        <v>0</v>
      </c>
      <c r="L1043" s="15" t="n">
        <v>0</v>
      </c>
      <c r="M1043" s="15" t="n">
        <v>0</v>
      </c>
      <c r="N1043" s="15" t="n">
        <v>0</v>
      </c>
      <c r="O1043" s="15" t="n">
        <v>0</v>
      </c>
      <c r="P1043" s="15" t="n">
        <v>0</v>
      </c>
      <c r="Q1043" s="15" t="n">
        <v>0</v>
      </c>
      <c r="R1043" s="15" t="n">
        <v>0</v>
      </c>
      <c r="S1043" s="15" t="n">
        <v>3</v>
      </c>
      <c r="T1043" s="14">
        <f>IF(COUNT(I1043:S1043)=0,"",SUM(I1043:S1043))</f>
        <v/>
      </c>
      <c r="U1043" t="inlineStr"/>
    </row>
    <row r="1044">
      <c r="A1044" t="inlineStr">
        <is>
          <t>힐스테이트리코어린이집</t>
        </is>
      </c>
      <c r="B1044" t="inlineStr">
        <is>
          <t>어린이집</t>
        </is>
      </c>
      <c r="C1044" t="inlineStr">
        <is>
          <t>가정</t>
        </is>
      </c>
      <c r="D1044" t="inlineStr">
        <is>
          <t>연제구</t>
        </is>
      </c>
      <c r="E1044" t="inlineStr">
        <is>
          <t>부산광역시 연제구 봉수로 2 연산동, 힐스테이트연산 1단지 105동 관리동</t>
        </is>
      </c>
      <c r="F1044" t="inlineStr"/>
      <c r="G1044" t="inlineStr">
        <is>
          <t>051-853-3353</t>
        </is>
      </c>
      <c r="H1044" s="15" t="n">
        <v>20</v>
      </c>
      <c r="I1044" s="15" t="n">
        <v>8</v>
      </c>
      <c r="J1044" s="15" t="n">
        <v>5</v>
      </c>
      <c r="K1044" s="15" t="n">
        <v>0</v>
      </c>
      <c r="L1044" s="15" t="n">
        <v>0</v>
      </c>
      <c r="M1044" s="15" t="n">
        <v>0</v>
      </c>
      <c r="N1044" s="15" t="n">
        <v>0</v>
      </c>
      <c r="O1044" s="15" t="n">
        <v>7</v>
      </c>
      <c r="P1044" s="15" t="n">
        <v>0</v>
      </c>
      <c r="Q1044" s="15" t="n">
        <v>0</v>
      </c>
      <c r="R1044" s="15" t="n">
        <v>0</v>
      </c>
      <c r="S1044" s="15" t="n">
        <v>3</v>
      </c>
      <c r="T1044" s="14">
        <f>IF(COUNT(I1044:S1044)=0,"",SUM(I1044:S1044))</f>
        <v/>
      </c>
      <c r="U1044" t="inlineStr"/>
    </row>
    <row r="1045">
      <c r="A1045" t="inlineStr">
        <is>
          <t>고신대학교부설어린이집</t>
        </is>
      </c>
      <c r="B1045" t="inlineStr">
        <is>
          <t>어린이집</t>
        </is>
      </c>
      <c r="C1045" t="inlineStr">
        <is>
          <t>법인·단체등</t>
        </is>
      </c>
      <c r="D1045" t="inlineStr">
        <is>
          <t>영도구</t>
        </is>
      </c>
      <c r="E1045" t="inlineStr">
        <is>
          <t>부산광역시 영도구 와치로 194 (동삼동)</t>
        </is>
      </c>
      <c r="F1045" t="inlineStr"/>
      <c r="G1045" t="inlineStr">
        <is>
          <t>051-404-4360</t>
        </is>
      </c>
      <c r="H1045" s="15" t="n">
        <v>78</v>
      </c>
      <c r="I1045" s="15" t="n">
        <v>0</v>
      </c>
      <c r="J1045" s="15" t="n">
        <v>0</v>
      </c>
      <c r="K1045" s="15" t="n">
        <v>0</v>
      </c>
      <c r="L1045" s="15" t="n">
        <v>11</v>
      </c>
      <c r="M1045" s="15" t="n">
        <v>10</v>
      </c>
      <c r="N1045" s="15" t="n">
        <v>18</v>
      </c>
      <c r="O1045" s="15" t="n">
        <v>7</v>
      </c>
      <c r="P1045" s="15" t="n">
        <v>0</v>
      </c>
      <c r="Q1045" s="15" t="n">
        <v>0</v>
      </c>
      <c r="R1045" s="15" t="n">
        <v>0</v>
      </c>
      <c r="S1045" s="15" t="n">
        <v>0</v>
      </c>
      <c r="T1045" s="14">
        <f>IF(COUNT(I1045:S1045)=0,"",SUM(I1045:S1045))</f>
        <v/>
      </c>
      <c r="U1045" t="inlineStr"/>
    </row>
    <row r="1046">
      <c r="A1046" t="inlineStr">
        <is>
          <t>꿈동산어린이집</t>
        </is>
      </c>
      <c r="B1046" t="inlineStr">
        <is>
          <t>어린이집</t>
        </is>
      </c>
      <c r="C1046" t="inlineStr">
        <is>
          <t>국공립</t>
        </is>
      </c>
      <c r="D1046" t="inlineStr">
        <is>
          <t>영도구</t>
        </is>
      </c>
      <c r="E1046" t="inlineStr">
        <is>
          <t>부산광역시 영도구 동삼로 85-9 꿈동산어린이집</t>
        </is>
      </c>
      <c r="F1046" t="inlineStr"/>
      <c r="G1046" t="inlineStr">
        <is>
          <t>051-405-0102</t>
        </is>
      </c>
      <c r="H1046" s="15" t="n">
        <v>83</v>
      </c>
      <c r="I1046" s="15" t="n">
        <v>5</v>
      </c>
      <c r="J1046" s="15" t="n">
        <v>7</v>
      </c>
      <c r="K1046" s="15" t="n">
        <v>13</v>
      </c>
      <c r="L1046" s="15" t="n">
        <v>12</v>
      </c>
      <c r="M1046" s="15" t="n">
        <v>0</v>
      </c>
      <c r="N1046" s="15" t="n">
        <v>0</v>
      </c>
      <c r="O1046" s="15" t="n">
        <v>2</v>
      </c>
      <c r="P1046" s="15" t="n">
        <v>14</v>
      </c>
      <c r="Q1046" s="15" t="n">
        <v>0</v>
      </c>
      <c r="R1046" s="15" t="n">
        <v>0</v>
      </c>
      <c r="S1046" s="15" t="n">
        <v>14</v>
      </c>
      <c r="T1046" s="14">
        <f>IF(COUNT(I1046:S1046)=0,"",SUM(I1046:S1046))</f>
        <v/>
      </c>
      <c r="U1046" t="inlineStr"/>
    </row>
    <row r="1047">
      <c r="A1047" t="inlineStr">
        <is>
          <t>남해지방해양경찰청어린이집</t>
        </is>
      </c>
      <c r="B1047" t="inlineStr">
        <is>
          <t>어린이집</t>
        </is>
      </c>
      <c r="C1047" t="inlineStr">
        <is>
          <t>직장</t>
        </is>
      </c>
      <c r="D1047" t="inlineStr">
        <is>
          <t>영도구</t>
        </is>
      </c>
      <c r="E1047" t="inlineStr">
        <is>
          <t>부산광역시 영도구 해양로 293 남해지방해양경찰청어린이집</t>
        </is>
      </c>
      <c r="F1047" s="11" t="inlineStr">
        <is>
          <t>http://.</t>
        </is>
      </c>
      <c r="G1047" t="inlineStr">
        <is>
          <t>051-717-3698</t>
        </is>
      </c>
      <c r="H1047" s="15" t="n">
        <v>70</v>
      </c>
      <c r="I1047" s="15" t="n">
        <v>3</v>
      </c>
      <c r="J1047" s="15" t="n">
        <v>8</v>
      </c>
      <c r="K1047" s="15" t="n">
        <v>4</v>
      </c>
      <c r="L1047" s="15" t="n">
        <v>9</v>
      </c>
      <c r="M1047" s="15" t="n">
        <v>0</v>
      </c>
      <c r="N1047" s="15" t="n">
        <v>0</v>
      </c>
      <c r="O1047" s="15" t="n">
        <v>0</v>
      </c>
      <c r="P1047" s="15" t="n">
        <v>10</v>
      </c>
      <c r="Q1047" s="15" t="n">
        <v>0</v>
      </c>
      <c r="R1047" s="15" t="n">
        <v>0</v>
      </c>
      <c r="S1047" s="15" t="n">
        <v>31</v>
      </c>
      <c r="T1047" s="14">
        <f>IF(COUNT(I1047:S1047)=0,"",SUM(I1047:S1047))</f>
        <v/>
      </c>
      <c r="U1047" t="inlineStr"/>
    </row>
    <row r="1048">
      <c r="A1048" t="inlineStr">
        <is>
          <t>녹야어린이집</t>
        </is>
      </c>
      <c r="B1048" t="inlineStr">
        <is>
          <t>어린이집</t>
        </is>
      </c>
      <c r="C1048" t="inlineStr">
        <is>
          <t>민간</t>
        </is>
      </c>
      <c r="D1048" t="inlineStr">
        <is>
          <t>영도구</t>
        </is>
      </c>
      <c r="E1048" t="inlineStr">
        <is>
          <t>부산광역시 영도구 와치로 233 절영아파트 관리동 1층</t>
        </is>
      </c>
      <c r="F1048" t="inlineStr"/>
      <c r="G1048" t="inlineStr">
        <is>
          <t>051-403-3633</t>
        </is>
      </c>
      <c r="H1048" s="15" t="n">
        <v>45</v>
      </c>
      <c r="I1048" s="15" t="n">
        <v>0</v>
      </c>
      <c r="J1048" s="15" t="n">
        <v>5</v>
      </c>
      <c r="K1048" s="15" t="n">
        <v>4</v>
      </c>
      <c r="L1048" s="15" t="n">
        <v>0</v>
      </c>
      <c r="M1048" s="15" t="n">
        <v>0</v>
      </c>
      <c r="N1048" s="15" t="n">
        <v>0</v>
      </c>
      <c r="O1048" s="15" t="n">
        <v>2</v>
      </c>
      <c r="P1048" s="15" t="n">
        <v>0</v>
      </c>
      <c r="Q1048" s="15" t="n">
        <v>7</v>
      </c>
      <c r="R1048" s="15" t="n">
        <v>0</v>
      </c>
      <c r="S1048" s="15" t="n">
        <v>18</v>
      </c>
      <c r="T1048" s="14">
        <f>IF(COUNT(I1048:S1048)=0,"",SUM(I1048:S1048))</f>
        <v/>
      </c>
      <c r="U1048" t="inlineStr"/>
    </row>
    <row r="1049">
      <c r="A1049" t="inlineStr">
        <is>
          <t>동삼중앙어린이집</t>
        </is>
      </c>
      <c r="B1049" t="inlineStr">
        <is>
          <t>어린이집</t>
        </is>
      </c>
      <c r="C1049" t="inlineStr">
        <is>
          <t>민간</t>
        </is>
      </c>
      <c r="D1049" t="inlineStr">
        <is>
          <t>영도구</t>
        </is>
      </c>
      <c r="E1049" t="inlineStr">
        <is>
          <t>부산광역시 영도구 웃서발로51번길 8 (동삼동)</t>
        </is>
      </c>
      <c r="F1049" s="11" t="inlineStr">
        <is>
          <t>https://cafe.daum.net/dongsamja</t>
        </is>
      </c>
      <c r="G1049" t="inlineStr">
        <is>
          <t>051-403-2627</t>
        </is>
      </c>
      <c r="H1049" s="15" t="n">
        <v>85</v>
      </c>
      <c r="I1049" s="15" t="n">
        <v>2</v>
      </c>
      <c r="J1049" s="15" t="n">
        <v>3</v>
      </c>
      <c r="K1049" s="15" t="n">
        <v>0</v>
      </c>
      <c r="L1049" s="15" t="n">
        <v>0</v>
      </c>
      <c r="M1049" s="15" t="n">
        <v>0</v>
      </c>
      <c r="N1049" s="15" t="n">
        <v>0</v>
      </c>
      <c r="O1049" s="15" t="n">
        <v>6</v>
      </c>
      <c r="P1049" s="15" t="n">
        <v>13</v>
      </c>
      <c r="Q1049" s="15" t="n">
        <v>0</v>
      </c>
      <c r="R1049" s="15" t="n">
        <v>0</v>
      </c>
      <c r="S1049" s="15" t="n">
        <v>18</v>
      </c>
      <c r="T1049" s="14">
        <f>IF(COUNT(I1049:S1049)=0,"",SUM(I1049:S1049))</f>
        <v/>
      </c>
      <c r="U1049" t="inlineStr"/>
    </row>
    <row r="1050">
      <c r="A1050" t="inlineStr">
        <is>
          <t>동심어린이집</t>
        </is>
      </c>
      <c r="B1050" t="inlineStr">
        <is>
          <t>어린이집</t>
        </is>
      </c>
      <c r="C1050" t="inlineStr">
        <is>
          <t>국공립</t>
        </is>
      </c>
      <c r="D1050" t="inlineStr">
        <is>
          <t>영도구</t>
        </is>
      </c>
      <c r="E1050" t="inlineStr">
        <is>
          <t>부산광역시 영도구 청학로80번길 2 (청학동)</t>
        </is>
      </c>
      <c r="F1050" s="11" t="inlineStr">
        <is>
          <t>https://m.blog.naver.com/ds4167707   https://www.instagram.com/dongsim__kids/</t>
        </is>
      </c>
      <c r="G1050" t="inlineStr">
        <is>
          <t>051-416-7707</t>
        </is>
      </c>
      <c r="H1050" s="15" t="n">
        <v>42</v>
      </c>
      <c r="I1050" s="15" t="n">
        <v>5</v>
      </c>
      <c r="J1050" s="15" t="n">
        <v>8</v>
      </c>
      <c r="K1050" s="15" t="n">
        <v>6</v>
      </c>
      <c r="L1050" s="15" t="n">
        <v>0</v>
      </c>
      <c r="M1050" s="15" t="n">
        <v>0</v>
      </c>
      <c r="N1050" s="15" t="n">
        <v>0</v>
      </c>
      <c r="O1050" s="15" t="n">
        <v>0</v>
      </c>
      <c r="P1050" s="15" t="n">
        <v>14</v>
      </c>
      <c r="Q1050" s="15" t="n">
        <v>7</v>
      </c>
      <c r="R1050" s="15" t="n">
        <v>0</v>
      </c>
      <c r="S1050" s="15" t="n">
        <v>22</v>
      </c>
      <c r="T1050" s="14">
        <f>IF(COUNT(I1050:S1050)=0,"",SUM(I1050:S1050))</f>
        <v/>
      </c>
      <c r="U1050" t="inlineStr"/>
    </row>
    <row r="1051">
      <c r="A1051" t="inlineStr">
        <is>
          <t>롯데캐슬블루오션어린이집</t>
        </is>
      </c>
      <c r="B1051" t="inlineStr">
        <is>
          <t>어린이집</t>
        </is>
      </c>
      <c r="C1051" t="inlineStr">
        <is>
          <t>국공립</t>
        </is>
      </c>
      <c r="D1051" t="inlineStr">
        <is>
          <t>영도구</t>
        </is>
      </c>
      <c r="E1051" t="inlineStr">
        <is>
          <t>부산광역시 영도구 절영로 524 롯데캐슬블루오션 아파트 관리동(1층)</t>
        </is>
      </c>
      <c r="F1051" t="inlineStr"/>
      <c r="G1051" t="inlineStr">
        <is>
          <t>051-405-2289</t>
        </is>
      </c>
      <c r="H1051" s="15" t="n">
        <v>25</v>
      </c>
      <c r="I1051" s="15" t="n">
        <v>0</v>
      </c>
      <c r="J1051" s="15" t="n">
        <v>0</v>
      </c>
      <c r="K1051" s="15" t="n">
        <v>7</v>
      </c>
      <c r="L1051" s="15" t="n">
        <v>0</v>
      </c>
      <c r="M1051" s="15" t="n">
        <v>0</v>
      </c>
      <c r="N1051" s="15" t="n">
        <v>0</v>
      </c>
      <c r="O1051" s="15" t="n">
        <v>13</v>
      </c>
      <c r="P1051" s="15" t="n">
        <v>0</v>
      </c>
      <c r="Q1051" s="15" t="n">
        <v>0</v>
      </c>
      <c r="R1051" s="15" t="n">
        <v>0</v>
      </c>
      <c r="S1051" s="15" t="n">
        <v>3</v>
      </c>
      <c r="T1051" s="14">
        <f>IF(COUNT(I1051:S1051)=0,"",SUM(I1051:S1051))</f>
        <v/>
      </c>
      <c r="U1051" t="inlineStr"/>
    </row>
    <row r="1052">
      <c r="A1052" t="inlineStr">
        <is>
          <t>미주어린이집</t>
        </is>
      </c>
      <c r="B1052" t="inlineStr">
        <is>
          <t>어린이집</t>
        </is>
      </c>
      <c r="C1052" t="inlineStr">
        <is>
          <t>가정</t>
        </is>
      </c>
      <c r="D1052" t="inlineStr">
        <is>
          <t>영도구</t>
        </is>
      </c>
      <c r="E1052" t="inlineStr">
        <is>
          <t>부산광역시 영도구 청학남로 48 신영도롯데낙천대아파트 관리동</t>
        </is>
      </c>
      <c r="F1052" t="inlineStr"/>
      <c r="G1052" t="inlineStr">
        <is>
          <t>051-415-3555</t>
        </is>
      </c>
      <c r="H1052" s="15" t="n">
        <v>20</v>
      </c>
      <c r="I1052" s="15" t="n">
        <v>2</v>
      </c>
      <c r="J1052" s="15" t="n">
        <v>5</v>
      </c>
      <c r="K1052" s="15" t="n">
        <v>4</v>
      </c>
      <c r="L1052" s="15" t="n">
        <v>0</v>
      </c>
      <c r="M1052" s="15" t="n">
        <v>0</v>
      </c>
      <c r="N1052" s="15" t="n">
        <v>0</v>
      </c>
      <c r="O1052" s="15" t="n">
        <v>2</v>
      </c>
      <c r="P1052" s="15" t="n">
        <v>0</v>
      </c>
      <c r="Q1052" s="15" t="n">
        <v>0</v>
      </c>
      <c r="R1052" s="15" t="n">
        <v>0</v>
      </c>
      <c r="S1052" s="15" t="n">
        <v>5</v>
      </c>
      <c r="T1052" s="14">
        <f>IF(COUNT(I1052:S1052)=0,"",SUM(I1052:S1052))</f>
        <v/>
      </c>
      <c r="U1052" t="inlineStr"/>
    </row>
    <row r="1053">
      <c r="A1053" t="inlineStr">
        <is>
          <t>벧엘영아전담어린이집</t>
        </is>
      </c>
      <c r="B1053" t="inlineStr">
        <is>
          <t>어린이집</t>
        </is>
      </c>
      <c r="C1053" t="inlineStr">
        <is>
          <t>민간</t>
        </is>
      </c>
      <c r="D1053" t="inlineStr">
        <is>
          <t>영도구</t>
        </is>
      </c>
      <c r="E1053" t="inlineStr">
        <is>
          <t>부산광역시 영도구 영선동2가 절영로93번길 32-2</t>
        </is>
      </c>
      <c r="F1053" t="inlineStr"/>
      <c r="G1053" t="inlineStr">
        <is>
          <t>051-413-0766</t>
        </is>
      </c>
      <c r="H1053" s="15" t="n">
        <v>39</v>
      </c>
      <c r="I1053" s="15" t="n">
        <v>6</v>
      </c>
      <c r="J1053" s="15" t="n">
        <v>0</v>
      </c>
      <c r="K1053" s="15" t="n">
        <v>5</v>
      </c>
      <c r="L1053" s="15" t="n">
        <v>0</v>
      </c>
      <c r="M1053" s="15" t="n">
        <v>0</v>
      </c>
      <c r="N1053" s="15" t="n">
        <v>0</v>
      </c>
      <c r="O1053" s="15" t="n">
        <v>3</v>
      </c>
      <c r="P1053" s="15" t="n">
        <v>0</v>
      </c>
      <c r="Q1053" s="15" t="n">
        <v>0</v>
      </c>
      <c r="R1053" s="15" t="n">
        <v>0</v>
      </c>
      <c r="S1053" s="15" t="n">
        <v>3</v>
      </c>
      <c r="T1053" s="14">
        <f>IF(COUNT(I1053:S1053)=0,"",SUM(I1053:S1053))</f>
        <v/>
      </c>
      <c r="U1053" t="inlineStr"/>
    </row>
    <row r="1054">
      <c r="A1054" t="inlineStr">
        <is>
          <t>부산오션시티푸르지오어린이집</t>
        </is>
      </c>
      <c r="B1054" t="inlineStr">
        <is>
          <t>어린이집</t>
        </is>
      </c>
      <c r="C1054" t="inlineStr">
        <is>
          <t>국공립</t>
        </is>
      </c>
      <c r="D1054" t="inlineStr">
        <is>
          <t>영도구</t>
        </is>
      </c>
      <c r="E1054" t="inlineStr">
        <is>
          <t>부산광역시 영도구 동삼오션로 30 관리동</t>
        </is>
      </c>
      <c r="F1054" t="inlineStr"/>
      <c r="G1054" t="inlineStr">
        <is>
          <t>051-403-3733</t>
        </is>
      </c>
      <c r="H1054" s="15" t="n">
        <v>66</v>
      </c>
      <c r="I1054" s="15" t="n">
        <v>11</v>
      </c>
      <c r="J1054" s="15" t="n">
        <v>17</v>
      </c>
      <c r="K1054" s="15" t="n">
        <v>16</v>
      </c>
      <c r="L1054" s="15" t="n">
        <v>0</v>
      </c>
      <c r="M1054" s="15" t="n">
        <v>0</v>
      </c>
      <c r="N1054" s="15" t="n">
        <v>0</v>
      </c>
      <c r="O1054" s="15" t="n">
        <v>0</v>
      </c>
      <c r="P1054" s="15" t="n">
        <v>0</v>
      </c>
      <c r="Q1054" s="15" t="n">
        <v>0</v>
      </c>
      <c r="R1054" s="15" t="n">
        <v>0</v>
      </c>
      <c r="S1054" s="15" t="n">
        <v>10</v>
      </c>
      <c r="T1054" s="14">
        <f>IF(COUNT(I1054:S1054)=0,"",SUM(I1054:S1054))</f>
        <v/>
      </c>
      <c r="U1054" t="inlineStr"/>
    </row>
    <row r="1055">
      <c r="A1055" t="inlineStr">
        <is>
          <t>브래뉴어린이집</t>
        </is>
      </c>
      <c r="B1055" t="inlineStr">
        <is>
          <t>어린이집</t>
        </is>
      </c>
      <c r="C1055" t="inlineStr">
        <is>
          <t>국공립</t>
        </is>
      </c>
      <c r="D1055" t="inlineStr">
        <is>
          <t>영도구</t>
        </is>
      </c>
      <c r="E1055" t="inlineStr">
        <is>
          <t>부산광역시 영도구 태종로 260 신도브래뉴아파트 관리동</t>
        </is>
      </c>
      <c r="F1055" t="inlineStr"/>
      <c r="G1055" t="inlineStr">
        <is>
          <t>051-418-8110</t>
        </is>
      </c>
      <c r="H1055" s="15" t="n">
        <v>27</v>
      </c>
      <c r="I1055" s="15" t="n">
        <v>3</v>
      </c>
      <c r="J1055" s="15" t="n">
        <v>5</v>
      </c>
      <c r="K1055" s="15" t="n">
        <v>4</v>
      </c>
      <c r="L1055" s="15" t="n">
        <v>0</v>
      </c>
      <c r="M1055" s="15" t="n">
        <v>0</v>
      </c>
      <c r="N1055" s="15" t="n">
        <v>0</v>
      </c>
      <c r="O1055" s="15" t="n">
        <v>0</v>
      </c>
      <c r="P1055" s="15" t="n">
        <v>0</v>
      </c>
      <c r="Q1055" s="15" t="n">
        <v>0</v>
      </c>
      <c r="R1055" s="15" t="n">
        <v>0</v>
      </c>
      <c r="S1055" s="15" t="n">
        <v>5</v>
      </c>
      <c r="T1055" s="14">
        <f>IF(COUNT(I1055:S1055)=0,"",SUM(I1055:S1055))</f>
        <v/>
      </c>
      <c r="U1055" t="inlineStr"/>
    </row>
    <row r="1056">
      <c r="A1056" t="inlineStr">
        <is>
          <t>삼진어린이집</t>
        </is>
      </c>
      <c r="B1056" t="inlineStr">
        <is>
          <t>어린이집</t>
        </is>
      </c>
      <c r="C1056" t="inlineStr">
        <is>
          <t>국공립</t>
        </is>
      </c>
      <c r="D1056" t="inlineStr">
        <is>
          <t>영도구</t>
        </is>
      </c>
      <c r="E1056" t="inlineStr">
        <is>
          <t>부산광역시 영도구 산정길 138 (신선동3가)</t>
        </is>
      </c>
      <c r="F1056" s="11" t="inlineStr">
        <is>
          <t>https://cafe.naver.com/4135008</t>
        </is>
      </c>
      <c r="G1056" t="inlineStr">
        <is>
          <t>051-413-5008</t>
        </is>
      </c>
      <c r="H1056" s="15" t="n">
        <v>48</v>
      </c>
      <c r="I1056" s="15" t="n">
        <v>0</v>
      </c>
      <c r="J1056" s="15" t="n">
        <v>0</v>
      </c>
      <c r="K1056" s="15" t="n">
        <v>6</v>
      </c>
      <c r="L1056" s="15" t="n">
        <v>0</v>
      </c>
      <c r="M1056" s="15" t="n">
        <v>0</v>
      </c>
      <c r="N1056" s="15" t="n">
        <v>0</v>
      </c>
      <c r="O1056" s="15" t="n">
        <v>5</v>
      </c>
      <c r="P1056" s="15" t="n">
        <v>9</v>
      </c>
      <c r="Q1056" s="15" t="n">
        <v>0</v>
      </c>
      <c r="R1056" s="15" t="n">
        <v>6</v>
      </c>
      <c r="S1056" s="15" t="n">
        <v>5</v>
      </c>
      <c r="T1056" s="14">
        <f>IF(COUNT(I1056:S1056)=0,"",SUM(I1056:S1056))</f>
        <v/>
      </c>
      <c r="U1056" t="inlineStr"/>
    </row>
    <row r="1057">
      <c r="A1057" t="inlineStr">
        <is>
          <t>상리자연어린이집</t>
        </is>
      </c>
      <c r="B1057" t="inlineStr">
        <is>
          <t>어린이집</t>
        </is>
      </c>
      <c r="C1057" t="inlineStr">
        <is>
          <t>국공립</t>
        </is>
      </c>
      <c r="D1057" t="inlineStr">
        <is>
          <t>영도구</t>
        </is>
      </c>
      <c r="E1057" t="inlineStr">
        <is>
          <t>부산광역시 영도구 상리로 63-16 상리종합사회복지관 1층</t>
        </is>
      </c>
      <c r="F1057" t="inlineStr"/>
      <c r="G1057" t="inlineStr">
        <is>
          <t>051-404-5060</t>
        </is>
      </c>
      <c r="H1057" s="15" t="n">
        <v>52</v>
      </c>
      <c r="I1057" s="15" t="n">
        <v>0</v>
      </c>
      <c r="J1057" s="15" t="n">
        <v>4</v>
      </c>
      <c r="K1057" s="15" t="n">
        <v>8</v>
      </c>
      <c r="L1057" s="15" t="n">
        <v>6</v>
      </c>
      <c r="M1057" s="15" t="n">
        <v>0</v>
      </c>
      <c r="N1057" s="15" t="n">
        <v>0</v>
      </c>
      <c r="O1057" s="15" t="n">
        <v>0</v>
      </c>
      <c r="P1057" s="15" t="n">
        <v>16</v>
      </c>
      <c r="Q1057" s="15" t="n">
        <v>0</v>
      </c>
      <c r="R1057" s="15" t="n">
        <v>0</v>
      </c>
      <c r="S1057" s="15" t="n">
        <v>4</v>
      </c>
      <c r="T1057" s="14">
        <f>IF(COUNT(I1057:S1057)=0,"",SUM(I1057:S1057))</f>
        <v/>
      </c>
      <c r="U1057" t="inlineStr"/>
    </row>
    <row r="1058">
      <c r="A1058" t="inlineStr">
        <is>
          <t>새싹어린이집</t>
        </is>
      </c>
      <c r="B1058" t="inlineStr">
        <is>
          <t>어린이집</t>
        </is>
      </c>
      <c r="C1058" t="inlineStr">
        <is>
          <t>민간</t>
        </is>
      </c>
      <c r="D1058" t="inlineStr">
        <is>
          <t>영도구</t>
        </is>
      </c>
      <c r="E1058" t="inlineStr">
        <is>
          <t>부산광역시 영도구 절영로490번길 63 (동삼동)</t>
        </is>
      </c>
      <c r="F1058" t="inlineStr"/>
      <c r="G1058" t="inlineStr">
        <is>
          <t>051-403-2336</t>
        </is>
      </c>
      <c r="H1058" s="15" t="n">
        <v>60</v>
      </c>
      <c r="I1058" s="15" t="n">
        <v>0</v>
      </c>
      <c r="J1058" s="15" t="n">
        <v>0</v>
      </c>
      <c r="K1058" s="15" t="n">
        <v>0</v>
      </c>
      <c r="L1058" s="15" t="n">
        <v>0</v>
      </c>
      <c r="M1058" s="15" t="n">
        <v>0</v>
      </c>
      <c r="N1058" s="15" t="n">
        <v>0</v>
      </c>
      <c r="O1058" s="15" t="n">
        <v>5</v>
      </c>
      <c r="P1058" s="15" t="n">
        <v>16</v>
      </c>
      <c r="Q1058" s="15" t="n">
        <v>0</v>
      </c>
      <c r="R1058" s="15" t="n">
        <v>0</v>
      </c>
      <c r="S1058" s="15" t="n">
        <v>8</v>
      </c>
      <c r="T1058" s="14">
        <f>IF(COUNT(I1058:S1058)=0,"",SUM(I1058:S1058))</f>
        <v/>
      </c>
      <c r="U1058" t="inlineStr"/>
    </row>
    <row r="1059">
      <c r="A1059" t="inlineStr">
        <is>
          <t>센트럴에일린의뜰어린이집</t>
        </is>
      </c>
      <c r="B1059" t="inlineStr">
        <is>
          <t>어린이집</t>
        </is>
      </c>
      <c r="C1059" t="inlineStr">
        <is>
          <t>국공립</t>
        </is>
      </c>
      <c r="D1059" t="inlineStr">
        <is>
          <t>영도구</t>
        </is>
      </c>
      <c r="E1059" t="inlineStr">
        <is>
          <t>부산광역시 영도구 태종로 172 센트럴 에일린의 뜰 아파트 관리동</t>
        </is>
      </c>
      <c r="F1059" t="inlineStr"/>
      <c r="G1059" t="inlineStr">
        <is>
          <t>051-414-1400</t>
        </is>
      </c>
      <c r="H1059" s="15" t="n">
        <v>81</v>
      </c>
      <c r="I1059" s="15" t="n">
        <v>10</v>
      </c>
      <c r="J1059" s="15" t="n">
        <v>20</v>
      </c>
      <c r="K1059" s="15" t="n">
        <v>20</v>
      </c>
      <c r="L1059" s="15" t="n">
        <v>11</v>
      </c>
      <c r="M1059" s="15" t="n">
        <v>0</v>
      </c>
      <c r="N1059" s="15" t="n">
        <v>0</v>
      </c>
      <c r="O1059" s="15" t="n">
        <v>0</v>
      </c>
      <c r="P1059" s="15" t="n">
        <v>9</v>
      </c>
      <c r="Q1059" s="15" t="n">
        <v>0</v>
      </c>
      <c r="R1059" s="15" t="n">
        <v>0</v>
      </c>
      <c r="S1059" s="15" t="n">
        <v>33</v>
      </c>
      <c r="T1059" s="14">
        <f>IF(COUNT(I1059:S1059)=0,"",SUM(I1059:S1059))</f>
        <v/>
      </c>
      <c r="U1059" t="inlineStr"/>
    </row>
    <row r="1060">
      <c r="A1060" t="inlineStr">
        <is>
          <t>신선어린이집</t>
        </is>
      </c>
      <c r="B1060" t="inlineStr">
        <is>
          <t>어린이집</t>
        </is>
      </c>
      <c r="C1060" t="inlineStr">
        <is>
          <t>국공립</t>
        </is>
      </c>
      <c r="D1060" t="inlineStr">
        <is>
          <t>영도구</t>
        </is>
      </c>
      <c r="E1060" t="inlineStr">
        <is>
          <t>부산광역시 영도구 금잔디길 54 (신선동2가)</t>
        </is>
      </c>
      <c r="F1060" t="inlineStr"/>
      <c r="G1060" t="inlineStr">
        <is>
          <t>051-416-5843</t>
        </is>
      </c>
      <c r="H1060" s="15" t="n">
        <v>72</v>
      </c>
      <c r="I1060" s="15" t="n">
        <v>9</v>
      </c>
      <c r="J1060" s="15" t="n">
        <v>11</v>
      </c>
      <c r="K1060" s="15" t="n">
        <v>5</v>
      </c>
      <c r="L1060" s="15" t="n">
        <v>0</v>
      </c>
      <c r="M1060" s="15" t="n">
        <v>0</v>
      </c>
      <c r="N1060" s="15" t="n">
        <v>0</v>
      </c>
      <c r="O1060" s="15" t="n">
        <v>7</v>
      </c>
      <c r="P1060" s="15" t="n">
        <v>23</v>
      </c>
      <c r="Q1060" s="15" t="n">
        <v>13</v>
      </c>
      <c r="R1060" s="15" t="n">
        <v>0</v>
      </c>
      <c r="S1060" s="15" t="n">
        <v>32</v>
      </c>
      <c r="T1060" s="14">
        <f>IF(COUNT(I1060:S1060)=0,"",SUM(I1060:S1060))</f>
        <v/>
      </c>
      <c r="U1060" t="inlineStr"/>
    </row>
    <row r="1061">
      <c r="A1061" t="inlineStr">
        <is>
          <t>아이사랑어린이집</t>
        </is>
      </c>
      <c r="B1061" t="inlineStr">
        <is>
          <t>어린이집</t>
        </is>
      </c>
      <c r="C1061" t="inlineStr">
        <is>
          <t>민간</t>
        </is>
      </c>
      <c r="D1061" t="inlineStr">
        <is>
          <t>영도구</t>
        </is>
      </c>
      <c r="E1061" t="inlineStr">
        <is>
          <t>부산광역시 영도구 상리로 1 동삼그린힐아파트 관리사무소 2층</t>
        </is>
      </c>
      <c r="F1061" t="inlineStr"/>
      <c r="G1061" t="inlineStr">
        <is>
          <t>051-404-1919</t>
        </is>
      </c>
      <c r="H1061" s="15" t="n">
        <v>42</v>
      </c>
      <c r="I1061" s="15" t="n">
        <v>0</v>
      </c>
      <c r="J1061" s="15" t="n">
        <v>7</v>
      </c>
      <c r="K1061" s="15" t="n">
        <v>6</v>
      </c>
      <c r="L1061" s="15" t="n">
        <v>6</v>
      </c>
      <c r="M1061" s="15" t="n">
        <v>0</v>
      </c>
      <c r="N1061" s="15" t="n">
        <v>0</v>
      </c>
      <c r="O1061" s="15" t="n">
        <v>0</v>
      </c>
      <c r="P1061" s="15" t="n">
        <v>10</v>
      </c>
      <c r="Q1061" s="15" t="n">
        <v>0</v>
      </c>
      <c r="R1061" s="15" t="n">
        <v>0</v>
      </c>
      <c r="S1061" s="15" t="n">
        <v>6</v>
      </c>
      <c r="T1061" s="14">
        <f>IF(COUNT(I1061:S1061)=0,"",SUM(I1061:S1061))</f>
        <v/>
      </c>
      <c r="U1061" t="inlineStr"/>
    </row>
    <row r="1062">
      <c r="A1062" t="inlineStr">
        <is>
          <t>아이존어린이집</t>
        </is>
      </c>
      <c r="B1062" t="inlineStr">
        <is>
          <t>어린이집</t>
        </is>
      </c>
      <c r="C1062" t="inlineStr">
        <is>
          <t>가정</t>
        </is>
      </c>
      <c r="D1062" t="inlineStr">
        <is>
          <t>영도구</t>
        </is>
      </c>
      <c r="E1062" t="inlineStr">
        <is>
          <t>부산광역시 영도구 영선동2가 영선대로 82 105동 105호(영선동2가, 동부산아이존빌)</t>
        </is>
      </c>
      <c r="F1062" t="inlineStr"/>
      <c r="G1062" t="inlineStr">
        <is>
          <t>051-415-6636</t>
        </is>
      </c>
      <c r="H1062" s="15" t="n">
        <v>20</v>
      </c>
      <c r="I1062" s="15" t="n">
        <v>2</v>
      </c>
      <c r="J1062" s="15" t="n">
        <v>6</v>
      </c>
      <c r="K1062" s="15" t="n">
        <v>0</v>
      </c>
      <c r="L1062" s="15" t="n">
        <v>0</v>
      </c>
      <c r="M1062" s="15" t="n">
        <v>0</v>
      </c>
      <c r="N1062" s="15" t="n">
        <v>0</v>
      </c>
      <c r="O1062" s="15" t="n">
        <v>0</v>
      </c>
      <c r="P1062" s="15" t="n">
        <v>0</v>
      </c>
      <c r="Q1062" s="15" t="n">
        <v>6</v>
      </c>
      <c r="R1062" s="15" t="n">
        <v>0</v>
      </c>
      <c r="S1062" s="15" t="n">
        <v>8</v>
      </c>
      <c r="T1062" s="14">
        <f>IF(COUNT(I1062:S1062)=0,"",SUM(I1062:S1062))</f>
        <v/>
      </c>
      <c r="U1062" t="inlineStr"/>
    </row>
    <row r="1063">
      <c r="A1063" t="inlineStr">
        <is>
          <t>영도초등학교어린이집</t>
        </is>
      </c>
      <c r="B1063" t="inlineStr">
        <is>
          <t>어린이집</t>
        </is>
      </c>
      <c r="C1063" t="inlineStr">
        <is>
          <t>국공립</t>
        </is>
      </c>
      <c r="D1063" t="inlineStr">
        <is>
          <t>영도구</t>
        </is>
      </c>
      <c r="E1063" t="inlineStr">
        <is>
          <t>부산광역시 영도구 꿈나무길 41 (신선동1가)</t>
        </is>
      </c>
      <c r="F1063" t="inlineStr"/>
      <c r="G1063" t="inlineStr">
        <is>
          <t>051-412-4664</t>
        </is>
      </c>
      <c r="H1063" s="15" t="n">
        <v>47</v>
      </c>
      <c r="I1063" s="15" t="n">
        <v>9</v>
      </c>
      <c r="J1063" s="15" t="n">
        <v>10</v>
      </c>
      <c r="K1063" s="15" t="n">
        <v>28</v>
      </c>
      <c r="L1063" s="15" t="n">
        <v>0</v>
      </c>
      <c r="M1063" s="15" t="n">
        <v>0</v>
      </c>
      <c r="N1063" s="15" t="n">
        <v>0</v>
      </c>
      <c r="O1063" s="15" t="n">
        <v>0</v>
      </c>
      <c r="P1063" s="15" t="n">
        <v>0</v>
      </c>
      <c r="Q1063" s="15" t="n">
        <v>0</v>
      </c>
      <c r="R1063" s="15" t="n">
        <v>0</v>
      </c>
      <c r="S1063" s="15" t="n">
        <v>5</v>
      </c>
      <c r="T1063" s="14">
        <f>IF(COUNT(I1063:S1063)=0,"",SUM(I1063:S1063))</f>
        <v/>
      </c>
      <c r="U1063" t="inlineStr"/>
    </row>
    <row r="1064">
      <c r="A1064" t="inlineStr">
        <is>
          <t>영선어린이집</t>
        </is>
      </c>
      <c r="B1064" t="inlineStr">
        <is>
          <t>어린이집</t>
        </is>
      </c>
      <c r="C1064" t="inlineStr">
        <is>
          <t>국공립</t>
        </is>
      </c>
      <c r="D1064" t="inlineStr">
        <is>
          <t>영도구</t>
        </is>
      </c>
      <c r="E1064" t="inlineStr">
        <is>
          <t>부산광역시 영도구 향토길 22 (영선동4가)</t>
        </is>
      </c>
      <c r="F1064" s="11" t="inlineStr">
        <is>
          <t>https://blog.naver.com/ys4963_</t>
        </is>
      </c>
      <c r="G1064" t="inlineStr">
        <is>
          <t>051-416-4963</t>
        </is>
      </c>
      <c r="H1064" s="15" t="n">
        <v>45</v>
      </c>
      <c r="I1064" s="15" t="n">
        <v>0</v>
      </c>
      <c r="J1064" s="15" t="n">
        <v>0</v>
      </c>
      <c r="K1064" s="15" t="n">
        <v>0</v>
      </c>
      <c r="L1064" s="15" t="n">
        <v>0</v>
      </c>
      <c r="M1064" s="15" t="n">
        <v>0</v>
      </c>
      <c r="N1064" s="15" t="n">
        <v>0</v>
      </c>
      <c r="O1064" s="15" t="n">
        <v>6</v>
      </c>
      <c r="P1064" s="15" t="n">
        <v>6</v>
      </c>
      <c r="Q1064" s="15" t="n">
        <v>0</v>
      </c>
      <c r="R1064" s="15" t="n">
        <v>6</v>
      </c>
      <c r="S1064" s="15" t="n">
        <v>6</v>
      </c>
      <c r="T1064" s="14">
        <f>IF(COUNT(I1064:S1064)=0,"",SUM(I1064:S1064))</f>
        <v/>
      </c>
      <c r="U1064" t="inlineStr"/>
    </row>
    <row r="1065">
      <c r="A1065" t="inlineStr">
        <is>
          <t>영지어린이집</t>
        </is>
      </c>
      <c r="B1065" t="inlineStr">
        <is>
          <t>어린이집</t>
        </is>
      </c>
      <c r="C1065" t="inlineStr">
        <is>
          <t>민간</t>
        </is>
      </c>
      <c r="D1065" t="inlineStr">
        <is>
          <t>영도구</t>
        </is>
      </c>
      <c r="E1065" t="inlineStr">
        <is>
          <t>부산광역시 영도구 와치로 2-13</t>
        </is>
      </c>
      <c r="F1065" s="11" t="inlineStr">
        <is>
          <t>http://영지어린이집.kr</t>
        </is>
      </c>
      <c r="G1065" t="inlineStr">
        <is>
          <t>051-417-3534</t>
        </is>
      </c>
      <c r="H1065" s="15" t="n">
        <v>99</v>
      </c>
      <c r="I1065" s="15" t="n">
        <v>0</v>
      </c>
      <c r="J1065" s="15" t="n">
        <v>4</v>
      </c>
      <c r="K1065" s="15" t="n">
        <v>10</v>
      </c>
      <c r="L1065" s="15" t="n">
        <v>11</v>
      </c>
      <c r="M1065" s="15" t="n">
        <v>0</v>
      </c>
      <c r="N1065" s="15" t="n">
        <v>0</v>
      </c>
      <c r="O1065" s="15" t="n">
        <v>3</v>
      </c>
      <c r="P1065" s="15" t="n">
        <v>8</v>
      </c>
      <c r="Q1065" s="15" t="n">
        <v>0</v>
      </c>
      <c r="R1065" s="15" t="n">
        <v>0</v>
      </c>
      <c r="S1065" s="15" t="n">
        <v>15</v>
      </c>
      <c r="T1065" s="14">
        <f>IF(COUNT(I1065:S1065)=0,"",SUM(I1065:S1065))</f>
        <v/>
      </c>
      <c r="U1065" t="inlineStr"/>
    </row>
    <row r="1066">
      <c r="A1066" t="inlineStr">
        <is>
          <t>오션라이프에일린의뜰1단지어린이집</t>
        </is>
      </c>
      <c r="B1066" t="inlineStr">
        <is>
          <t>어린이집</t>
        </is>
      </c>
      <c r="C1066" t="inlineStr">
        <is>
          <t>국공립</t>
        </is>
      </c>
      <c r="D1066" t="inlineStr">
        <is>
          <t>영도구</t>
        </is>
      </c>
      <c r="E1066" t="inlineStr">
        <is>
          <t>부산광역시 영도구 태종로 611 오션라이프에일린의뜰1단지 관리동</t>
        </is>
      </c>
      <c r="F1066" t="inlineStr"/>
      <c r="G1066" t="inlineStr">
        <is>
          <t>051-403-2029</t>
        </is>
      </c>
      <c r="H1066" s="15" t="n">
        <v>51</v>
      </c>
      <c r="I1066" s="15" t="n">
        <v>6</v>
      </c>
      <c r="J1066" s="15" t="n">
        <v>10</v>
      </c>
      <c r="K1066" s="15" t="n">
        <v>11</v>
      </c>
      <c r="L1066" s="15" t="n">
        <v>0</v>
      </c>
      <c r="M1066" s="15" t="n">
        <v>0</v>
      </c>
      <c r="N1066" s="15" t="n">
        <v>0</v>
      </c>
      <c r="O1066" s="15" t="n">
        <v>3</v>
      </c>
      <c r="P1066" s="15" t="n">
        <v>10</v>
      </c>
      <c r="Q1066" s="15" t="n">
        <v>0</v>
      </c>
      <c r="R1066" s="15" t="n">
        <v>0</v>
      </c>
      <c r="S1066" s="15" t="n">
        <v>15</v>
      </c>
      <c r="T1066" s="14">
        <f>IF(COUNT(I1066:S1066)=0,"",SUM(I1066:S1066))</f>
        <v/>
      </c>
      <c r="U1066" t="inlineStr"/>
    </row>
    <row r="1067">
      <c r="A1067" t="inlineStr">
        <is>
          <t>오션라이프에일린의뜰2단지어린이집</t>
        </is>
      </c>
      <c r="B1067" t="inlineStr">
        <is>
          <t>어린이집</t>
        </is>
      </c>
      <c r="C1067" t="inlineStr">
        <is>
          <t>국공립</t>
        </is>
      </c>
      <c r="D1067" t="inlineStr">
        <is>
          <t>영도구</t>
        </is>
      </c>
      <c r="E1067" t="inlineStr">
        <is>
          <t>부산광역시 영도구 태종로 611 오션라이프에일린의뜰2단지 관리동</t>
        </is>
      </c>
      <c r="F1067" t="inlineStr"/>
      <c r="G1067" t="inlineStr">
        <is>
          <t>051-404-1123</t>
        </is>
      </c>
      <c r="H1067" s="15" t="n">
        <v>45</v>
      </c>
      <c r="I1067" s="15" t="n">
        <v>5</v>
      </c>
      <c r="J1067" s="15" t="n">
        <v>11</v>
      </c>
      <c r="K1067" s="15" t="n">
        <v>6</v>
      </c>
      <c r="L1067" s="15" t="n">
        <v>0</v>
      </c>
      <c r="M1067" s="15" t="n">
        <v>0</v>
      </c>
      <c r="N1067" s="15" t="n">
        <v>0</v>
      </c>
      <c r="O1067" s="15" t="n">
        <v>0</v>
      </c>
      <c r="P1067" s="15" t="n">
        <v>0</v>
      </c>
      <c r="Q1067" s="15" t="n">
        <v>7</v>
      </c>
      <c r="R1067" s="15" t="n">
        <v>0</v>
      </c>
      <c r="S1067" s="15" t="n">
        <v>10</v>
      </c>
      <c r="T1067" s="14">
        <f>IF(COUNT(I1067:S1067)=0,"",SUM(I1067:S1067))</f>
        <v/>
      </c>
      <c r="U1067" t="inlineStr"/>
    </row>
    <row r="1068">
      <c r="A1068" t="inlineStr">
        <is>
          <t>와치어린이집</t>
        </is>
      </c>
      <c r="B1068" t="inlineStr">
        <is>
          <t>어린이집</t>
        </is>
      </c>
      <c r="C1068" t="inlineStr">
        <is>
          <t>국공립</t>
        </is>
      </c>
      <c r="D1068" t="inlineStr">
        <is>
          <t>영도구</t>
        </is>
      </c>
      <c r="E1068" t="inlineStr">
        <is>
          <t>부산광역시 영도구 청학서로 11 (청학동)</t>
        </is>
      </c>
      <c r="F1068" s="11" t="inlineStr">
        <is>
          <t>https://www.instagram.com/wachii.kids</t>
        </is>
      </c>
      <c r="G1068" t="inlineStr">
        <is>
          <t>051-416-6602</t>
        </is>
      </c>
      <c r="H1068" s="15" t="n">
        <v>42</v>
      </c>
      <c r="I1068" s="15" t="n">
        <v>0</v>
      </c>
      <c r="J1068" s="15" t="n">
        <v>4</v>
      </c>
      <c r="K1068" s="15" t="n">
        <v>0</v>
      </c>
      <c r="L1068" s="15" t="n">
        <v>0</v>
      </c>
      <c r="M1068" s="15" t="n">
        <v>0</v>
      </c>
      <c r="N1068" s="15" t="n">
        <v>0</v>
      </c>
      <c r="O1068" s="15" t="n">
        <v>0</v>
      </c>
      <c r="P1068" s="15" t="n">
        <v>13</v>
      </c>
      <c r="Q1068" s="15" t="n">
        <v>7</v>
      </c>
      <c r="R1068" s="15" t="n">
        <v>0</v>
      </c>
      <c r="S1068" s="15" t="n">
        <v>17</v>
      </c>
      <c r="T1068" s="14">
        <f>IF(COUNT(I1068:S1068)=0,"",SUM(I1068:S1068))</f>
        <v/>
      </c>
      <c r="U1068" t="inlineStr"/>
    </row>
    <row r="1069">
      <c r="A1069" t="inlineStr">
        <is>
          <t>원광어린이집</t>
        </is>
      </c>
      <c r="B1069" t="inlineStr">
        <is>
          <t>어린이집</t>
        </is>
      </c>
      <c r="C1069" t="inlineStr">
        <is>
          <t>법인·단체등</t>
        </is>
      </c>
      <c r="D1069" t="inlineStr">
        <is>
          <t>영도구</t>
        </is>
      </c>
      <c r="E1069" t="inlineStr">
        <is>
          <t>부산광역시 영도구 태종로409번길 16-5</t>
        </is>
      </c>
      <c r="F1069" t="inlineStr"/>
      <c r="G1069" t="inlineStr">
        <is>
          <t>051-416-5919</t>
        </is>
      </c>
      <c r="H1069" s="15" t="n">
        <v>53</v>
      </c>
      <c r="I1069" s="15" t="n">
        <v>2</v>
      </c>
      <c r="J1069" s="15" t="n">
        <v>4</v>
      </c>
      <c r="K1069" s="15" t="n">
        <v>5</v>
      </c>
      <c r="L1069" s="15" t="n">
        <v>0</v>
      </c>
      <c r="M1069" s="15" t="n">
        <v>0</v>
      </c>
      <c r="N1069" s="15" t="n">
        <v>0</v>
      </c>
      <c r="O1069" s="15" t="n">
        <v>6</v>
      </c>
      <c r="P1069" s="15" t="n">
        <v>22</v>
      </c>
      <c r="Q1069" s="15" t="n">
        <v>0</v>
      </c>
      <c r="R1069" s="15" t="n">
        <v>0</v>
      </c>
      <c r="S1069" s="15" t="n">
        <v>9</v>
      </c>
      <c r="T1069" s="14">
        <f>IF(COUNT(I1069:S1069)=0,"",SUM(I1069:S1069))</f>
        <v/>
      </c>
      <c r="U1069" t="inlineStr"/>
    </row>
    <row r="1070">
      <c r="A1070" t="inlineStr">
        <is>
          <t>절영어린이집</t>
        </is>
      </c>
      <c r="B1070" t="inlineStr">
        <is>
          <t>어린이집</t>
        </is>
      </c>
      <c r="C1070" t="inlineStr">
        <is>
          <t>국공립</t>
        </is>
      </c>
      <c r="D1070" t="inlineStr">
        <is>
          <t>영도구</t>
        </is>
      </c>
      <c r="E1070" t="inlineStr">
        <is>
          <t>부산광역시 영도구 함지로 33-10 절영종합사회복지관 2층 절영어린이집</t>
        </is>
      </c>
      <c r="F1070" s="11" t="inlineStr">
        <is>
          <t>http://www.jy.or.kr</t>
        </is>
      </c>
      <c r="G1070" t="inlineStr">
        <is>
          <t>051-405-8254</t>
        </is>
      </c>
      <c r="H1070" s="15" t="n">
        <v>93</v>
      </c>
      <c r="I1070" s="15" t="n">
        <v>2</v>
      </c>
      <c r="J1070" s="15" t="n">
        <v>5</v>
      </c>
      <c r="K1070" s="15" t="n">
        <v>6</v>
      </c>
      <c r="L1070" s="15" t="n">
        <v>17</v>
      </c>
      <c r="M1070" s="15" t="n">
        <v>0</v>
      </c>
      <c r="N1070" s="15" t="n">
        <v>11</v>
      </c>
      <c r="O1070" s="15" t="n">
        <v>3</v>
      </c>
      <c r="P1070" s="15" t="n">
        <v>11</v>
      </c>
      <c r="Q1070" s="15" t="n">
        <v>0</v>
      </c>
      <c r="R1070" s="15" t="n">
        <v>3</v>
      </c>
      <c r="S1070" s="15" t="n">
        <v>47</v>
      </c>
      <c r="T1070" s="14">
        <f>IF(COUNT(I1070:S1070)=0,"",SUM(I1070:S1070))</f>
        <v/>
      </c>
      <c r="U1070" t="inlineStr"/>
    </row>
    <row r="1071">
      <c r="A1071" t="inlineStr">
        <is>
          <t>지성어린이집</t>
        </is>
      </c>
      <c r="B1071" t="inlineStr">
        <is>
          <t>어린이집</t>
        </is>
      </c>
      <c r="C1071" t="inlineStr">
        <is>
          <t>사회복지법인</t>
        </is>
      </c>
      <c r="D1071" t="inlineStr">
        <is>
          <t>영도구</t>
        </is>
      </c>
      <c r="E1071" t="inlineStr">
        <is>
          <t>부산광역시 영도구 아랫서발길 58 6통3반 (동삼동)</t>
        </is>
      </c>
      <c r="F1071" s="11" t="inlineStr">
        <is>
          <t>http://cafe.naver.com/4057404</t>
        </is>
      </c>
      <c r="G1071" t="inlineStr">
        <is>
          <t>051-405-7404</t>
        </is>
      </c>
      <c r="H1071" s="15" t="n">
        <v>98</v>
      </c>
      <c r="I1071" s="15" t="n">
        <v>2</v>
      </c>
      <c r="J1071" s="15" t="n">
        <v>5</v>
      </c>
      <c r="K1071" s="15" t="n">
        <v>6</v>
      </c>
      <c r="L1071" s="15" t="n">
        <v>0</v>
      </c>
      <c r="M1071" s="15" t="n">
        <v>0</v>
      </c>
      <c r="N1071" s="15" t="n">
        <v>0</v>
      </c>
      <c r="O1071" s="15" t="n">
        <v>0</v>
      </c>
      <c r="P1071" s="15" t="n">
        <v>6</v>
      </c>
      <c r="Q1071" s="15" t="n">
        <v>6</v>
      </c>
      <c r="R1071" s="15" t="n">
        <v>0</v>
      </c>
      <c r="S1071" s="15" t="n">
        <v>5</v>
      </c>
      <c r="T1071" s="14">
        <f>IF(COUNT(I1071:S1071)=0,"",SUM(I1071:S1071))</f>
        <v/>
      </c>
      <c r="U1071" t="inlineStr"/>
    </row>
    <row r="1072">
      <c r="A1072" t="inlineStr">
        <is>
          <t>한국해양어린이집</t>
        </is>
      </c>
      <c r="B1072" t="inlineStr">
        <is>
          <t>어린이집</t>
        </is>
      </c>
      <c r="C1072" t="inlineStr">
        <is>
          <t>직장</t>
        </is>
      </c>
      <c r="D1072" t="inlineStr">
        <is>
          <t>영도구</t>
        </is>
      </c>
      <c r="E1072" t="inlineStr">
        <is>
          <t>부산광역시 영도구 태종로 727</t>
        </is>
      </c>
      <c r="F1072" t="inlineStr"/>
      <c r="G1072" t="inlineStr">
        <is>
          <t>051-410-5300</t>
        </is>
      </c>
      <c r="H1072" s="15" t="n">
        <v>78</v>
      </c>
      <c r="I1072" s="15" t="n">
        <v>0</v>
      </c>
      <c r="J1072" s="15" t="n">
        <v>8</v>
      </c>
      <c r="K1072" s="15" t="n">
        <v>9</v>
      </c>
      <c r="L1072" s="15" t="n">
        <v>5</v>
      </c>
      <c r="M1072" s="15" t="n">
        <v>0</v>
      </c>
      <c r="N1072" s="15" t="n">
        <v>0</v>
      </c>
      <c r="O1072" s="15" t="n">
        <v>0</v>
      </c>
      <c r="P1072" s="15" t="n">
        <v>7</v>
      </c>
      <c r="Q1072" s="15" t="n">
        <v>0</v>
      </c>
      <c r="R1072" s="15" t="n">
        <v>0</v>
      </c>
      <c r="S1072" s="15" t="n">
        <v>17</v>
      </c>
      <c r="T1072" s="14">
        <f>IF(COUNT(I1072:S1072)=0,"",SUM(I1072:S1072))</f>
        <v/>
      </c>
      <c r="U1072" t="inlineStr"/>
    </row>
    <row r="1073">
      <c r="A1073" t="inlineStr">
        <is>
          <t>해돋이어린이집</t>
        </is>
      </c>
      <c r="B1073" t="inlineStr">
        <is>
          <t>어린이집</t>
        </is>
      </c>
      <c r="C1073" t="inlineStr">
        <is>
          <t>민간</t>
        </is>
      </c>
      <c r="D1073" t="inlineStr">
        <is>
          <t>영도구</t>
        </is>
      </c>
      <c r="E1073" t="inlineStr">
        <is>
          <t>부산광역시 영도구 절영로7번길 4 (봉래동1가)</t>
        </is>
      </c>
      <c r="F1073" s="11" t="inlineStr">
        <is>
          <t>http://haezzang5389@hanmail.net</t>
        </is>
      </c>
      <c r="G1073" t="inlineStr">
        <is>
          <t>051-415-5389</t>
        </is>
      </c>
      <c r="H1073" s="15" t="n">
        <v>85</v>
      </c>
      <c r="I1073" s="15" t="n">
        <v>9</v>
      </c>
      <c r="J1073" s="15" t="n">
        <v>0</v>
      </c>
      <c r="K1073" s="15" t="n">
        <v>15</v>
      </c>
      <c r="L1073" s="15" t="n">
        <v>11</v>
      </c>
      <c r="M1073" s="15" t="n">
        <v>0</v>
      </c>
      <c r="N1073" s="15" t="n">
        <v>0</v>
      </c>
      <c r="O1073" s="15" t="n">
        <v>15</v>
      </c>
      <c r="P1073" s="15" t="n">
        <v>28</v>
      </c>
      <c r="Q1073" s="15" t="n">
        <v>0</v>
      </c>
      <c r="R1073" s="15" t="n">
        <v>0</v>
      </c>
      <c r="S1073" s="15" t="n">
        <v>5</v>
      </c>
      <c r="T1073" s="14">
        <f>IF(COUNT(I1073:S1073)=0,"",SUM(I1073:S1073))</f>
        <v/>
      </c>
      <c r="U1073" t="inlineStr"/>
    </row>
    <row r="1074">
      <c r="A1074" t="inlineStr">
        <is>
          <t>효성어린이집</t>
        </is>
      </c>
      <c r="B1074" t="inlineStr">
        <is>
          <t>어린이집</t>
        </is>
      </c>
      <c r="C1074" t="inlineStr">
        <is>
          <t>법인·단체등</t>
        </is>
      </c>
      <c r="D1074" t="inlineStr">
        <is>
          <t>영도구</t>
        </is>
      </c>
      <c r="E1074" t="inlineStr">
        <is>
          <t>부산광역시 영도구 청학로 35 (청학동)</t>
        </is>
      </c>
      <c r="F1074" t="inlineStr"/>
      <c r="G1074" t="inlineStr">
        <is>
          <t>051-418-1296</t>
        </is>
      </c>
      <c r="H1074" s="15" t="n">
        <v>39</v>
      </c>
      <c r="I1074" s="15" t="n">
        <v>2</v>
      </c>
      <c r="J1074" s="15" t="n">
        <v>5</v>
      </c>
      <c r="K1074" s="15" t="n">
        <v>0</v>
      </c>
      <c r="L1074" s="15" t="n">
        <v>0</v>
      </c>
      <c r="M1074" s="15" t="n">
        <v>0</v>
      </c>
      <c r="N1074" s="15" t="n">
        <v>0</v>
      </c>
      <c r="O1074" s="15" t="n">
        <v>5</v>
      </c>
      <c r="P1074" s="15" t="n">
        <v>9</v>
      </c>
      <c r="Q1074" s="15" t="n">
        <v>0</v>
      </c>
      <c r="R1074" s="15" t="n">
        <v>0</v>
      </c>
      <c r="S1074" s="15" t="n">
        <v>13</v>
      </c>
      <c r="T1074" s="14">
        <f>IF(COUNT(I1074:S1074)=0,"",SUM(I1074:S1074))</f>
        <v/>
      </c>
      <c r="U1074" t="inlineStr"/>
    </row>
    <row r="1075">
      <c r="A1075" t="inlineStr">
        <is>
          <t>노틀담어린이집</t>
        </is>
      </c>
      <c r="B1075" t="inlineStr">
        <is>
          <t>어린이집</t>
        </is>
      </c>
      <c r="C1075" t="inlineStr">
        <is>
          <t>국공립</t>
        </is>
      </c>
      <c r="D1075" t="inlineStr">
        <is>
          <t>중구</t>
        </is>
      </c>
      <c r="E1075" t="inlineStr">
        <is>
          <t>부산광역시 중구 망양로 309 (대청동4가)</t>
        </is>
      </c>
      <c r="F1075" s="11" t="inlineStr">
        <is>
          <t>http://cafe.daum.net/ntdbusan</t>
        </is>
      </c>
      <c r="G1075" t="inlineStr">
        <is>
          <t>051-464-0570</t>
        </is>
      </c>
      <c r="H1075" s="15" t="n">
        <v>99</v>
      </c>
      <c r="I1075" s="15" t="n">
        <v>0</v>
      </c>
      <c r="J1075" s="15" t="n">
        <v>3</v>
      </c>
      <c r="K1075" s="15" t="n">
        <v>7</v>
      </c>
      <c r="L1075" s="15" t="n">
        <v>0</v>
      </c>
      <c r="M1075" s="15" t="n">
        <v>0</v>
      </c>
      <c r="N1075" s="15" t="n">
        <v>0</v>
      </c>
      <c r="O1075" s="15" t="n">
        <v>0</v>
      </c>
      <c r="P1075" s="15" t="n">
        <v>5</v>
      </c>
      <c r="Q1075" s="15" t="n">
        <v>0</v>
      </c>
      <c r="R1075" s="15" t="n">
        <v>2</v>
      </c>
      <c r="S1075" s="15" t="n">
        <v>12</v>
      </c>
      <c r="T1075" s="14">
        <f>IF(COUNT(I1075:S1075)=0,"",SUM(I1075:S1075))</f>
        <v/>
      </c>
      <c r="U1075" t="inlineStr"/>
    </row>
    <row r="1076">
      <c r="A1076" t="inlineStr">
        <is>
          <t>다사랑어린이집</t>
        </is>
      </c>
      <c r="B1076" t="inlineStr">
        <is>
          <t>어린이집</t>
        </is>
      </c>
      <c r="C1076" t="inlineStr">
        <is>
          <t>국공립</t>
        </is>
      </c>
      <c r="D1076" t="inlineStr">
        <is>
          <t>중구</t>
        </is>
      </c>
      <c r="E1076" t="inlineStr">
        <is>
          <t>부산광역시 중구 보수동1가 보수대로140번길 61 보수동주민센터3층 (보수동1가)</t>
        </is>
      </c>
      <c r="F1076" s="11" t="inlineStr">
        <is>
          <t>http://instagram.com/dasarang2455076</t>
        </is>
      </c>
      <c r="G1076" t="inlineStr">
        <is>
          <t>051-245-5078</t>
        </is>
      </c>
      <c r="H1076" s="15" t="n">
        <v>49</v>
      </c>
      <c r="I1076" s="15" t="n">
        <v>6</v>
      </c>
      <c r="J1076" s="15" t="n">
        <v>15</v>
      </c>
      <c r="K1076" s="15" t="n">
        <v>9</v>
      </c>
      <c r="L1076" s="15" t="n">
        <v>0</v>
      </c>
      <c r="M1076" s="15" t="n">
        <v>0</v>
      </c>
      <c r="N1076" s="15" t="n">
        <v>0</v>
      </c>
      <c r="O1076" s="15" t="n">
        <v>0</v>
      </c>
      <c r="P1076" s="15" t="n">
        <v>9</v>
      </c>
      <c r="Q1076" s="15" t="n">
        <v>0</v>
      </c>
      <c r="R1076" s="15" t="n">
        <v>0</v>
      </c>
      <c r="S1076" s="15" t="n">
        <v>3</v>
      </c>
      <c r="T1076" s="14">
        <f>IF(COUNT(I1076:S1076)=0,"",SUM(I1076:S1076))</f>
        <v/>
      </c>
      <c r="U1076" t="inlineStr"/>
    </row>
    <row r="1077">
      <c r="A1077" t="inlineStr">
        <is>
          <t>대청어린이집</t>
        </is>
      </c>
      <c r="B1077" t="inlineStr">
        <is>
          <t>어린이집</t>
        </is>
      </c>
      <c r="C1077" t="inlineStr">
        <is>
          <t>민간</t>
        </is>
      </c>
      <c r="D1077" t="inlineStr">
        <is>
          <t>중구</t>
        </is>
      </c>
      <c r="E1077" t="inlineStr">
        <is>
          <t>부산광역시 중구 망양로383번안길 25 (영주동)</t>
        </is>
      </c>
      <c r="F1077" t="inlineStr"/>
      <c r="G1077" t="inlineStr">
        <is>
          <t>051-465-2922</t>
        </is>
      </c>
      <c r="H1077" s="15" t="n">
        <v>138</v>
      </c>
      <c r="I1077" s="15" t="n">
        <v>2</v>
      </c>
      <c r="J1077" s="15" t="n">
        <v>0</v>
      </c>
      <c r="K1077" s="15" t="n">
        <v>5</v>
      </c>
      <c r="L1077" s="15" t="n">
        <v>18</v>
      </c>
      <c r="M1077" s="15" t="n">
        <v>0</v>
      </c>
      <c r="N1077" s="15" t="n">
        <v>19</v>
      </c>
      <c r="O1077" s="15" t="n">
        <v>11</v>
      </c>
      <c r="P1077" s="15" t="n">
        <v>11</v>
      </c>
      <c r="Q1077" s="15" t="n">
        <v>0</v>
      </c>
      <c r="R1077" s="15" t="n">
        <v>0</v>
      </c>
      <c r="S1077" s="15" t="n">
        <v>20</v>
      </c>
      <c r="T1077" s="14">
        <f>IF(COUNT(I1077:S1077)=0,"",SUM(I1077:S1077))</f>
        <v/>
      </c>
      <c r="U1077" t="inlineStr"/>
    </row>
    <row r="1078">
      <c r="A1078" t="inlineStr">
        <is>
          <t>메리놀병원어린이집</t>
        </is>
      </c>
      <c r="B1078" t="inlineStr">
        <is>
          <t>어린이집</t>
        </is>
      </c>
      <c r="C1078" t="inlineStr">
        <is>
          <t>직장</t>
        </is>
      </c>
      <c r="D1078" t="inlineStr">
        <is>
          <t>중구</t>
        </is>
      </c>
      <c r="E1078" t="inlineStr">
        <is>
          <t>부산광역시 중구 대청동4가 중구로 121 (메리놀병원)</t>
        </is>
      </c>
      <c r="F1078" t="inlineStr"/>
      <c r="G1078" t="inlineStr">
        <is>
          <t>051-461-2319</t>
        </is>
      </c>
      <c r="H1078" s="15" t="n">
        <v>20</v>
      </c>
      <c r="I1078" s="15" t="n">
        <v>4</v>
      </c>
      <c r="J1078" s="15" t="n">
        <v>0</v>
      </c>
      <c r="K1078" s="15" t="n">
        <v>0</v>
      </c>
      <c r="L1078" s="15" t="n">
        <v>0</v>
      </c>
      <c r="M1078" s="15" t="n">
        <v>0</v>
      </c>
      <c r="N1078" s="15" t="n">
        <v>0</v>
      </c>
      <c r="O1078" s="15" t="n">
        <v>5</v>
      </c>
      <c r="P1078" s="15" t="n">
        <v>0</v>
      </c>
      <c r="Q1078" s="15" t="n">
        <v>0</v>
      </c>
      <c r="R1078" s="15" t="n">
        <v>0</v>
      </c>
      <c r="S1078" s="15" t="n">
        <v>7</v>
      </c>
      <c r="T1078" s="14">
        <f>IF(COUNT(I1078:S1078)=0,"",SUM(I1078:S1078))</f>
        <v/>
      </c>
      <c r="U1078" t="inlineStr"/>
    </row>
    <row r="1079">
      <c r="A1079" t="inlineStr">
        <is>
          <t>보현어린이집</t>
        </is>
      </c>
      <c r="B1079" t="inlineStr">
        <is>
          <t>어린이집</t>
        </is>
      </c>
      <c r="C1079" t="inlineStr">
        <is>
          <t>사회복지법인</t>
        </is>
      </c>
      <c r="D1079" t="inlineStr">
        <is>
          <t>중구</t>
        </is>
      </c>
      <c r="E1079" t="inlineStr">
        <is>
          <t>부산광역시 중구 흑교로31번길 34-1</t>
        </is>
      </c>
      <c r="F1079" s="11" t="inlineStr">
        <is>
          <t>http://cafe.daum.net/2443362</t>
        </is>
      </c>
      <c r="G1079" t="inlineStr">
        <is>
          <t>051-244-3362</t>
        </is>
      </c>
      <c r="H1079" s="15" t="n">
        <v>42</v>
      </c>
      <c r="I1079" s="15" t="n">
        <v>0</v>
      </c>
      <c r="J1079" s="15" t="n">
        <v>0</v>
      </c>
      <c r="K1079" s="15" t="n">
        <v>0</v>
      </c>
      <c r="L1079" s="15" t="n">
        <v>0</v>
      </c>
      <c r="M1079" s="15" t="n">
        <v>0</v>
      </c>
      <c r="N1079" s="15" t="n">
        <v>0</v>
      </c>
      <c r="O1079" s="15" t="n">
        <v>0</v>
      </c>
      <c r="P1079" s="15" t="n">
        <v>0</v>
      </c>
      <c r="Q1079" s="15" t="n">
        <v>0</v>
      </c>
      <c r="R1079" s="15" t="n">
        <v>22</v>
      </c>
      <c r="S1079" s="15" t="n">
        <v>0</v>
      </c>
      <c r="T1079" s="14">
        <f>IF(COUNT(I1079:S1079)=0,"",SUM(I1079:S1079))</f>
        <v/>
      </c>
      <c r="U1079" t="inlineStr"/>
    </row>
    <row r="1080">
      <c r="A1080" t="inlineStr">
        <is>
          <t>부산세관어린이집</t>
        </is>
      </c>
      <c r="B1080" t="inlineStr">
        <is>
          <t>어린이집</t>
        </is>
      </c>
      <c r="C1080" t="inlineStr">
        <is>
          <t>직장</t>
        </is>
      </c>
      <c r="D1080" t="inlineStr">
        <is>
          <t>중구</t>
        </is>
      </c>
      <c r="E1080" t="inlineStr">
        <is>
          <t>부산광역시 중구 충장대로 20 (중앙동4가)</t>
        </is>
      </c>
      <c r="F1080" t="inlineStr"/>
      <c r="G1080" t="inlineStr">
        <is>
          <t>051-620-6088</t>
        </is>
      </c>
      <c r="H1080" s="15" t="n">
        <v>75</v>
      </c>
      <c r="I1080" s="15" t="n">
        <v>0</v>
      </c>
      <c r="J1080" s="15" t="n">
        <v>7</v>
      </c>
      <c r="K1080" s="15" t="n">
        <v>7</v>
      </c>
      <c r="L1080" s="15" t="n">
        <v>7</v>
      </c>
      <c r="M1080" s="15" t="n">
        <v>0</v>
      </c>
      <c r="N1080" s="15" t="n">
        <v>0</v>
      </c>
      <c r="O1080" s="15" t="n">
        <v>0</v>
      </c>
      <c r="P1080" s="15" t="n">
        <v>8</v>
      </c>
      <c r="Q1080" s="15" t="n">
        <v>0</v>
      </c>
      <c r="R1080" s="15" t="n">
        <v>0</v>
      </c>
      <c r="S1080" s="15" t="n">
        <v>22</v>
      </c>
      <c r="T1080" s="14">
        <f>IF(COUNT(I1080:S1080)=0,"",SUM(I1080:S1080))</f>
        <v/>
      </c>
      <c r="U1080" t="inlineStr"/>
    </row>
    <row r="1081">
      <c r="A1081" t="inlineStr">
        <is>
          <t>성모희보어린이집</t>
        </is>
      </c>
      <c r="B1081" t="inlineStr">
        <is>
          <t>어린이집</t>
        </is>
      </c>
      <c r="C1081" t="inlineStr">
        <is>
          <t>민간</t>
        </is>
      </c>
      <c r="D1081" t="inlineStr">
        <is>
          <t>중구</t>
        </is>
      </c>
      <c r="E1081" t="inlineStr">
        <is>
          <t>부산광역시 중구 중구로97번길 7 (대청동4가)</t>
        </is>
      </c>
      <c r="F1081" t="inlineStr"/>
      <c r="G1081" t="inlineStr">
        <is>
          <t>051-466-0363</t>
        </is>
      </c>
      <c r="H1081" s="15" t="n">
        <v>75</v>
      </c>
      <c r="I1081" s="15" t="n">
        <v>0</v>
      </c>
      <c r="J1081" s="15" t="n">
        <v>0</v>
      </c>
      <c r="K1081" s="15" t="n">
        <v>6</v>
      </c>
      <c r="L1081" s="15" t="n">
        <v>0</v>
      </c>
      <c r="M1081" s="15" t="n">
        <v>0</v>
      </c>
      <c r="N1081" s="15" t="n">
        <v>0</v>
      </c>
      <c r="O1081" s="15" t="n">
        <v>2</v>
      </c>
      <c r="P1081" s="15" t="n">
        <v>25</v>
      </c>
      <c r="Q1081" s="15" t="n">
        <v>0</v>
      </c>
      <c r="R1081" s="15" t="n">
        <v>0</v>
      </c>
      <c r="S1081" s="15" t="n">
        <v>13</v>
      </c>
      <c r="T1081" s="14">
        <f>IF(COUNT(I1081:S1081)=0,"",SUM(I1081:S1081))</f>
        <v/>
      </c>
      <c r="U1081" t="inlineStr"/>
    </row>
    <row r="1082">
      <c r="A1082" t="inlineStr">
        <is>
          <t>숲속어린이집</t>
        </is>
      </c>
      <c r="B1082" t="inlineStr">
        <is>
          <t>어린이집</t>
        </is>
      </c>
      <c r="C1082" t="inlineStr">
        <is>
          <t>민간</t>
        </is>
      </c>
      <c r="D1082" t="inlineStr">
        <is>
          <t>중구</t>
        </is>
      </c>
      <c r="E1082" t="inlineStr">
        <is>
          <t>부산광역시 중구 고가길 40 책방골목1길12 (보수동1가)</t>
        </is>
      </c>
      <c r="F1082" t="inlineStr"/>
      <c r="G1082" t="inlineStr">
        <is>
          <t>051-256-1843</t>
        </is>
      </c>
      <c r="H1082" s="15" t="n">
        <v>82</v>
      </c>
      <c r="I1082" s="15" t="n">
        <v>2</v>
      </c>
      <c r="J1082" s="15" t="n">
        <v>10</v>
      </c>
      <c r="K1082" s="15" t="n">
        <v>26</v>
      </c>
      <c r="L1082" s="15" t="n">
        <v>17</v>
      </c>
      <c r="M1082" s="15" t="n">
        <v>0</v>
      </c>
      <c r="N1082" s="15" t="n">
        <v>0</v>
      </c>
      <c r="O1082" s="15" t="n">
        <v>2</v>
      </c>
      <c r="P1082" s="15" t="n">
        <v>0</v>
      </c>
      <c r="Q1082" s="15" t="n">
        <v>0</v>
      </c>
      <c r="R1082" s="15" t="n">
        <v>0</v>
      </c>
      <c r="S1082" s="15" t="n">
        <v>8</v>
      </c>
      <c r="T1082" s="14">
        <f>IF(COUNT(I1082:S1082)=0,"",SUM(I1082:S1082))</f>
        <v/>
      </c>
      <c r="U1082" t="inlineStr"/>
    </row>
    <row r="1083">
      <c r="A1083" t="inlineStr">
        <is>
          <t>천사어린이집</t>
        </is>
      </c>
      <c r="B1083" t="inlineStr">
        <is>
          <t>어린이집</t>
        </is>
      </c>
      <c r="C1083" t="inlineStr">
        <is>
          <t>가정</t>
        </is>
      </c>
      <c r="D1083" t="inlineStr">
        <is>
          <t>중구</t>
        </is>
      </c>
      <c r="E1083" t="inlineStr">
        <is>
          <t>부산광역시 중구 영주로 65 102동 110호(영주동, 동아아파트)</t>
        </is>
      </c>
      <c r="F1083" t="inlineStr"/>
      <c r="G1083" t="inlineStr">
        <is>
          <t>051-464-8840</t>
        </is>
      </c>
      <c r="H1083" s="15" t="n">
        <v>19</v>
      </c>
      <c r="I1083" s="15" t="n">
        <v>3</v>
      </c>
      <c r="J1083" s="15" t="n">
        <v>0</v>
      </c>
      <c r="K1083" s="15" t="n">
        <v>0</v>
      </c>
      <c r="L1083" s="15" t="n">
        <v>0</v>
      </c>
      <c r="M1083" s="15" t="n">
        <v>0</v>
      </c>
      <c r="N1083" s="15" t="n">
        <v>0</v>
      </c>
      <c r="O1083" s="15" t="n">
        <v>5</v>
      </c>
      <c r="P1083" s="15" t="n">
        <v>0</v>
      </c>
      <c r="Q1083" s="15" t="n">
        <v>0</v>
      </c>
      <c r="R1083" s="15" t="n">
        <v>0</v>
      </c>
      <c r="S1083" s="15" t="n">
        <v>3</v>
      </c>
      <c r="T1083" s="14">
        <f>IF(COUNT(I1083:S1083)=0,"",SUM(I1083:S1083))</f>
        <v/>
      </c>
      <c r="U1083" t="inlineStr"/>
    </row>
    <row r="1084">
      <c r="A1084" t="inlineStr">
        <is>
          <t>하임어린이집</t>
        </is>
      </c>
      <c r="B1084" t="inlineStr">
        <is>
          <t>어린이집</t>
        </is>
      </c>
      <c r="C1084" t="inlineStr">
        <is>
          <t>직장</t>
        </is>
      </c>
      <c r="D1084" t="inlineStr">
        <is>
          <t>중구</t>
        </is>
      </c>
      <c r="E1084" t="inlineStr">
        <is>
          <t>부산광역시 중구 광복중앙로 33 5층</t>
        </is>
      </c>
      <c r="F1084" t="inlineStr"/>
      <c r="G1084" t="inlineStr">
        <is>
          <t>051-242-0191</t>
        </is>
      </c>
      <c r="H1084" s="15" t="n">
        <v>37</v>
      </c>
      <c r="I1084" s="15" t="n">
        <v>0</v>
      </c>
      <c r="J1084" s="15" t="n">
        <v>0</v>
      </c>
      <c r="K1084" s="15" t="n">
        <v>0</v>
      </c>
      <c r="L1084" s="15" t="n">
        <v>3</v>
      </c>
      <c r="M1084" s="15" t="n">
        <v>0</v>
      </c>
      <c r="N1084" s="15" t="n">
        <v>0</v>
      </c>
      <c r="O1084" s="15" t="n">
        <v>5</v>
      </c>
      <c r="P1084" s="15" t="n">
        <v>4</v>
      </c>
      <c r="Q1084" s="15" t="n">
        <v>0</v>
      </c>
      <c r="R1084" s="15" t="n">
        <v>0</v>
      </c>
      <c r="S1084" s="15" t="n">
        <v>0</v>
      </c>
      <c r="T1084" s="14">
        <f>IF(COUNT(I1084:S1084)=0,"",SUM(I1084:S1084))</f>
        <v/>
      </c>
      <c r="U1084" t="inlineStr"/>
    </row>
    <row r="1085">
      <c r="A1085" t="inlineStr">
        <is>
          <t>BNK해운대어린이집</t>
        </is>
      </c>
      <c r="B1085" t="inlineStr">
        <is>
          <t>어린이집</t>
        </is>
      </c>
      <c r="C1085" t="inlineStr">
        <is>
          <t>직장</t>
        </is>
      </c>
      <c r="D1085" t="inlineStr">
        <is>
          <t>해운대구</t>
        </is>
      </c>
      <c r="E1085" t="inlineStr">
        <is>
          <t>부산광역시 해운대구 대천로42번길 42 (중동)</t>
        </is>
      </c>
      <c r="F1085" s="11" t="inlineStr">
        <is>
          <t>http://www.puruni.com/busanbank2</t>
        </is>
      </c>
      <c r="G1085" t="inlineStr">
        <is>
          <t>051-746-2619</t>
        </is>
      </c>
      <c r="H1085" s="15" t="n">
        <v>65</v>
      </c>
      <c r="I1085" s="15" t="n">
        <v>0</v>
      </c>
      <c r="J1085" s="15" t="n">
        <v>6</v>
      </c>
      <c r="K1085" s="15" t="n">
        <v>6</v>
      </c>
      <c r="L1085" s="15" t="n">
        <v>0</v>
      </c>
      <c r="M1085" s="15" t="n">
        <v>0</v>
      </c>
      <c r="N1085" s="15" t="n">
        <v>0</v>
      </c>
      <c r="O1085" s="15" t="n">
        <v>0</v>
      </c>
      <c r="P1085" s="15" t="n">
        <v>6</v>
      </c>
      <c r="Q1085" s="15" t="n">
        <v>0</v>
      </c>
      <c r="R1085" s="15" t="n">
        <v>0</v>
      </c>
      <c r="S1085" s="15" t="n">
        <v>14</v>
      </c>
      <c r="T1085" s="14">
        <f>IF(COUNT(I1085:S1085)=0,"",SUM(I1085:S1085))</f>
        <v/>
      </c>
      <c r="U1085" t="inlineStr"/>
    </row>
    <row r="1086">
      <c r="A1086" t="inlineStr">
        <is>
          <t>EQ랜드 어린이집</t>
        </is>
      </c>
      <c r="B1086" t="inlineStr">
        <is>
          <t>어린이집</t>
        </is>
      </c>
      <c r="C1086" t="inlineStr">
        <is>
          <t>가정</t>
        </is>
      </c>
      <c r="D1086" t="inlineStr">
        <is>
          <t>해운대구</t>
        </is>
      </c>
      <c r="E1086" t="inlineStr">
        <is>
          <t>부산광역시 해운대구 대천로 35 106동 101호(좌동, 효성코오롱아파트)</t>
        </is>
      </c>
      <c r="F1086" s="11" t="inlineStr">
        <is>
          <t>http://eq9202@hanmail.net</t>
        </is>
      </c>
      <c r="G1086" t="inlineStr">
        <is>
          <t>051-747-9202</t>
        </is>
      </c>
      <c r="H1086" s="15" t="n">
        <v>20</v>
      </c>
      <c r="I1086" s="15" t="n">
        <v>4</v>
      </c>
      <c r="J1086" s="15" t="n">
        <v>5</v>
      </c>
      <c r="K1086" s="15" t="n">
        <v>6</v>
      </c>
      <c r="L1086" s="15" t="n">
        <v>0</v>
      </c>
      <c r="M1086" s="15" t="n">
        <v>0</v>
      </c>
      <c r="N1086" s="15" t="n">
        <v>0</v>
      </c>
      <c r="O1086" s="15" t="n">
        <v>4</v>
      </c>
      <c r="P1086" s="15" t="n">
        <v>0</v>
      </c>
      <c r="Q1086" s="15" t="n">
        <v>0</v>
      </c>
      <c r="R1086" s="15" t="n">
        <v>0</v>
      </c>
      <c r="S1086" s="15" t="n">
        <v>6</v>
      </c>
      <c r="T1086" s="14">
        <f>IF(COUNT(I1086:S1086)=0,"",SUM(I1086:S1086))</f>
        <v/>
      </c>
      <c r="U1086" t="inlineStr"/>
    </row>
    <row r="1087">
      <c r="A1087" t="inlineStr">
        <is>
          <t>LG나리어린이집</t>
        </is>
      </c>
      <c r="B1087" t="inlineStr">
        <is>
          <t>어린이집</t>
        </is>
      </c>
      <c r="C1087" t="inlineStr">
        <is>
          <t>가정</t>
        </is>
      </c>
      <c r="D1087" t="inlineStr">
        <is>
          <t>해운대구</t>
        </is>
      </c>
      <c r="E1087" t="inlineStr">
        <is>
          <t>부산광역시 해운대구 대천로103번길 61 121동 104호(좌동, 엘지아파트)</t>
        </is>
      </c>
      <c r="F1087" t="inlineStr"/>
      <c r="G1087" t="inlineStr">
        <is>
          <t>051-702-7913</t>
        </is>
      </c>
      <c r="H1087" s="15" t="n">
        <v>19</v>
      </c>
      <c r="I1087" s="15" t="n">
        <v>0</v>
      </c>
      <c r="J1087" s="15" t="n">
        <v>3</v>
      </c>
      <c r="K1087" s="15" t="n">
        <v>0</v>
      </c>
      <c r="L1087" s="15" t="n">
        <v>0</v>
      </c>
      <c r="M1087" s="15" t="n">
        <v>0</v>
      </c>
      <c r="N1087" s="15" t="n">
        <v>0</v>
      </c>
      <c r="O1087" s="15" t="n">
        <v>5</v>
      </c>
      <c r="P1087" s="15" t="n">
        <v>0</v>
      </c>
      <c r="Q1087" s="15" t="n">
        <v>0</v>
      </c>
      <c r="R1087" s="15" t="n">
        <v>0</v>
      </c>
      <c r="S1087" s="15" t="n">
        <v>14</v>
      </c>
      <c r="T1087" s="14">
        <f>IF(COUNT(I1087:S1087)=0,"",SUM(I1087:S1087))</f>
        <v/>
      </c>
      <c r="U1087" t="inlineStr"/>
    </row>
    <row r="1088">
      <c r="A1088" t="inlineStr">
        <is>
          <t>LG서머힐어린이집</t>
        </is>
      </c>
      <c r="B1088" t="inlineStr">
        <is>
          <t>어린이집</t>
        </is>
      </c>
      <c r="C1088" t="inlineStr">
        <is>
          <t>가정</t>
        </is>
      </c>
      <c r="D1088" t="inlineStr">
        <is>
          <t>해운대구</t>
        </is>
      </c>
      <c r="E1088" t="inlineStr">
        <is>
          <t>부산광역시 해운대구 대천로103번길 61 119동 101호(좌동, 엘지2차아파트)</t>
        </is>
      </c>
      <c r="F1088" s="11" t="inlineStr">
        <is>
          <t>http://lgsummerhill@nate.com</t>
        </is>
      </c>
      <c r="G1088" t="inlineStr">
        <is>
          <t>051-701-8637</t>
        </is>
      </c>
      <c r="H1088" s="15" t="n">
        <v>19</v>
      </c>
      <c r="I1088" s="15" t="n">
        <v>5</v>
      </c>
      <c r="J1088" s="15" t="n">
        <v>7</v>
      </c>
      <c r="K1088" s="15" t="n">
        <v>7</v>
      </c>
      <c r="L1088" s="15" t="n">
        <v>0</v>
      </c>
      <c r="M1088" s="15" t="n">
        <v>0</v>
      </c>
      <c r="N1088" s="15" t="n">
        <v>0</v>
      </c>
      <c r="O1088" s="15" t="n">
        <v>0</v>
      </c>
      <c r="P1088" s="15" t="n">
        <v>0</v>
      </c>
      <c r="Q1088" s="15" t="n">
        <v>0</v>
      </c>
      <c r="R1088" s="15" t="n">
        <v>0</v>
      </c>
      <c r="S1088" s="15" t="n">
        <v>7</v>
      </c>
      <c r="T1088" s="14">
        <f>IF(COUNT(I1088:S1088)=0,"",SUM(I1088:S1088))</f>
        <v/>
      </c>
      <c r="U1088" t="inlineStr"/>
    </row>
    <row r="1089">
      <c r="A1089" t="inlineStr">
        <is>
          <t>LG어린이집</t>
        </is>
      </c>
      <c r="B1089" t="inlineStr">
        <is>
          <t>어린이집</t>
        </is>
      </c>
      <c r="C1089" t="inlineStr">
        <is>
          <t>민간</t>
        </is>
      </c>
      <c r="D1089" t="inlineStr">
        <is>
          <t>해운대구</t>
        </is>
      </c>
      <c r="E1089" t="inlineStr">
        <is>
          <t>부산광역시 해운대구 대천로103번길 61 관리동 (좌동,LG아파트)</t>
        </is>
      </c>
      <c r="F1089" t="inlineStr"/>
      <c r="G1089" t="inlineStr">
        <is>
          <t>051-703-7997</t>
        </is>
      </c>
      <c r="H1089" s="15" t="n">
        <v>35</v>
      </c>
      <c r="I1089" s="15" t="n">
        <v>1</v>
      </c>
      <c r="J1089" s="15" t="n">
        <v>7</v>
      </c>
      <c r="K1089" s="15" t="n">
        <v>5</v>
      </c>
      <c r="L1089" s="15" t="n">
        <v>0</v>
      </c>
      <c r="M1089" s="15" t="n">
        <v>0</v>
      </c>
      <c r="N1089" s="15" t="n">
        <v>0</v>
      </c>
      <c r="O1089" s="15" t="n">
        <v>0</v>
      </c>
      <c r="P1089" s="15" t="n">
        <v>0</v>
      </c>
      <c r="Q1089" s="15" t="n">
        <v>0</v>
      </c>
      <c r="R1089" s="15" t="n">
        <v>0</v>
      </c>
      <c r="S1089" s="15" t="n">
        <v>3</v>
      </c>
      <c r="T1089" s="14">
        <f>IF(COUNT(I1089:S1089)=0,"",SUM(I1089:S1089))</f>
        <v/>
      </c>
      <c r="U1089" t="inlineStr"/>
    </row>
    <row r="1090">
      <c r="A1090" t="inlineStr">
        <is>
          <t>YMCA 어린이집</t>
        </is>
      </c>
      <c r="B1090" t="inlineStr">
        <is>
          <t>어린이집</t>
        </is>
      </c>
      <c r="C1090" t="inlineStr">
        <is>
          <t>국공립</t>
        </is>
      </c>
      <c r="D1090" t="inlineStr">
        <is>
          <t>해운대구</t>
        </is>
      </c>
      <c r="E1090" t="inlineStr">
        <is>
          <t>부산광역시 해운대구 아랫반송로1번길 15 반송 종합 복지관 (반송동)</t>
        </is>
      </c>
      <c r="F1090" t="inlineStr"/>
      <c r="G1090" t="inlineStr">
        <is>
          <t>051-544-8010</t>
        </is>
      </c>
      <c r="H1090" s="15" t="n">
        <v>61</v>
      </c>
      <c r="I1090" s="15" t="n">
        <v>8</v>
      </c>
      <c r="J1090" s="15" t="n">
        <v>5</v>
      </c>
      <c r="K1090" s="15" t="n">
        <v>7</v>
      </c>
      <c r="L1090" s="15" t="n">
        <v>0</v>
      </c>
      <c r="M1090" s="15" t="n">
        <v>0</v>
      </c>
      <c r="N1090" s="15" t="n">
        <v>0</v>
      </c>
      <c r="O1090" s="15" t="n">
        <v>0</v>
      </c>
      <c r="P1090" s="15" t="n">
        <v>14</v>
      </c>
      <c r="Q1090" s="15" t="n">
        <v>0</v>
      </c>
      <c r="R1090" s="15" t="n">
        <v>3</v>
      </c>
      <c r="S1090" s="15" t="n">
        <v>14</v>
      </c>
      <c r="T1090" s="14">
        <f>IF(COUNT(I1090:S1090)=0,"",SUM(I1090:S1090))</f>
        <v/>
      </c>
      <c r="U1090" t="inlineStr"/>
    </row>
    <row r="1091">
      <c r="A1091" t="inlineStr">
        <is>
          <t>경동리인뷰2차어린이집</t>
        </is>
      </c>
      <c r="B1091" t="inlineStr">
        <is>
          <t>어린이집</t>
        </is>
      </c>
      <c r="C1091" t="inlineStr">
        <is>
          <t>국공립</t>
        </is>
      </c>
      <c r="D1091" t="inlineStr">
        <is>
          <t>해운대구</t>
        </is>
      </c>
      <c r="E1091" t="inlineStr">
        <is>
          <t>부산광역시 해운대구 구남로 21 203동 3층(우동, 경동리인뷰2차)</t>
        </is>
      </c>
      <c r="F1091" t="inlineStr"/>
      <c r="G1091" t="inlineStr">
        <is>
          <t>051-711-2120</t>
        </is>
      </c>
      <c r="H1091" s="15" t="n">
        <v>38</v>
      </c>
      <c r="I1091" s="15" t="n">
        <v>9</v>
      </c>
      <c r="J1091" s="15" t="n">
        <v>14</v>
      </c>
      <c r="K1091" s="15" t="n">
        <v>14</v>
      </c>
      <c r="L1091" s="15" t="n">
        <v>0</v>
      </c>
      <c r="M1091" s="15" t="n">
        <v>0</v>
      </c>
      <c r="N1091" s="15" t="n">
        <v>0</v>
      </c>
      <c r="O1091" s="15" t="n">
        <v>0</v>
      </c>
      <c r="P1091" s="15" t="n">
        <v>0</v>
      </c>
      <c r="Q1091" s="15" t="n">
        <v>0</v>
      </c>
      <c r="R1091" s="15" t="n">
        <v>0</v>
      </c>
      <c r="S1091" s="15" t="n">
        <v>4</v>
      </c>
      <c r="T1091" s="14">
        <f>IF(COUNT(I1091:S1091)=0,"",SUM(I1091:S1091))</f>
        <v/>
      </c>
      <c r="U1091" t="inlineStr"/>
    </row>
    <row r="1092">
      <c r="A1092" t="inlineStr">
        <is>
          <t>광덕어린이집</t>
        </is>
      </c>
      <c r="B1092" t="inlineStr">
        <is>
          <t>어린이집</t>
        </is>
      </c>
      <c r="C1092" t="inlineStr">
        <is>
          <t>민간</t>
        </is>
      </c>
      <c r="D1092" t="inlineStr">
        <is>
          <t>해운대구</t>
        </is>
      </c>
      <c r="E1092" t="inlineStr">
        <is>
          <t>부산광역시 해운대구 청사포로67번길 1-9</t>
        </is>
      </c>
      <c r="F1092" s="11" t="inlineStr">
        <is>
          <t>http://kdc6784@hanmail.net</t>
        </is>
      </c>
      <c r="G1092" t="inlineStr">
        <is>
          <t>051-703-6784</t>
        </is>
      </c>
      <c r="H1092" s="15" t="n">
        <v>57</v>
      </c>
      <c r="I1092" s="15" t="n">
        <v>0</v>
      </c>
      <c r="J1092" s="15" t="n">
        <v>20</v>
      </c>
      <c r="K1092" s="15" t="n">
        <v>25</v>
      </c>
      <c r="L1092" s="15" t="n">
        <v>0</v>
      </c>
      <c r="M1092" s="15" t="n">
        <v>0</v>
      </c>
      <c r="N1092" s="15" t="n">
        <v>0</v>
      </c>
      <c r="O1092" s="15" t="n">
        <v>0</v>
      </c>
      <c r="P1092" s="15" t="n">
        <v>0</v>
      </c>
      <c r="Q1092" s="15" t="n">
        <v>0</v>
      </c>
      <c r="R1092" s="15" t="n">
        <v>0</v>
      </c>
      <c r="S1092" s="15" t="n">
        <v>0</v>
      </c>
      <c r="T1092" s="14">
        <f>IF(COUNT(I1092:S1092)=0,"",SUM(I1092:S1092))</f>
        <v/>
      </c>
      <c r="U1092" t="inlineStr"/>
    </row>
    <row r="1093">
      <c r="A1093" t="inlineStr">
        <is>
          <t>꽃담비어린이집</t>
        </is>
      </c>
      <c r="B1093" t="inlineStr">
        <is>
          <t>어린이집</t>
        </is>
      </c>
      <c r="C1093" t="inlineStr">
        <is>
          <t>국공립</t>
        </is>
      </c>
      <c r="D1093" t="inlineStr">
        <is>
          <t>해운대구</t>
        </is>
      </c>
      <c r="E1093" t="inlineStr">
        <is>
          <t>부산광역시 해운대구 대천로 35 관리동</t>
        </is>
      </c>
      <c r="F1093" t="inlineStr"/>
      <c r="G1093" t="inlineStr">
        <is>
          <t>051-929-3553</t>
        </is>
      </c>
      <c r="H1093" s="15" t="n">
        <v>30</v>
      </c>
      <c r="I1093" s="15" t="n">
        <v>6</v>
      </c>
      <c r="J1093" s="15" t="n">
        <v>14</v>
      </c>
      <c r="K1093" s="15" t="n">
        <v>10</v>
      </c>
      <c r="L1093" s="15" t="n">
        <v>0</v>
      </c>
      <c r="M1093" s="15" t="n">
        <v>0</v>
      </c>
      <c r="N1093" s="15" t="n">
        <v>0</v>
      </c>
      <c r="O1093" s="15" t="n">
        <v>0</v>
      </c>
      <c r="P1093" s="15" t="n">
        <v>0</v>
      </c>
      <c r="Q1093" s="15" t="n">
        <v>0</v>
      </c>
      <c r="R1093" s="15" t="n">
        <v>0</v>
      </c>
      <c r="S1093" s="15" t="n">
        <v>3</v>
      </c>
      <c r="T1093" s="14">
        <f>IF(COUNT(I1093:S1093)=0,"",SUM(I1093:S1093))</f>
        <v/>
      </c>
      <c r="U1093" t="inlineStr"/>
    </row>
    <row r="1094">
      <c r="A1094" t="inlineStr">
        <is>
          <t>꽃망울어린이집</t>
        </is>
      </c>
      <c r="B1094" t="inlineStr">
        <is>
          <t>어린이집</t>
        </is>
      </c>
      <c r="C1094" t="inlineStr">
        <is>
          <t>민간</t>
        </is>
      </c>
      <c r="D1094" t="inlineStr">
        <is>
          <t>해운대구</t>
        </is>
      </c>
      <c r="E1094" t="inlineStr">
        <is>
          <t>부산광역시 해운대구 해운대로81번가길 18-5</t>
        </is>
      </c>
      <c r="F1094" s="11" t="inlineStr">
        <is>
          <t>http://cafe.daum.net/busanRhcakddnf</t>
        </is>
      </c>
      <c r="G1094" t="inlineStr">
        <is>
          <t>051-782-4976</t>
        </is>
      </c>
      <c r="H1094" s="15" t="n">
        <v>49</v>
      </c>
      <c r="I1094" s="15" t="n">
        <v>5</v>
      </c>
      <c r="J1094" s="15" t="n">
        <v>4</v>
      </c>
      <c r="K1094" s="15" t="n">
        <v>9</v>
      </c>
      <c r="L1094" s="15" t="n">
        <v>11</v>
      </c>
      <c r="M1094" s="15" t="n">
        <v>0</v>
      </c>
      <c r="N1094" s="15" t="n">
        <v>0</v>
      </c>
      <c r="O1094" s="15" t="n">
        <v>0</v>
      </c>
      <c r="P1094" s="15" t="n">
        <v>19</v>
      </c>
      <c r="Q1094" s="15" t="n">
        <v>0</v>
      </c>
      <c r="R1094" s="15" t="n">
        <v>0</v>
      </c>
      <c r="S1094" s="15" t="n">
        <v>25</v>
      </c>
      <c r="T1094" s="14">
        <f>IF(COUNT(I1094:S1094)=0,"",SUM(I1094:S1094))</f>
        <v/>
      </c>
      <c r="U1094" t="inlineStr"/>
    </row>
    <row r="1095">
      <c r="A1095" t="inlineStr">
        <is>
          <t>꾸러기어린이집</t>
        </is>
      </c>
      <c r="B1095" t="inlineStr">
        <is>
          <t>어린이집</t>
        </is>
      </c>
      <c r="C1095" t="inlineStr">
        <is>
          <t>가정</t>
        </is>
      </c>
      <c r="D1095" t="inlineStr">
        <is>
          <t>해운대구</t>
        </is>
      </c>
      <c r="E1095" t="inlineStr">
        <is>
          <t>부산광역시 해운대구 대천로 187 108동 103호(좌동, 화목아파트)</t>
        </is>
      </c>
      <c r="F1095" s="11" t="inlineStr">
        <is>
          <t>http://cafe.daum.net/lovely-babies</t>
        </is>
      </c>
      <c r="G1095" t="inlineStr">
        <is>
          <t>051-703-3173</t>
        </is>
      </c>
      <c r="H1095" s="15" t="n">
        <v>19</v>
      </c>
      <c r="I1095" s="15" t="n">
        <v>8</v>
      </c>
      <c r="J1095" s="15" t="n">
        <v>0</v>
      </c>
      <c r="K1095" s="15" t="n">
        <v>0</v>
      </c>
      <c r="L1095" s="15" t="n">
        <v>0</v>
      </c>
      <c r="M1095" s="15" t="n">
        <v>0</v>
      </c>
      <c r="N1095" s="15" t="n">
        <v>0</v>
      </c>
      <c r="O1095" s="15" t="n">
        <v>5</v>
      </c>
      <c r="P1095" s="15" t="n">
        <v>0</v>
      </c>
      <c r="Q1095" s="15" t="n">
        <v>0</v>
      </c>
      <c r="R1095" s="15" t="n">
        <v>0</v>
      </c>
      <c r="S1095" s="15" t="n">
        <v>6</v>
      </c>
      <c r="T1095" s="14">
        <f>IF(COUNT(I1095:S1095)=0,"",SUM(I1095:S1095))</f>
        <v/>
      </c>
      <c r="U1095" t="inlineStr"/>
    </row>
    <row r="1096">
      <c r="A1096" t="inlineStr">
        <is>
          <t>꿈밭어린이집</t>
        </is>
      </c>
      <c r="B1096" t="inlineStr">
        <is>
          <t>어린이집</t>
        </is>
      </c>
      <c r="C1096" t="inlineStr">
        <is>
          <t>가정</t>
        </is>
      </c>
      <c r="D1096" t="inlineStr">
        <is>
          <t>해운대구</t>
        </is>
      </c>
      <c r="E1096" t="inlineStr">
        <is>
          <t>부산광역시 해운대구 선수촌로 95 105동 103호(반여동, 삼해대림아파트)</t>
        </is>
      </c>
      <c r="F1096" t="inlineStr"/>
      <c r="G1096" t="inlineStr">
        <is>
          <t>051-522-2403</t>
        </is>
      </c>
      <c r="H1096" s="15" t="n">
        <v>20</v>
      </c>
      <c r="I1096" s="15" t="n">
        <v>0</v>
      </c>
      <c r="J1096" s="15" t="n">
        <v>0</v>
      </c>
      <c r="K1096" s="15" t="n">
        <v>0</v>
      </c>
      <c r="L1096" s="15" t="n">
        <v>0</v>
      </c>
      <c r="M1096" s="15" t="n">
        <v>0</v>
      </c>
      <c r="N1096" s="15" t="n">
        <v>0</v>
      </c>
      <c r="O1096" s="15" t="n">
        <v>4</v>
      </c>
      <c r="P1096" s="15" t="n">
        <v>0</v>
      </c>
      <c r="Q1096" s="15" t="n">
        <v>0</v>
      </c>
      <c r="R1096" s="15" t="n">
        <v>0</v>
      </c>
      <c r="S1096" s="15" t="n">
        <v>3</v>
      </c>
      <c r="T1096" s="14">
        <f>IF(COUNT(I1096:S1096)=0,"",SUM(I1096:S1096))</f>
        <v/>
      </c>
      <c r="U1096" t="inlineStr"/>
    </row>
    <row r="1097">
      <c r="A1097" t="inlineStr">
        <is>
          <t>꿈에그린 어린이집</t>
        </is>
      </c>
      <c r="B1097" t="inlineStr">
        <is>
          <t>어린이집</t>
        </is>
      </c>
      <c r="C1097" t="inlineStr">
        <is>
          <t>민간</t>
        </is>
      </c>
      <c r="D1097" t="inlineStr">
        <is>
          <t>해운대구</t>
        </is>
      </c>
      <c r="E1097" t="inlineStr">
        <is>
          <t>부산광역시 해운대구 반여로 67 한화꿈에그린103동(관리동)</t>
        </is>
      </c>
      <c r="F1097" t="inlineStr"/>
      <c r="G1097" t="inlineStr">
        <is>
          <t>051-526-1713</t>
        </is>
      </c>
      <c r="H1097" s="15" t="n">
        <v>39</v>
      </c>
      <c r="I1097" s="15" t="n">
        <v>5</v>
      </c>
      <c r="J1097" s="15" t="n">
        <v>10</v>
      </c>
      <c r="K1097" s="15" t="n">
        <v>14</v>
      </c>
      <c r="L1097" s="15" t="n">
        <v>0</v>
      </c>
      <c r="M1097" s="15" t="n">
        <v>0</v>
      </c>
      <c r="N1097" s="15" t="n">
        <v>0</v>
      </c>
      <c r="O1097" s="15" t="n">
        <v>10</v>
      </c>
      <c r="P1097" s="15" t="n">
        <v>0</v>
      </c>
      <c r="Q1097" s="15" t="n">
        <v>0</v>
      </c>
      <c r="R1097" s="15" t="n">
        <v>0</v>
      </c>
      <c r="S1097" s="15" t="n">
        <v>3</v>
      </c>
      <c r="T1097" s="14">
        <f>IF(COUNT(I1097:S1097)=0,"",SUM(I1097:S1097))</f>
        <v/>
      </c>
      <c r="U1097" t="inlineStr"/>
    </row>
    <row r="1098">
      <c r="A1098" t="inlineStr">
        <is>
          <t>낙천대푸른어린이집</t>
        </is>
      </c>
      <c r="B1098" t="inlineStr">
        <is>
          <t>어린이집</t>
        </is>
      </c>
      <c r="C1098" t="inlineStr">
        <is>
          <t>민간</t>
        </is>
      </c>
      <c r="D1098" t="inlineStr">
        <is>
          <t>해운대구</t>
        </is>
      </c>
      <c r="E1098" t="inlineStr">
        <is>
          <t>부산광역시 해운대구 중동2로34번길 29 102동 103호(중동, 해운대롯데낙천대)</t>
        </is>
      </c>
      <c r="F1098" s="11" t="inlineStr">
        <is>
          <t>http://www.푸른어린이집.com</t>
        </is>
      </c>
      <c r="G1098" t="inlineStr">
        <is>
          <t>051-731-3223</t>
        </is>
      </c>
      <c r="H1098" s="15" t="n">
        <v>55</v>
      </c>
      <c r="I1098" s="15" t="n">
        <v>13</v>
      </c>
      <c r="J1098" s="15" t="n">
        <v>19</v>
      </c>
      <c r="K1098" s="15" t="n">
        <v>21</v>
      </c>
      <c r="L1098" s="15" t="n">
        <v>0</v>
      </c>
      <c r="M1098" s="15" t="n">
        <v>0</v>
      </c>
      <c r="N1098" s="15" t="n">
        <v>0</v>
      </c>
      <c r="O1098" s="15" t="n">
        <v>0</v>
      </c>
      <c r="P1098" s="15" t="n">
        <v>0</v>
      </c>
      <c r="Q1098" s="15" t="n">
        <v>0</v>
      </c>
      <c r="R1098" s="15" t="n">
        <v>0</v>
      </c>
      <c r="S1098" s="15" t="n">
        <v>10</v>
      </c>
      <c r="T1098" s="14">
        <f>IF(COUNT(I1098:S1098)=0,"",SUM(I1098:S1098))</f>
        <v/>
      </c>
      <c r="U1098" t="inlineStr"/>
    </row>
    <row r="1099">
      <c r="A1099" t="inlineStr">
        <is>
          <t>남흥어린이집</t>
        </is>
      </c>
      <c r="B1099" t="inlineStr">
        <is>
          <t>어린이집</t>
        </is>
      </c>
      <c r="C1099" t="inlineStr">
        <is>
          <t>가정</t>
        </is>
      </c>
      <c r="D1099" t="inlineStr">
        <is>
          <t>해운대구</t>
        </is>
      </c>
      <c r="E1099" t="inlineStr">
        <is>
          <t>부산광역시 해운대구 신반송로 163 102동 101호(반송동, 남흥)</t>
        </is>
      </c>
      <c r="F1099" s="11" t="inlineStr">
        <is>
          <t>http://cyworld / ckj-rainbow@yahoo.co.kr</t>
        </is>
      </c>
      <c r="G1099" t="inlineStr">
        <is>
          <t>051-542-7532</t>
        </is>
      </c>
      <c r="H1099" s="15" t="n">
        <v>19</v>
      </c>
      <c r="I1099" s="15" t="n">
        <v>0</v>
      </c>
      <c r="J1099" s="15" t="n">
        <v>0</v>
      </c>
      <c r="K1099" s="15" t="n">
        <v>1</v>
      </c>
      <c r="L1099" s="15" t="n">
        <v>0</v>
      </c>
      <c r="M1099" s="15" t="n">
        <v>0</v>
      </c>
      <c r="N1099" s="15" t="n">
        <v>0</v>
      </c>
      <c r="O1099" s="15" t="n">
        <v>1</v>
      </c>
      <c r="P1099" s="15" t="n">
        <v>0</v>
      </c>
      <c r="Q1099" s="15" t="n">
        <v>0</v>
      </c>
      <c r="R1099" s="15" t="n">
        <v>0</v>
      </c>
      <c r="S1099" s="15" t="n">
        <v>0</v>
      </c>
      <c r="T1099" s="14">
        <f>IF(COUNT(I1099:S1099)=0,"",SUM(I1099:S1099))</f>
        <v/>
      </c>
      <c r="U1099" t="inlineStr"/>
    </row>
    <row r="1100">
      <c r="A1100" t="inlineStr">
        <is>
          <t>늘사랑어린이집</t>
        </is>
      </c>
      <c r="B1100" t="inlineStr">
        <is>
          <t>어린이집</t>
        </is>
      </c>
      <c r="C1100" t="inlineStr">
        <is>
          <t>민간</t>
        </is>
      </c>
      <c r="D1100" t="inlineStr">
        <is>
          <t>해운대구</t>
        </is>
      </c>
      <c r="E1100" t="inlineStr">
        <is>
          <t>부산광역시 해운대구 세실로 138 관리동(좌동,롯데3차아파트)</t>
        </is>
      </c>
      <c r="F1100" t="inlineStr"/>
      <c r="G1100" t="inlineStr">
        <is>
          <t>051-746-1183</t>
        </is>
      </c>
      <c r="H1100" s="15" t="n">
        <v>39</v>
      </c>
      <c r="I1100" s="15" t="n">
        <v>2</v>
      </c>
      <c r="J1100" s="15" t="n">
        <v>14</v>
      </c>
      <c r="K1100" s="15" t="n">
        <v>10</v>
      </c>
      <c r="L1100" s="15" t="n">
        <v>0</v>
      </c>
      <c r="M1100" s="15" t="n">
        <v>0</v>
      </c>
      <c r="N1100" s="15" t="n">
        <v>0</v>
      </c>
      <c r="O1100" s="15" t="n">
        <v>0</v>
      </c>
      <c r="P1100" s="15" t="n">
        <v>6</v>
      </c>
      <c r="Q1100" s="15" t="n">
        <v>0</v>
      </c>
      <c r="R1100" s="15" t="n">
        <v>0</v>
      </c>
      <c r="S1100" s="15" t="n">
        <v>5</v>
      </c>
      <c r="T1100" s="14">
        <f>IF(COUNT(I1100:S1100)=0,"",SUM(I1100:S1100))</f>
        <v/>
      </c>
      <c r="U1100" t="inlineStr"/>
    </row>
    <row r="1101">
      <c r="A1101" t="inlineStr">
        <is>
          <t>다솔어린이집</t>
        </is>
      </c>
      <c r="B1101" t="inlineStr">
        <is>
          <t>어린이집</t>
        </is>
      </c>
      <c r="C1101" t="inlineStr">
        <is>
          <t>사회복지법인</t>
        </is>
      </c>
      <c r="D1101" t="inlineStr">
        <is>
          <t>해운대구</t>
        </is>
      </c>
      <c r="E1101" t="inlineStr">
        <is>
          <t>부산광역시 해운대구 재반로84번길 96-8 사회복지법인 다솔어린이집 (재송동)</t>
        </is>
      </c>
      <c r="F1101" s="11" t="inlineStr">
        <is>
          <t>http://cafe.daum.net/dasol8768</t>
        </is>
      </c>
      <c r="G1101" t="inlineStr">
        <is>
          <t>051-784-8768</t>
        </is>
      </c>
      <c r="H1101" s="15" t="n">
        <v>38</v>
      </c>
      <c r="I1101" s="15" t="n">
        <v>0</v>
      </c>
      <c r="J1101" s="15" t="n">
        <v>0</v>
      </c>
      <c r="K1101" s="15" t="n">
        <v>0</v>
      </c>
      <c r="L1101" s="15" t="n">
        <v>0</v>
      </c>
      <c r="M1101" s="15" t="n">
        <v>0</v>
      </c>
      <c r="N1101" s="15" t="n">
        <v>0</v>
      </c>
      <c r="O1101" s="15" t="n">
        <v>0</v>
      </c>
      <c r="P1101" s="15" t="n">
        <v>0</v>
      </c>
      <c r="Q1101" s="15" t="n">
        <v>0</v>
      </c>
      <c r="R1101" s="15" t="n">
        <v>33</v>
      </c>
      <c r="S1101" s="15" t="n">
        <v>3</v>
      </c>
      <c r="T1101" s="14">
        <f>IF(COUNT(I1101:S1101)=0,"",SUM(I1101:S1101))</f>
        <v/>
      </c>
      <c r="U1101" t="inlineStr"/>
    </row>
    <row r="1102">
      <c r="A1102" t="inlineStr">
        <is>
          <t>다을어린이집</t>
        </is>
      </c>
      <c r="B1102" t="inlineStr">
        <is>
          <t>어린이집</t>
        </is>
      </c>
      <c r="C1102" t="inlineStr">
        <is>
          <t>민간</t>
        </is>
      </c>
      <c r="D1102" t="inlineStr">
        <is>
          <t>해운대구</t>
        </is>
      </c>
      <c r="E1102" t="inlineStr">
        <is>
          <t>부산광역시 해운대구 반여로155번다길 29-16</t>
        </is>
      </c>
      <c r="F1102" t="inlineStr"/>
      <c r="G1102" t="inlineStr">
        <is>
          <t>051-528-3578</t>
        </is>
      </c>
      <c r="H1102" s="15" t="n">
        <v>99</v>
      </c>
      <c r="I1102" s="15" t="n">
        <v>2</v>
      </c>
      <c r="J1102" s="15" t="n">
        <v>15</v>
      </c>
      <c r="K1102" s="15" t="n">
        <v>8</v>
      </c>
      <c r="L1102" s="15" t="n">
        <v>13</v>
      </c>
      <c r="M1102" s="15" t="n">
        <v>0</v>
      </c>
      <c r="N1102" s="15" t="n">
        <v>14</v>
      </c>
      <c r="O1102" s="15" t="n">
        <v>4</v>
      </c>
      <c r="P1102" s="15" t="n">
        <v>13</v>
      </c>
      <c r="Q1102" s="15" t="n">
        <v>0</v>
      </c>
      <c r="R1102" s="15" t="n">
        <v>6</v>
      </c>
      <c r="S1102" s="15" t="n">
        <v>30</v>
      </c>
      <c r="T1102" s="14">
        <f>IF(COUNT(I1102:S1102)=0,"",SUM(I1102:S1102))</f>
        <v/>
      </c>
      <c r="U1102" t="inlineStr"/>
    </row>
    <row r="1103">
      <c r="A1103" t="inlineStr">
        <is>
          <t>달맞이유림어린이집</t>
        </is>
      </c>
      <c r="B1103" t="inlineStr">
        <is>
          <t>어린이집</t>
        </is>
      </c>
      <c r="C1103" t="inlineStr">
        <is>
          <t>국공립</t>
        </is>
      </c>
      <c r="D1103" t="inlineStr">
        <is>
          <t>해운대구</t>
        </is>
      </c>
      <c r="E1103" t="inlineStr">
        <is>
          <t>부산광역시 해운대구 달맞이길65번길 33 관리동</t>
        </is>
      </c>
      <c r="F1103" t="inlineStr"/>
      <c r="G1103" t="inlineStr">
        <is>
          <t>051-711-2800</t>
        </is>
      </c>
      <c r="H1103" s="15" t="n">
        <v>33</v>
      </c>
      <c r="I1103" s="15" t="n">
        <v>0</v>
      </c>
      <c r="J1103" s="15" t="n">
        <v>15</v>
      </c>
      <c r="K1103" s="15" t="n">
        <v>7</v>
      </c>
      <c r="L1103" s="15" t="n">
        <v>0</v>
      </c>
      <c r="M1103" s="15" t="n">
        <v>0</v>
      </c>
      <c r="N1103" s="15" t="n">
        <v>0</v>
      </c>
      <c r="O1103" s="15" t="n">
        <v>5</v>
      </c>
      <c r="P1103" s="15" t="n">
        <v>0</v>
      </c>
      <c r="Q1103" s="15" t="n">
        <v>0</v>
      </c>
      <c r="R1103" s="15" t="n">
        <v>0</v>
      </c>
      <c r="S1103" s="15" t="n">
        <v>3</v>
      </c>
      <c r="T1103" s="14">
        <f>IF(COUNT(I1103:S1103)=0,"",SUM(I1103:S1103))</f>
        <v/>
      </c>
      <c r="U1103" t="inlineStr"/>
    </row>
    <row r="1104">
      <c r="A1104" t="inlineStr">
        <is>
          <t>대림어린이집</t>
        </is>
      </c>
      <c r="B1104" t="inlineStr">
        <is>
          <t>어린이집</t>
        </is>
      </c>
      <c r="C1104" t="inlineStr">
        <is>
          <t>가정</t>
        </is>
      </c>
      <c r="D1104" t="inlineStr">
        <is>
          <t>해운대구</t>
        </is>
      </c>
      <c r="E1104" t="inlineStr">
        <is>
          <t>부산광역시 해운대구 대천로103번길 47 102동 102호(좌동, 대림아파트)</t>
        </is>
      </c>
      <c r="F1104" s="11" t="inlineStr">
        <is>
          <t>http://www.kids.kg.kr</t>
        </is>
      </c>
      <c r="G1104" t="inlineStr">
        <is>
          <t>051-701-6266</t>
        </is>
      </c>
      <c r="H1104" s="15" t="n">
        <v>20</v>
      </c>
      <c r="I1104" s="15" t="n">
        <v>6</v>
      </c>
      <c r="J1104" s="15" t="n">
        <v>8</v>
      </c>
      <c r="K1104" s="15" t="n">
        <v>5</v>
      </c>
      <c r="L1104" s="15" t="n">
        <v>0</v>
      </c>
      <c r="M1104" s="15" t="n">
        <v>0</v>
      </c>
      <c r="N1104" s="15" t="n">
        <v>0</v>
      </c>
      <c r="O1104" s="15" t="n">
        <v>0</v>
      </c>
      <c r="P1104" s="15" t="n">
        <v>0</v>
      </c>
      <c r="Q1104" s="15" t="n">
        <v>0</v>
      </c>
      <c r="R1104" s="15" t="n">
        <v>0</v>
      </c>
      <c r="S1104" s="15" t="n">
        <v>3</v>
      </c>
      <c r="T1104" s="14">
        <f>IF(COUNT(I1104:S1104)=0,"",SUM(I1104:S1104))</f>
        <v/>
      </c>
      <c r="U1104" t="inlineStr"/>
    </row>
    <row r="1105">
      <c r="A1105" t="inlineStr">
        <is>
          <t>더슈필어린이집</t>
        </is>
      </c>
      <c r="B1105" t="inlineStr">
        <is>
          <t>어린이집</t>
        </is>
      </c>
      <c r="C1105" t="inlineStr">
        <is>
          <t>민간</t>
        </is>
      </c>
      <c r="D1105" t="inlineStr">
        <is>
          <t>해운대구</t>
        </is>
      </c>
      <c r="E1105" t="inlineStr">
        <is>
          <t>부산광역시 해운대구 대천로 187 (좌동)</t>
        </is>
      </c>
      <c r="F1105" t="inlineStr"/>
      <c r="G1105" t="inlineStr">
        <is>
          <t>051-702-1004</t>
        </is>
      </c>
      <c r="H1105" s="15" t="n">
        <v>68</v>
      </c>
      <c r="I1105" s="15" t="n">
        <v>5</v>
      </c>
      <c r="J1105" s="15" t="n">
        <v>9</v>
      </c>
      <c r="K1105" s="15" t="n">
        <v>11</v>
      </c>
      <c r="L1105" s="15" t="n">
        <v>0</v>
      </c>
      <c r="M1105" s="15" t="n">
        <v>0</v>
      </c>
      <c r="N1105" s="15" t="n">
        <v>0</v>
      </c>
      <c r="O1105" s="15" t="n">
        <v>6</v>
      </c>
      <c r="P1105" s="15" t="n">
        <v>10</v>
      </c>
      <c r="Q1105" s="15" t="n">
        <v>0</v>
      </c>
      <c r="R1105" s="15" t="n">
        <v>0</v>
      </c>
      <c r="S1105" s="15" t="n">
        <v>5</v>
      </c>
      <c r="T1105" s="14">
        <f>IF(COUNT(I1105:S1105)=0,"",SUM(I1105:S1105))</f>
        <v/>
      </c>
      <c r="U1105" t="inlineStr"/>
    </row>
    <row r="1106">
      <c r="A1106" t="inlineStr">
        <is>
          <t>데레사어린이집</t>
        </is>
      </c>
      <c r="B1106" t="inlineStr">
        <is>
          <t>어린이집</t>
        </is>
      </c>
      <c r="C1106" t="inlineStr">
        <is>
          <t>민간</t>
        </is>
      </c>
      <c r="D1106" t="inlineStr">
        <is>
          <t>해운대구</t>
        </is>
      </c>
      <c r="E1106" t="inlineStr">
        <is>
          <t>부산광역시 해운대구 좌동순환로99번길 22 경남아너스빌 관리동 내</t>
        </is>
      </c>
      <c r="F1106" t="inlineStr"/>
      <c r="G1106" t="inlineStr">
        <is>
          <t>051-747-1979</t>
        </is>
      </c>
      <c r="H1106" s="15" t="n">
        <v>35</v>
      </c>
      <c r="I1106" s="15" t="n">
        <v>3</v>
      </c>
      <c r="J1106" s="15" t="n">
        <v>14</v>
      </c>
      <c r="K1106" s="15" t="n">
        <v>8</v>
      </c>
      <c r="L1106" s="15" t="n">
        <v>0</v>
      </c>
      <c r="M1106" s="15" t="n">
        <v>0</v>
      </c>
      <c r="N1106" s="15" t="n">
        <v>0</v>
      </c>
      <c r="O1106" s="15" t="n">
        <v>0</v>
      </c>
      <c r="P1106" s="15" t="n">
        <v>7</v>
      </c>
      <c r="Q1106" s="15" t="n">
        <v>0</v>
      </c>
      <c r="R1106" s="15" t="n">
        <v>0</v>
      </c>
      <c r="S1106" s="15" t="n">
        <v>8</v>
      </c>
      <c r="T1106" s="14">
        <f>IF(COUNT(I1106:S1106)=0,"",SUM(I1106:S1106))</f>
        <v/>
      </c>
      <c r="U1106" t="inlineStr"/>
    </row>
    <row r="1107">
      <c r="A1107" t="inlineStr">
        <is>
          <t>도담어린이집</t>
        </is>
      </c>
      <c r="B1107" t="inlineStr">
        <is>
          <t>어린이집</t>
        </is>
      </c>
      <c r="C1107" t="inlineStr">
        <is>
          <t>가정</t>
        </is>
      </c>
      <c r="D1107" t="inlineStr">
        <is>
          <t>해운대구</t>
        </is>
      </c>
      <c r="E1107" t="inlineStr">
        <is>
          <t>부산광역시 해운대구 좌동순환로311번길 8 영남아파트 단지내</t>
        </is>
      </c>
      <c r="F1107" t="inlineStr"/>
      <c r="G1107" t="inlineStr">
        <is>
          <t>051-702-6989</t>
        </is>
      </c>
      <c r="H1107" s="15" t="n">
        <v>20</v>
      </c>
      <c r="I1107" s="15" t="n">
        <v>3</v>
      </c>
      <c r="J1107" s="15" t="n">
        <v>0</v>
      </c>
      <c r="K1107" s="15" t="n">
        <v>4</v>
      </c>
      <c r="L1107" s="15" t="n">
        <v>0</v>
      </c>
      <c r="M1107" s="15" t="n">
        <v>0</v>
      </c>
      <c r="N1107" s="15" t="n">
        <v>0</v>
      </c>
      <c r="O1107" s="15" t="n">
        <v>0</v>
      </c>
      <c r="P1107" s="15" t="n">
        <v>0</v>
      </c>
      <c r="Q1107" s="15" t="n">
        <v>0</v>
      </c>
      <c r="R1107" s="15" t="n">
        <v>0</v>
      </c>
      <c r="S1107" s="15" t="n">
        <v>4</v>
      </c>
      <c r="T1107" s="14">
        <f>IF(COUNT(I1107:S1107)=0,"",SUM(I1107:S1107))</f>
        <v/>
      </c>
      <c r="U1107" t="inlineStr"/>
    </row>
    <row r="1108">
      <c r="A1108" t="inlineStr">
        <is>
          <t>동백어린이집</t>
        </is>
      </c>
      <c r="B1108" t="inlineStr">
        <is>
          <t>어린이집</t>
        </is>
      </c>
      <c r="C1108" t="inlineStr">
        <is>
          <t>사회복지법인</t>
        </is>
      </c>
      <c r="D1108" t="inlineStr">
        <is>
          <t>해운대구</t>
        </is>
      </c>
      <c r="E1108" t="inlineStr">
        <is>
          <t>부산광역시 해운대구 해운대로469번길 80</t>
        </is>
      </c>
      <c r="F1108" s="11" t="inlineStr">
        <is>
          <t>http://cafe.daum.net/hdong100</t>
        </is>
      </c>
      <c r="G1108" t="inlineStr">
        <is>
          <t>051-741-9461</t>
        </is>
      </c>
      <c r="H1108" s="15" t="n">
        <v>108</v>
      </c>
      <c r="I1108" s="15" t="n">
        <v>0</v>
      </c>
      <c r="J1108" s="15" t="n">
        <v>10</v>
      </c>
      <c r="K1108" s="15" t="n">
        <v>13</v>
      </c>
      <c r="L1108" s="15" t="n">
        <v>7</v>
      </c>
      <c r="M1108" s="15" t="n">
        <v>0</v>
      </c>
      <c r="N1108" s="15" t="n">
        <v>0</v>
      </c>
      <c r="O1108" s="15" t="n">
        <v>0</v>
      </c>
      <c r="P1108" s="15" t="n">
        <v>11</v>
      </c>
      <c r="Q1108" s="15" t="n">
        <v>0</v>
      </c>
      <c r="R1108" s="15" t="n">
        <v>0</v>
      </c>
      <c r="S1108" s="15" t="n">
        <v>10</v>
      </c>
      <c r="T1108" s="14">
        <f>IF(COUNT(I1108:S1108)=0,"",SUM(I1108:S1108))</f>
        <v/>
      </c>
      <c r="U1108" t="inlineStr"/>
    </row>
    <row r="1109">
      <c r="A1109" t="inlineStr">
        <is>
          <t>동부꿈나무어린이집</t>
        </is>
      </c>
      <c r="B1109" t="inlineStr">
        <is>
          <t>어린이집</t>
        </is>
      </c>
      <c r="C1109" t="inlineStr">
        <is>
          <t>국공립</t>
        </is>
      </c>
      <c r="D1109" t="inlineStr">
        <is>
          <t>해운대구</t>
        </is>
      </c>
      <c r="E1109" t="inlineStr">
        <is>
          <t>부산광역시 해운대구 해운대로161번길 12 (재송동, 센텀동부센트레빌아파트)</t>
        </is>
      </c>
      <c r="F1109" t="inlineStr"/>
      <c r="G1109" t="inlineStr">
        <is>
          <t>051-784-7588</t>
        </is>
      </c>
      <c r="H1109" s="15" t="n">
        <v>27</v>
      </c>
      <c r="I1109" s="15" t="n">
        <v>6</v>
      </c>
      <c r="J1109" s="15" t="n">
        <v>10</v>
      </c>
      <c r="K1109" s="15" t="n">
        <v>11</v>
      </c>
      <c r="L1109" s="15" t="n">
        <v>0</v>
      </c>
      <c r="M1109" s="15" t="n">
        <v>0</v>
      </c>
      <c r="N1109" s="15" t="n">
        <v>0</v>
      </c>
      <c r="O1109" s="15" t="n">
        <v>0</v>
      </c>
      <c r="P1109" s="15" t="n">
        <v>0</v>
      </c>
      <c r="Q1109" s="15" t="n">
        <v>0</v>
      </c>
      <c r="R1109" s="15" t="n">
        <v>0</v>
      </c>
      <c r="S1109" s="15" t="n">
        <v>8</v>
      </c>
      <c r="T1109" s="14">
        <f>IF(COUNT(I1109:S1109)=0,"",SUM(I1109:S1109))</f>
        <v/>
      </c>
      <c r="U1109" t="inlineStr"/>
    </row>
    <row r="1110">
      <c r="A1110" t="inlineStr">
        <is>
          <t>동부미래어린이집</t>
        </is>
      </c>
      <c r="B1110" t="inlineStr">
        <is>
          <t>어린이집</t>
        </is>
      </c>
      <c r="C1110" t="inlineStr">
        <is>
          <t>민간</t>
        </is>
      </c>
      <c r="D1110" t="inlineStr">
        <is>
          <t>해운대구</t>
        </is>
      </c>
      <c r="E1110" t="inlineStr">
        <is>
          <t>부산광역시 해운대구 해운대로 428 동부올림픽타운 관리사무소 내</t>
        </is>
      </c>
      <c r="F1110" s="11" t="inlineStr">
        <is>
          <t>https://blog.naver.com/dongbumirae25</t>
        </is>
      </c>
      <c r="G1110" t="inlineStr">
        <is>
          <t>051-747-1713</t>
        </is>
      </c>
      <c r="H1110" s="15" t="n">
        <v>75</v>
      </c>
      <c r="I1110" s="15" t="n">
        <v>9</v>
      </c>
      <c r="J1110" s="15" t="n">
        <v>25</v>
      </c>
      <c r="K1110" s="15" t="n">
        <v>17</v>
      </c>
      <c r="L1110" s="15" t="n">
        <v>0</v>
      </c>
      <c r="M1110" s="15" t="n">
        <v>0</v>
      </c>
      <c r="N1110" s="15" t="n">
        <v>0</v>
      </c>
      <c r="O1110" s="15" t="n">
        <v>0</v>
      </c>
      <c r="P1110" s="15" t="n">
        <v>0</v>
      </c>
      <c r="Q1110" s="15" t="n">
        <v>0</v>
      </c>
      <c r="R1110" s="15" t="n">
        <v>0</v>
      </c>
      <c r="S1110" s="15" t="n">
        <v>5</v>
      </c>
      <c r="T1110" s="14">
        <f>IF(COUNT(I1110:S1110)=0,"",SUM(I1110:S1110))</f>
        <v/>
      </c>
      <c r="U1110" t="inlineStr"/>
    </row>
    <row r="1111">
      <c r="A1111" t="inlineStr">
        <is>
          <t>동해어린이집</t>
        </is>
      </c>
      <c r="B1111" t="inlineStr">
        <is>
          <t>어린이집</t>
        </is>
      </c>
      <c r="C1111" t="inlineStr">
        <is>
          <t>사회복지법인</t>
        </is>
      </c>
      <c r="D1111" t="inlineStr">
        <is>
          <t>해운대구</t>
        </is>
      </c>
      <c r="E1111" t="inlineStr">
        <is>
          <t>부산광역시 해운대구 송정2로 67 (송정동)</t>
        </is>
      </c>
      <c r="F1111" s="11" t="inlineStr">
        <is>
          <t>http://cafe.daum.net/donghaelike</t>
        </is>
      </c>
      <c r="G1111" t="inlineStr">
        <is>
          <t>051-704-1158</t>
        </is>
      </c>
      <c r="H1111" s="15" t="n">
        <v>125</v>
      </c>
      <c r="I1111" s="15" t="n">
        <v>6</v>
      </c>
      <c r="J1111" s="15" t="n">
        <v>8</v>
      </c>
      <c r="K1111" s="15" t="n">
        <v>11</v>
      </c>
      <c r="L1111" s="15" t="n">
        <v>10</v>
      </c>
      <c r="M1111" s="15" t="n">
        <v>11</v>
      </c>
      <c r="N1111" s="15" t="n">
        <v>10</v>
      </c>
      <c r="O1111" s="15" t="n">
        <v>0</v>
      </c>
      <c r="P1111" s="15" t="n">
        <v>0</v>
      </c>
      <c r="Q1111" s="15" t="n">
        <v>0</v>
      </c>
      <c r="R1111" s="15" t="n">
        <v>3</v>
      </c>
      <c r="S1111" s="15" t="n">
        <v>20</v>
      </c>
      <c r="T1111" s="14">
        <f>IF(COUNT(I1111:S1111)=0,"",SUM(I1111:S1111))</f>
        <v/>
      </c>
      <c r="U1111" t="inlineStr"/>
    </row>
    <row r="1112">
      <c r="A1112" t="inlineStr">
        <is>
          <t>두산아이숲어린이집</t>
        </is>
      </c>
      <c r="B1112" t="inlineStr">
        <is>
          <t>어린이집</t>
        </is>
      </c>
      <c r="C1112" t="inlineStr">
        <is>
          <t>민간</t>
        </is>
      </c>
      <c r="D1112" t="inlineStr">
        <is>
          <t>해운대구</t>
        </is>
      </c>
      <c r="E1112" t="inlineStr">
        <is>
          <t>부산광역시 해운대구 해운대로383번길 93 관리동</t>
        </is>
      </c>
      <c r="F1112" t="inlineStr"/>
      <c r="G1112" t="inlineStr">
        <is>
          <t>051-928-2004</t>
        </is>
      </c>
      <c r="H1112" s="15" t="n">
        <v>40</v>
      </c>
      <c r="I1112" s="15" t="n">
        <v>10</v>
      </c>
      <c r="J1112" s="15" t="n">
        <v>15</v>
      </c>
      <c r="K1112" s="15" t="n">
        <v>15</v>
      </c>
      <c r="L1112" s="15" t="n">
        <v>0</v>
      </c>
      <c r="M1112" s="15" t="n">
        <v>0</v>
      </c>
      <c r="N1112" s="15" t="n">
        <v>0</v>
      </c>
      <c r="O1112" s="15" t="n">
        <v>0</v>
      </c>
      <c r="P1112" s="15" t="n">
        <v>0</v>
      </c>
      <c r="Q1112" s="15" t="n">
        <v>0</v>
      </c>
      <c r="R1112" s="15" t="n">
        <v>0</v>
      </c>
      <c r="S1112" s="15" t="n">
        <v>6</v>
      </c>
      <c r="T1112" s="14">
        <f>IF(COUNT(I1112:S1112)=0,"",SUM(I1112:S1112))</f>
        <v/>
      </c>
      <c r="U1112" t="inlineStr"/>
    </row>
    <row r="1113">
      <c r="A1113" t="inlineStr">
        <is>
          <t>두산어린이집</t>
        </is>
      </c>
      <c r="B1113" t="inlineStr">
        <is>
          <t>어린이집</t>
        </is>
      </c>
      <c r="C1113" t="inlineStr">
        <is>
          <t>민간</t>
        </is>
      </c>
      <c r="D1113" t="inlineStr">
        <is>
          <t>해운대구</t>
        </is>
      </c>
      <c r="E1113" t="inlineStr">
        <is>
          <t>부산광역시 해운대구 대천로 225 두산2차아파트 관리동</t>
        </is>
      </c>
      <c r="F1113" s="11" t="inlineStr">
        <is>
          <t>http://hae9102@hanmail.net</t>
        </is>
      </c>
      <c r="G1113" t="inlineStr">
        <is>
          <t>051-702-4474</t>
        </is>
      </c>
      <c r="H1113" s="15" t="n">
        <v>39</v>
      </c>
      <c r="I1113" s="15" t="n">
        <v>3</v>
      </c>
      <c r="J1113" s="15" t="n">
        <v>5</v>
      </c>
      <c r="K1113" s="15" t="n">
        <v>0</v>
      </c>
      <c r="L1113" s="15" t="n">
        <v>0</v>
      </c>
      <c r="M1113" s="15" t="n">
        <v>0</v>
      </c>
      <c r="N1113" s="15" t="n">
        <v>0</v>
      </c>
      <c r="O1113" s="15" t="n">
        <v>7</v>
      </c>
      <c r="P1113" s="15" t="n">
        <v>0</v>
      </c>
      <c r="Q1113" s="15" t="n">
        <v>0</v>
      </c>
      <c r="R1113" s="15" t="n">
        <v>0</v>
      </c>
      <c r="S1113" s="15" t="n">
        <v>5</v>
      </c>
      <c r="T1113" s="14">
        <f>IF(COUNT(I1113:S1113)=0,"",SUM(I1113:S1113))</f>
        <v/>
      </c>
      <c r="U1113" t="inlineStr"/>
    </row>
    <row r="1114">
      <c r="A1114" t="inlineStr">
        <is>
          <t>드파인센텀어린이집</t>
        </is>
      </c>
      <c r="B1114" t="inlineStr">
        <is>
          <t>어린이집</t>
        </is>
      </c>
      <c r="C1114" t="inlineStr">
        <is>
          <t>국공립</t>
        </is>
      </c>
      <c r="D1114" t="inlineStr">
        <is>
          <t>해운대구</t>
        </is>
      </c>
      <c r="E1114" t="inlineStr">
        <is>
          <t>부산광역시 해운대구 선수촌로 30 관리동(반여동, 드파인센텀)</t>
        </is>
      </c>
      <c r="F1114" t="inlineStr"/>
      <c r="G1114" t="inlineStr">
        <is>
          <t>051-715-6543</t>
        </is>
      </c>
      <c r="H1114" s="15" t="n">
        <v>48</v>
      </c>
      <c r="I1114" s="15" t="n">
        <v>9</v>
      </c>
      <c r="J1114" s="15" t="n">
        <v>14</v>
      </c>
      <c r="K1114" s="15" t="n">
        <v>18</v>
      </c>
      <c r="L1114" s="15" t="n">
        <v>0</v>
      </c>
      <c r="M1114" s="15" t="n">
        <v>0</v>
      </c>
      <c r="N1114" s="15" t="n">
        <v>0</v>
      </c>
      <c r="O1114" s="15" t="n">
        <v>0</v>
      </c>
      <c r="P1114" s="15" t="n">
        <v>0</v>
      </c>
      <c r="Q1114" s="15" t="n">
        <v>0</v>
      </c>
      <c r="R1114" s="15" t="n">
        <v>0</v>
      </c>
      <c r="S1114" s="15" t="n">
        <v>5</v>
      </c>
      <c r="T1114" s="14">
        <f>IF(COUNT(I1114:S1114)=0,"",SUM(I1114:S1114))</f>
        <v/>
      </c>
      <c r="U1114" t="inlineStr"/>
    </row>
    <row r="1115">
      <c r="A1115" t="inlineStr">
        <is>
          <t>라움어린이집</t>
        </is>
      </c>
      <c r="B1115" t="inlineStr">
        <is>
          <t>어린이집</t>
        </is>
      </c>
      <c r="C1115" t="inlineStr">
        <is>
          <t>가정</t>
        </is>
      </c>
      <c r="D1115" t="inlineStr">
        <is>
          <t>해운대구</t>
        </is>
      </c>
      <c r="E1115" t="inlineStr">
        <is>
          <t>부산광역시 해운대구 삼어로 55 116동 1층 관리동(반여동, 센텀SK뷰)</t>
        </is>
      </c>
      <c r="F1115" t="inlineStr"/>
      <c r="G1115" t="inlineStr">
        <is>
          <t>051-526-2120</t>
        </is>
      </c>
      <c r="H1115" s="15" t="n">
        <v>20</v>
      </c>
      <c r="I1115" s="15" t="n">
        <v>6</v>
      </c>
      <c r="J1115" s="15" t="n">
        <v>0</v>
      </c>
      <c r="K1115" s="15" t="n">
        <v>7</v>
      </c>
      <c r="L1115" s="15" t="n">
        <v>0</v>
      </c>
      <c r="M1115" s="15" t="n">
        <v>0</v>
      </c>
      <c r="N1115" s="15" t="n">
        <v>0</v>
      </c>
      <c r="O1115" s="15" t="n">
        <v>4</v>
      </c>
      <c r="P1115" s="15" t="n">
        <v>0</v>
      </c>
      <c r="Q1115" s="15" t="n">
        <v>0</v>
      </c>
      <c r="R1115" s="15" t="n">
        <v>0</v>
      </c>
      <c r="S1115" s="15" t="n">
        <v>5</v>
      </c>
      <c r="T1115" s="14">
        <f>IF(COUNT(I1115:S1115)=0,"",SUM(I1115:S1115))</f>
        <v/>
      </c>
      <c r="U1115" t="inlineStr"/>
    </row>
    <row r="1116">
      <c r="A1116" t="inlineStr">
        <is>
          <t>롯데어린이집</t>
        </is>
      </c>
      <c r="B1116" t="inlineStr">
        <is>
          <t>어린이집</t>
        </is>
      </c>
      <c r="C1116" t="inlineStr">
        <is>
          <t>민간</t>
        </is>
      </c>
      <c r="D1116" t="inlineStr">
        <is>
          <t>해운대구</t>
        </is>
      </c>
      <c r="E1116" t="inlineStr">
        <is>
          <t>부산광역시 해운대구 좌동순환로217번길 8 롯데4차아파트 내 관리동</t>
        </is>
      </c>
      <c r="F1116" t="inlineStr"/>
      <c r="G1116" t="inlineStr">
        <is>
          <t>051-704-6254</t>
        </is>
      </c>
      <c r="H1116" s="15" t="n">
        <v>31</v>
      </c>
      <c r="I1116" s="15" t="n">
        <v>0</v>
      </c>
      <c r="J1116" s="15" t="n">
        <v>0</v>
      </c>
      <c r="K1116" s="15" t="n">
        <v>6</v>
      </c>
      <c r="L1116" s="15" t="n">
        <v>0</v>
      </c>
      <c r="M1116" s="15" t="n">
        <v>0</v>
      </c>
      <c r="N1116" s="15" t="n">
        <v>0</v>
      </c>
      <c r="O1116" s="15" t="n">
        <v>9</v>
      </c>
      <c r="P1116" s="15" t="n">
        <v>0</v>
      </c>
      <c r="Q1116" s="15" t="n">
        <v>0</v>
      </c>
      <c r="R1116" s="15" t="n">
        <v>0</v>
      </c>
      <c r="S1116" s="15" t="n">
        <v>5</v>
      </c>
      <c r="T1116" s="14">
        <f>IF(COUNT(I1116:S1116)=0,"",SUM(I1116:S1116))</f>
        <v/>
      </c>
      <c r="U1116" t="inlineStr"/>
    </row>
    <row r="1117">
      <c r="A1117" t="inlineStr">
        <is>
          <t>롯데조은어린이집</t>
        </is>
      </c>
      <c r="B1117" t="inlineStr">
        <is>
          <t>어린이집</t>
        </is>
      </c>
      <c r="C1117" t="inlineStr">
        <is>
          <t>민간</t>
        </is>
      </c>
      <c r="D1117" t="inlineStr">
        <is>
          <t>해운대구</t>
        </is>
      </c>
      <c r="E1117" t="inlineStr">
        <is>
          <t>부산광역시 해운대구 반여로 68-12 관리동 (반여동, 센텀롯데캐슬2차아파트)</t>
        </is>
      </c>
      <c r="F1117" s="11" t="inlineStr">
        <is>
          <t>http://lottejoeun.modoo.at</t>
        </is>
      </c>
      <c r="G1117" t="inlineStr">
        <is>
          <t>051-524-5507</t>
        </is>
      </c>
      <c r="H1117" s="15" t="n">
        <v>23</v>
      </c>
      <c r="I1117" s="15" t="n">
        <v>0</v>
      </c>
      <c r="J1117" s="15" t="n">
        <v>4</v>
      </c>
      <c r="K1117" s="15" t="n">
        <v>7</v>
      </c>
      <c r="L1117" s="15" t="n">
        <v>0</v>
      </c>
      <c r="M1117" s="15" t="n">
        <v>0</v>
      </c>
      <c r="N1117" s="15" t="n">
        <v>0</v>
      </c>
      <c r="O1117" s="15" t="n">
        <v>0</v>
      </c>
      <c r="P1117" s="15" t="n">
        <v>0</v>
      </c>
      <c r="Q1117" s="15" t="n">
        <v>0</v>
      </c>
      <c r="R1117" s="15" t="n">
        <v>0</v>
      </c>
      <c r="S1117" s="15" t="n">
        <v>3</v>
      </c>
      <c r="T1117" s="14">
        <f>IF(COUNT(I1117:S1117)=0,"",SUM(I1117:S1117))</f>
        <v/>
      </c>
      <c r="U1117" t="inlineStr"/>
    </row>
    <row r="1118">
      <c r="A1118" t="inlineStr">
        <is>
          <t>롯데캐슬스타어린이집</t>
        </is>
      </c>
      <c r="B1118" t="inlineStr">
        <is>
          <t>어린이집</t>
        </is>
      </c>
      <c r="C1118" t="inlineStr">
        <is>
          <t>국공립</t>
        </is>
      </c>
      <c r="D1118" t="inlineStr">
        <is>
          <t>해운대구</t>
        </is>
      </c>
      <c r="E1118" t="inlineStr">
        <is>
          <t>부산광역시 해운대구 중동2로34번길 15 (중동, 롯데캐슬스타)</t>
        </is>
      </c>
      <c r="F1118" t="inlineStr"/>
      <c r="G1118" t="inlineStr">
        <is>
          <t>051-747-7055</t>
        </is>
      </c>
      <c r="H1118" s="15" t="n">
        <v>52</v>
      </c>
      <c r="I1118" s="15" t="n">
        <v>9</v>
      </c>
      <c r="J1118" s="15" t="n">
        <v>15</v>
      </c>
      <c r="K1118" s="15" t="n">
        <v>14</v>
      </c>
      <c r="L1118" s="15" t="n">
        <v>0</v>
      </c>
      <c r="M1118" s="15" t="n">
        <v>0</v>
      </c>
      <c r="N1118" s="15" t="n">
        <v>0</v>
      </c>
      <c r="O1118" s="15" t="n">
        <v>0</v>
      </c>
      <c r="P1118" s="15" t="n">
        <v>0</v>
      </c>
      <c r="Q1118" s="15" t="n">
        <v>0</v>
      </c>
      <c r="R1118" s="15" t="n">
        <v>0</v>
      </c>
      <c r="S1118" s="15" t="n">
        <v>8</v>
      </c>
      <c r="T1118" s="14">
        <f>IF(COUNT(I1118:S1118)=0,"",SUM(I1118:S1118))</f>
        <v/>
      </c>
      <c r="U1118" t="inlineStr"/>
    </row>
    <row r="1119">
      <c r="A1119" t="inlineStr">
        <is>
          <t>롯데캐슬어린이집</t>
        </is>
      </c>
      <c r="B1119" t="inlineStr">
        <is>
          <t>어린이집</t>
        </is>
      </c>
      <c r="C1119" t="inlineStr">
        <is>
          <t>가정</t>
        </is>
      </c>
      <c r="D1119" t="inlineStr">
        <is>
          <t>해운대구</t>
        </is>
      </c>
      <c r="E1119" t="inlineStr">
        <is>
          <t>부산광역시 해운대구 반여로 133 110동 104호(반여동, 센텀롯데캐슬아파트)</t>
        </is>
      </c>
      <c r="F1119" t="inlineStr"/>
      <c r="G1119" t="inlineStr">
        <is>
          <t>051-527-3151</t>
        </is>
      </c>
      <c r="H1119" s="15" t="n">
        <v>19</v>
      </c>
      <c r="I1119" s="15" t="n">
        <v>0</v>
      </c>
      <c r="J1119" s="15" t="n">
        <v>8</v>
      </c>
      <c r="K1119" s="15" t="n">
        <v>6</v>
      </c>
      <c r="L1119" s="15" t="n">
        <v>0</v>
      </c>
      <c r="M1119" s="15" t="n">
        <v>0</v>
      </c>
      <c r="N1119" s="15" t="n">
        <v>0</v>
      </c>
      <c r="O1119" s="15" t="n">
        <v>2</v>
      </c>
      <c r="P1119" s="15" t="n">
        <v>0</v>
      </c>
      <c r="Q1119" s="15" t="n">
        <v>0</v>
      </c>
      <c r="R1119" s="15" t="n">
        <v>0</v>
      </c>
      <c r="S1119" s="15" t="n">
        <v>10</v>
      </c>
      <c r="T1119" s="14">
        <f>IF(COUNT(I1119:S1119)=0,"",SUM(I1119:S1119))</f>
        <v/>
      </c>
      <c r="U1119" t="inlineStr"/>
    </row>
    <row r="1120">
      <c r="A1120" t="inlineStr">
        <is>
          <t>롯데햇살어린이집</t>
        </is>
      </c>
      <c r="B1120" t="inlineStr">
        <is>
          <t>어린이집</t>
        </is>
      </c>
      <c r="C1120" t="inlineStr">
        <is>
          <t>민간</t>
        </is>
      </c>
      <c r="D1120" t="inlineStr">
        <is>
          <t>해운대구</t>
        </is>
      </c>
      <c r="E1120" t="inlineStr">
        <is>
          <t>부산광역시 해운대구 해운대로483번길 10 (우동)</t>
        </is>
      </c>
      <c r="F1120" t="inlineStr"/>
      <c r="G1120" t="inlineStr">
        <is>
          <t>051-747-8628</t>
        </is>
      </c>
      <c r="H1120" s="15" t="n">
        <v>39</v>
      </c>
      <c r="I1120" s="15" t="n">
        <v>2</v>
      </c>
      <c r="J1120" s="15" t="n">
        <v>5</v>
      </c>
      <c r="K1120" s="15" t="n">
        <v>0</v>
      </c>
      <c r="L1120" s="15" t="n">
        <v>0</v>
      </c>
      <c r="M1120" s="15" t="n">
        <v>0</v>
      </c>
      <c r="N1120" s="15" t="n">
        <v>0</v>
      </c>
      <c r="O1120" s="15" t="n">
        <v>0</v>
      </c>
      <c r="P1120" s="15" t="n">
        <v>0</v>
      </c>
      <c r="Q1120" s="15" t="n">
        <v>5</v>
      </c>
      <c r="R1120" s="15" t="n">
        <v>0</v>
      </c>
      <c r="S1120" s="15" t="n">
        <v>0</v>
      </c>
      <c r="T1120" s="14">
        <f>IF(COUNT(I1120:S1120)=0,"",SUM(I1120:S1120))</f>
        <v/>
      </c>
      <c r="U1120" t="inlineStr"/>
    </row>
    <row r="1121">
      <c r="A1121" t="inlineStr">
        <is>
          <t>마루영재 어린이집</t>
        </is>
      </c>
      <c r="B1121" t="inlineStr">
        <is>
          <t>어린이집</t>
        </is>
      </c>
      <c r="C1121" t="inlineStr">
        <is>
          <t>가정</t>
        </is>
      </c>
      <c r="D1121" t="inlineStr">
        <is>
          <t>해운대구</t>
        </is>
      </c>
      <c r="E1121" t="inlineStr">
        <is>
          <t>부산광역시 해운대구 수영강변대로 382 107동 1층(반여동, 센텀피오레1차)</t>
        </is>
      </c>
      <c r="F1121" t="inlineStr"/>
      <c r="G1121" t="inlineStr">
        <is>
          <t>051-783-6001</t>
        </is>
      </c>
      <c r="H1121" s="15" t="n">
        <v>20</v>
      </c>
      <c r="I1121" s="15" t="n">
        <v>0</v>
      </c>
      <c r="J1121" s="15" t="n">
        <v>7</v>
      </c>
      <c r="K1121" s="15" t="n">
        <v>0</v>
      </c>
      <c r="L1121" s="15" t="n">
        <v>0</v>
      </c>
      <c r="M1121" s="15" t="n">
        <v>0</v>
      </c>
      <c r="N1121" s="15" t="n">
        <v>0</v>
      </c>
      <c r="O1121" s="15" t="n">
        <v>3</v>
      </c>
      <c r="P1121" s="15" t="n">
        <v>0</v>
      </c>
      <c r="Q1121" s="15" t="n">
        <v>0</v>
      </c>
      <c r="R1121" s="15" t="n">
        <v>0</v>
      </c>
      <c r="S1121" s="15" t="n">
        <v>16</v>
      </c>
      <c r="T1121" s="14">
        <f>IF(COUNT(I1121:S1121)=0,"",SUM(I1121:S1121))</f>
        <v/>
      </c>
      <c r="U1121" t="inlineStr"/>
    </row>
    <row r="1122">
      <c r="A1122" t="inlineStr">
        <is>
          <t>마리나어린이집</t>
        </is>
      </c>
      <c r="B1122" t="inlineStr">
        <is>
          <t>어린이집</t>
        </is>
      </c>
      <c r="C1122" t="inlineStr">
        <is>
          <t>가정</t>
        </is>
      </c>
      <c r="D1122" t="inlineStr">
        <is>
          <t>해운대구</t>
        </is>
      </c>
      <c r="E1122" t="inlineStr">
        <is>
          <t>부산광역시 해운대구 해운대해변로 115 305동 105호(우동, 대우마리나)</t>
        </is>
      </c>
      <c r="F1122" t="inlineStr"/>
      <c r="G1122" t="inlineStr">
        <is>
          <t>051-741-7655</t>
        </is>
      </c>
      <c r="H1122" s="15" t="n">
        <v>19</v>
      </c>
      <c r="I1122" s="15" t="n">
        <v>6</v>
      </c>
      <c r="J1122" s="15" t="n">
        <v>9</v>
      </c>
      <c r="K1122" s="15" t="n">
        <v>4</v>
      </c>
      <c r="L1122" s="15" t="n">
        <v>0</v>
      </c>
      <c r="M1122" s="15" t="n">
        <v>0</v>
      </c>
      <c r="N1122" s="15" t="n">
        <v>0</v>
      </c>
      <c r="O1122" s="15" t="n">
        <v>0</v>
      </c>
      <c r="P1122" s="15" t="n">
        <v>0</v>
      </c>
      <c r="Q1122" s="15" t="n">
        <v>0</v>
      </c>
      <c r="R1122" s="15" t="n">
        <v>0</v>
      </c>
      <c r="S1122" s="15" t="n">
        <v>5</v>
      </c>
      <c r="T1122" s="14">
        <f>IF(COUNT(I1122:S1122)=0,"",SUM(I1122:S1122))</f>
        <v/>
      </c>
      <c r="U1122" t="inlineStr"/>
    </row>
    <row r="1123">
      <c r="A1123" t="inlineStr">
        <is>
          <t>마리나위즈어린이집</t>
        </is>
      </c>
      <c r="B1123" t="inlineStr">
        <is>
          <t>어린이집</t>
        </is>
      </c>
      <c r="C1123" t="inlineStr">
        <is>
          <t>가정</t>
        </is>
      </c>
      <c r="D1123" t="inlineStr">
        <is>
          <t>해운대구</t>
        </is>
      </c>
      <c r="E1123" t="inlineStr">
        <is>
          <t>부산광역시 해운대구 해운대해변로 115 308-103(우동, 대우마리나)</t>
        </is>
      </c>
      <c r="F1123" t="inlineStr"/>
      <c r="G1123" t="inlineStr">
        <is>
          <t>051-747-7739</t>
        </is>
      </c>
      <c r="H1123" s="15" t="n">
        <v>19</v>
      </c>
      <c r="I1123" s="15" t="n">
        <v>6</v>
      </c>
      <c r="J1123" s="15" t="n">
        <v>5</v>
      </c>
      <c r="K1123" s="15" t="n">
        <v>6</v>
      </c>
      <c r="L1123" s="15" t="n">
        <v>0</v>
      </c>
      <c r="M1123" s="15" t="n">
        <v>0</v>
      </c>
      <c r="N1123" s="15" t="n">
        <v>0</v>
      </c>
      <c r="O1123" s="15" t="n">
        <v>0</v>
      </c>
      <c r="P1123" s="15" t="n">
        <v>0</v>
      </c>
      <c r="Q1123" s="15" t="n">
        <v>0</v>
      </c>
      <c r="R1123" s="15" t="n">
        <v>0</v>
      </c>
      <c r="S1123" s="15" t="n">
        <v>6</v>
      </c>
      <c r="T1123" s="14">
        <f>IF(COUNT(I1123:S1123)=0,"",SUM(I1123:S1123))</f>
        <v/>
      </c>
      <c r="U1123" t="inlineStr"/>
    </row>
    <row r="1124">
      <c r="A1124" t="inlineStr">
        <is>
          <t>마리나키즈어린이집</t>
        </is>
      </c>
      <c r="B1124" t="inlineStr">
        <is>
          <t>어린이집</t>
        </is>
      </c>
      <c r="C1124" t="inlineStr">
        <is>
          <t>가정</t>
        </is>
      </c>
      <c r="D1124" t="inlineStr">
        <is>
          <t>해운대구</t>
        </is>
      </c>
      <c r="E1124" t="inlineStr">
        <is>
          <t>부산광역시 해운대구 해운대해변로 99 101-101(우동, 경남마리나아파트)</t>
        </is>
      </c>
      <c r="F1124" s="11" t="inlineStr">
        <is>
          <t>http://hhj9452@naver.com</t>
        </is>
      </c>
      <c r="G1124" t="inlineStr">
        <is>
          <t>051-741-7729</t>
        </is>
      </c>
      <c r="H1124" s="15" t="n">
        <v>19</v>
      </c>
      <c r="I1124" s="15" t="n">
        <v>6</v>
      </c>
      <c r="J1124" s="15" t="n">
        <v>5</v>
      </c>
      <c r="K1124" s="15" t="n">
        <v>7</v>
      </c>
      <c r="L1124" s="15" t="n">
        <v>0</v>
      </c>
      <c r="M1124" s="15" t="n">
        <v>0</v>
      </c>
      <c r="N1124" s="15" t="n">
        <v>0</v>
      </c>
      <c r="O1124" s="15" t="n">
        <v>0</v>
      </c>
      <c r="P1124" s="15" t="n">
        <v>0</v>
      </c>
      <c r="Q1124" s="15" t="n">
        <v>0</v>
      </c>
      <c r="R1124" s="15" t="n">
        <v>0</v>
      </c>
      <c r="S1124" s="15" t="n">
        <v>5</v>
      </c>
      <c r="T1124" s="14">
        <f>IF(COUNT(I1124:S1124)=0,"",SUM(I1124:S1124))</f>
        <v/>
      </c>
      <c r="U1124" t="inlineStr"/>
    </row>
    <row r="1125">
      <c r="A1125" t="inlineStr">
        <is>
          <t>마린동백제니스어린이집</t>
        </is>
      </c>
      <c r="B1125" t="inlineStr">
        <is>
          <t>어린이집</t>
        </is>
      </c>
      <c r="C1125" t="inlineStr">
        <is>
          <t>민간</t>
        </is>
      </c>
      <c r="D1125" t="inlineStr">
        <is>
          <t>해운대구</t>
        </is>
      </c>
      <c r="E1125" t="inlineStr">
        <is>
          <t>부산광역시 해운대구 해운대로 540 관리동(해운대동백두산위브더제니스)</t>
        </is>
      </c>
      <c r="F1125" t="inlineStr"/>
      <c r="G1125" t="inlineStr">
        <is>
          <t>051-746-4555</t>
        </is>
      </c>
      <c r="H1125" s="15" t="n">
        <v>47</v>
      </c>
      <c r="I1125" s="15" t="n">
        <v>6</v>
      </c>
      <c r="J1125" s="15" t="n">
        <v>25</v>
      </c>
      <c r="K1125" s="15" t="n">
        <v>14</v>
      </c>
      <c r="L1125" s="15" t="n">
        <v>0</v>
      </c>
      <c r="M1125" s="15" t="n">
        <v>0</v>
      </c>
      <c r="N1125" s="15" t="n">
        <v>0</v>
      </c>
      <c r="O1125" s="15" t="n">
        <v>0</v>
      </c>
      <c r="P1125" s="15" t="n">
        <v>0</v>
      </c>
      <c r="Q1125" s="15" t="n">
        <v>0</v>
      </c>
      <c r="R1125" s="15" t="n">
        <v>0</v>
      </c>
      <c r="S1125" s="15" t="n">
        <v>0</v>
      </c>
      <c r="T1125" s="14">
        <f>IF(COUNT(I1125:S1125)=0,"",SUM(I1125:S1125))</f>
        <v/>
      </c>
      <c r="U1125" t="inlineStr"/>
    </row>
    <row r="1126">
      <c r="A1126" t="inlineStr">
        <is>
          <t>미키어린이집</t>
        </is>
      </c>
      <c r="B1126" t="inlineStr">
        <is>
          <t>어린이집</t>
        </is>
      </c>
      <c r="C1126" t="inlineStr">
        <is>
          <t>가정</t>
        </is>
      </c>
      <c r="D1126" t="inlineStr">
        <is>
          <t>해운대구</t>
        </is>
      </c>
      <c r="E1126" t="inlineStr">
        <is>
          <t>부산광역시 해운대구 대천로 205 108동 102호(좌동, 벽산아파트)</t>
        </is>
      </c>
      <c r="F1126" t="inlineStr"/>
      <c r="G1126" t="inlineStr">
        <is>
          <t>051-702-2608</t>
        </is>
      </c>
      <c r="H1126" s="15" t="n">
        <v>20</v>
      </c>
      <c r="I1126" s="15" t="n">
        <v>5</v>
      </c>
      <c r="J1126" s="15" t="n">
        <v>5</v>
      </c>
      <c r="K1126" s="15" t="n">
        <v>6</v>
      </c>
      <c r="L1126" s="15" t="n">
        <v>0</v>
      </c>
      <c r="M1126" s="15" t="n">
        <v>0</v>
      </c>
      <c r="N1126" s="15" t="n">
        <v>0</v>
      </c>
      <c r="O1126" s="15" t="n">
        <v>0</v>
      </c>
      <c r="P1126" s="15" t="n">
        <v>0</v>
      </c>
      <c r="Q1126" s="15" t="n">
        <v>0</v>
      </c>
      <c r="R1126" s="15" t="n">
        <v>0</v>
      </c>
      <c r="S1126" s="15" t="n">
        <v>0</v>
      </c>
      <c r="T1126" s="14">
        <f>IF(COUNT(I1126:S1126)=0,"",SUM(I1126:S1126))</f>
        <v/>
      </c>
      <c r="U1126" t="inlineStr"/>
    </row>
    <row r="1127">
      <c r="A1127" t="inlineStr">
        <is>
          <t>반도새싹어린이집</t>
        </is>
      </c>
      <c r="B1127" t="inlineStr">
        <is>
          <t>어린이집</t>
        </is>
      </c>
      <c r="C1127" t="inlineStr">
        <is>
          <t>민간</t>
        </is>
      </c>
      <c r="D1127" t="inlineStr">
        <is>
          <t>해운대구</t>
        </is>
      </c>
      <c r="E1127" t="inlineStr">
        <is>
          <t>부산광역시 해운대구 해운대로 495 반도보라빌 내 관리동</t>
        </is>
      </c>
      <c r="F1127" t="inlineStr"/>
      <c r="G1127" t="inlineStr">
        <is>
          <t>051-743-2160</t>
        </is>
      </c>
      <c r="H1127" s="15" t="n">
        <v>33</v>
      </c>
      <c r="I1127" s="15" t="n">
        <v>9</v>
      </c>
      <c r="J1127" s="15" t="n">
        <v>10</v>
      </c>
      <c r="K1127" s="15" t="n">
        <v>14</v>
      </c>
      <c r="L1127" s="15" t="n">
        <v>0</v>
      </c>
      <c r="M1127" s="15" t="n">
        <v>0</v>
      </c>
      <c r="N1127" s="15" t="n">
        <v>0</v>
      </c>
      <c r="O1127" s="15" t="n">
        <v>0</v>
      </c>
      <c r="P1127" s="15" t="n">
        <v>0</v>
      </c>
      <c r="Q1127" s="15" t="n">
        <v>0</v>
      </c>
      <c r="R1127" s="15" t="n">
        <v>0</v>
      </c>
      <c r="S1127" s="15" t="n">
        <v>3</v>
      </c>
      <c r="T1127" s="14">
        <f>IF(COUNT(I1127:S1127)=0,"",SUM(I1127:S1127))</f>
        <v/>
      </c>
      <c r="U1127" t="inlineStr"/>
    </row>
    <row r="1128">
      <c r="A1128" t="inlineStr">
        <is>
          <t>반송1동어린이집</t>
        </is>
      </c>
      <c r="B1128" t="inlineStr">
        <is>
          <t>어린이집</t>
        </is>
      </c>
      <c r="C1128" t="inlineStr">
        <is>
          <t>국공립</t>
        </is>
      </c>
      <c r="D1128" t="inlineStr">
        <is>
          <t>해운대구</t>
        </is>
      </c>
      <c r="E1128" t="inlineStr">
        <is>
          <t>부산광역시 해운대구 반송순환로 129 (반송동)</t>
        </is>
      </c>
      <c r="F1128" s="11" t="inlineStr">
        <is>
          <t>http://bansong-3d@hanmail.net</t>
        </is>
      </c>
      <c r="G1128" t="inlineStr">
        <is>
          <t>051-545-7179</t>
        </is>
      </c>
      <c r="H1128" s="15" t="n">
        <v>61</v>
      </c>
      <c r="I1128" s="15" t="n">
        <v>3</v>
      </c>
      <c r="J1128" s="15" t="n">
        <v>7</v>
      </c>
      <c r="K1128" s="15" t="n">
        <v>7</v>
      </c>
      <c r="L1128" s="15" t="n">
        <v>6</v>
      </c>
      <c r="M1128" s="15" t="n">
        <v>0</v>
      </c>
      <c r="N1128" s="15" t="n">
        <v>0</v>
      </c>
      <c r="O1128" s="15" t="n">
        <v>0</v>
      </c>
      <c r="P1128" s="15" t="n">
        <v>20</v>
      </c>
      <c r="Q1128" s="15" t="n">
        <v>0</v>
      </c>
      <c r="R1128" s="15" t="n">
        <v>0</v>
      </c>
      <c r="S1128" s="15" t="n">
        <v>20</v>
      </c>
      <c r="T1128" s="14">
        <f>IF(COUNT(I1128:S1128)=0,"",SUM(I1128:S1128))</f>
        <v/>
      </c>
      <c r="U1128" t="inlineStr"/>
    </row>
    <row r="1129">
      <c r="A1129" t="inlineStr">
        <is>
          <t>반여2동어린이집</t>
        </is>
      </c>
      <c r="B1129" t="inlineStr">
        <is>
          <t>어린이집</t>
        </is>
      </c>
      <c r="C1129" t="inlineStr">
        <is>
          <t>국공립</t>
        </is>
      </c>
      <c r="D1129" t="inlineStr">
        <is>
          <t>해운대구</t>
        </is>
      </c>
      <c r="E1129" t="inlineStr">
        <is>
          <t>부산광역시 해운대구 재반로226번길 13-73</t>
        </is>
      </c>
      <c r="F1129" s="11" t="inlineStr">
        <is>
          <t>https://blog.naver.com/ban_yeo2</t>
        </is>
      </c>
      <c r="G1129" t="inlineStr">
        <is>
          <t>051-784-0676</t>
        </is>
      </c>
      <c r="H1129" s="15" t="n">
        <v>70</v>
      </c>
      <c r="I1129" s="15" t="n">
        <v>0</v>
      </c>
      <c r="J1129" s="15" t="n">
        <v>0</v>
      </c>
      <c r="K1129" s="15" t="n">
        <v>6</v>
      </c>
      <c r="L1129" s="15" t="n">
        <v>0</v>
      </c>
      <c r="M1129" s="15" t="n">
        <v>0</v>
      </c>
      <c r="N1129" s="15" t="n">
        <v>11</v>
      </c>
      <c r="O1129" s="15" t="n">
        <v>8</v>
      </c>
      <c r="P1129" s="15" t="n">
        <v>10</v>
      </c>
      <c r="Q1129" s="15" t="n">
        <v>0</v>
      </c>
      <c r="R1129" s="15" t="n">
        <v>0</v>
      </c>
      <c r="S1129" s="15" t="n">
        <v>20</v>
      </c>
      <c r="T1129" s="14">
        <f>IF(COUNT(I1129:S1129)=0,"",SUM(I1129:S1129))</f>
        <v/>
      </c>
      <c r="U1129" t="inlineStr"/>
    </row>
    <row r="1130">
      <c r="A1130" t="inlineStr">
        <is>
          <t>반여3동어린이집</t>
        </is>
      </c>
      <c r="B1130" t="inlineStr">
        <is>
          <t>어린이집</t>
        </is>
      </c>
      <c r="C1130" t="inlineStr">
        <is>
          <t>국공립</t>
        </is>
      </c>
      <c r="D1130" t="inlineStr">
        <is>
          <t>해운대구</t>
        </is>
      </c>
      <c r="E1130" t="inlineStr">
        <is>
          <t>부산광역시 해운대구 재반로256번길 13-61</t>
        </is>
      </c>
      <c r="F1130" t="inlineStr"/>
      <c r="G1130" t="inlineStr">
        <is>
          <t>051-781-7797</t>
        </is>
      </c>
      <c r="H1130" s="15" t="n">
        <v>147</v>
      </c>
      <c r="I1130" s="15" t="n">
        <v>0</v>
      </c>
      <c r="J1130" s="15" t="n">
        <v>0</v>
      </c>
      <c r="K1130" s="15" t="n">
        <v>7</v>
      </c>
      <c r="L1130" s="15" t="n">
        <v>6</v>
      </c>
      <c r="M1130" s="15" t="n">
        <v>0</v>
      </c>
      <c r="N1130" s="15" t="n">
        <v>0</v>
      </c>
      <c r="O1130" s="15" t="n">
        <v>2</v>
      </c>
      <c r="P1130" s="15" t="n">
        <v>16</v>
      </c>
      <c r="Q1130" s="15" t="n">
        <v>0</v>
      </c>
      <c r="R1130" s="15" t="n">
        <v>0</v>
      </c>
      <c r="S1130" s="15" t="n">
        <v>11</v>
      </c>
      <c r="T1130" s="14">
        <f>IF(COUNT(I1130:S1130)=0,"",SUM(I1130:S1130))</f>
        <v/>
      </c>
      <c r="U1130" t="inlineStr"/>
    </row>
    <row r="1131">
      <c r="A1131" t="inlineStr">
        <is>
          <t>베베어린이집</t>
        </is>
      </c>
      <c r="B1131" t="inlineStr">
        <is>
          <t>어린이집</t>
        </is>
      </c>
      <c r="C1131" t="inlineStr">
        <is>
          <t>가정</t>
        </is>
      </c>
      <c r="D1131" t="inlineStr">
        <is>
          <t>해운대구</t>
        </is>
      </c>
      <c r="E1131" t="inlineStr">
        <is>
          <t>부산광역시 해운대구 좌동순환로217번길 19 LIG건영아파트 관리동</t>
        </is>
      </c>
      <c r="F1131" t="inlineStr"/>
      <c r="G1131" t="inlineStr">
        <is>
          <t>051-703-4284</t>
        </is>
      </c>
      <c r="H1131" s="15" t="n">
        <v>19</v>
      </c>
      <c r="I1131" s="15" t="n">
        <v>3</v>
      </c>
      <c r="J1131" s="15" t="n">
        <v>5</v>
      </c>
      <c r="K1131" s="15" t="n">
        <v>10</v>
      </c>
      <c r="L1131" s="15" t="n">
        <v>0</v>
      </c>
      <c r="M1131" s="15" t="n">
        <v>0</v>
      </c>
      <c r="N1131" s="15" t="n">
        <v>0</v>
      </c>
      <c r="O1131" s="15" t="n">
        <v>0</v>
      </c>
      <c r="P1131" s="15" t="n">
        <v>0</v>
      </c>
      <c r="Q1131" s="15" t="n">
        <v>0</v>
      </c>
      <c r="R1131" s="15" t="n">
        <v>0</v>
      </c>
      <c r="S1131" s="15" t="n">
        <v>5</v>
      </c>
      <c r="T1131" s="14">
        <f>IF(COUNT(I1131:S1131)=0,"",SUM(I1131:S1131))</f>
        <v/>
      </c>
      <c r="U1131" t="inlineStr"/>
    </row>
    <row r="1132">
      <c r="A1132" t="inlineStr">
        <is>
          <t>벽산초록어린이집</t>
        </is>
      </c>
      <c r="B1132" t="inlineStr">
        <is>
          <t>어린이집</t>
        </is>
      </c>
      <c r="C1132" t="inlineStr">
        <is>
          <t>민간</t>
        </is>
      </c>
      <c r="D1132" t="inlineStr">
        <is>
          <t>해운대구</t>
        </is>
      </c>
      <c r="E1132" t="inlineStr">
        <is>
          <t>부산광역시 해운대구 좌동순환로299번길 11 벽산2차아파트 관리동 (좌동)</t>
        </is>
      </c>
      <c r="F1132" t="inlineStr"/>
      <c r="G1132" t="inlineStr">
        <is>
          <t>051-703-1381</t>
        </is>
      </c>
      <c r="H1132" s="15" t="n">
        <v>31</v>
      </c>
      <c r="I1132" s="15" t="n">
        <v>12</v>
      </c>
      <c r="J1132" s="15" t="n">
        <v>8</v>
      </c>
      <c r="K1132" s="15" t="n">
        <v>5</v>
      </c>
      <c r="L1132" s="15" t="n">
        <v>0</v>
      </c>
      <c r="M1132" s="15" t="n">
        <v>0</v>
      </c>
      <c r="N1132" s="15" t="n">
        <v>0</v>
      </c>
      <c r="O1132" s="15" t="n">
        <v>5</v>
      </c>
      <c r="P1132" s="15" t="n">
        <v>0</v>
      </c>
      <c r="Q1132" s="15" t="n">
        <v>0</v>
      </c>
      <c r="R1132" s="15" t="n">
        <v>0</v>
      </c>
      <c r="S1132" s="15" t="n">
        <v>11</v>
      </c>
      <c r="T1132" s="14">
        <f>IF(COUNT(I1132:S1132)=0,"",SUM(I1132:S1132))</f>
        <v/>
      </c>
      <c r="U1132" t="inlineStr"/>
    </row>
    <row r="1133">
      <c r="A1133" t="inlineStr">
        <is>
          <t>보라어린이집</t>
        </is>
      </c>
      <c r="B1133" t="inlineStr">
        <is>
          <t>어린이집</t>
        </is>
      </c>
      <c r="C1133" t="inlineStr">
        <is>
          <t>가정</t>
        </is>
      </c>
      <c r="D1133" t="inlineStr">
        <is>
          <t>해운대구</t>
        </is>
      </c>
      <c r="E1133" t="inlineStr">
        <is>
          <t>부산광역시 해운대구 해운대로 495 104동101호(우동,반도보라빌)</t>
        </is>
      </c>
      <c r="F1133" t="inlineStr"/>
      <c r="G1133" t="inlineStr">
        <is>
          <t>051-747-3077</t>
        </is>
      </c>
      <c r="H1133" s="15" t="n">
        <v>19</v>
      </c>
      <c r="I1133" s="15" t="n">
        <v>5</v>
      </c>
      <c r="J1133" s="15" t="n">
        <v>0</v>
      </c>
      <c r="K1133" s="15" t="n">
        <v>0</v>
      </c>
      <c r="L1133" s="15" t="n">
        <v>0</v>
      </c>
      <c r="M1133" s="15" t="n">
        <v>0</v>
      </c>
      <c r="N1133" s="15" t="n">
        <v>0</v>
      </c>
      <c r="O1133" s="15" t="n">
        <v>10</v>
      </c>
      <c r="P1133" s="15" t="n">
        <v>0</v>
      </c>
      <c r="Q1133" s="15" t="n">
        <v>0</v>
      </c>
      <c r="R1133" s="15" t="n">
        <v>0</v>
      </c>
      <c r="S1133" s="15" t="n">
        <v>4</v>
      </c>
      <c r="T1133" s="14">
        <f>IF(COUNT(I1133:S1133)=0,"",SUM(I1133:S1133))</f>
        <v/>
      </c>
      <c r="U1133" t="inlineStr"/>
    </row>
    <row r="1134">
      <c r="A1134" t="inlineStr">
        <is>
          <t>부민병원어린이집</t>
        </is>
      </c>
      <c r="B1134" t="inlineStr">
        <is>
          <t>어린이집</t>
        </is>
      </c>
      <c r="C1134" t="inlineStr">
        <is>
          <t>직장</t>
        </is>
      </c>
      <c r="D1134" t="inlineStr">
        <is>
          <t>해운대구</t>
        </is>
      </c>
      <c r="E1134" t="inlineStr">
        <is>
          <t>부산광역시 해운대구 우동1로 9-28 상가1층</t>
        </is>
      </c>
      <c r="F1134" t="inlineStr"/>
      <c r="G1134" t="inlineStr">
        <is>
          <t>051-743-6512</t>
        </is>
      </c>
      <c r="H1134" s="15" t="n">
        <v>23</v>
      </c>
      <c r="I1134" s="15" t="n">
        <v>2</v>
      </c>
      <c r="J1134" s="15" t="n">
        <v>4</v>
      </c>
      <c r="K1134" s="15" t="n">
        <v>4</v>
      </c>
      <c r="L1134" s="15" t="n">
        <v>0</v>
      </c>
      <c r="M1134" s="15" t="n">
        <v>0</v>
      </c>
      <c r="N1134" s="15" t="n">
        <v>0</v>
      </c>
      <c r="O1134" s="15" t="n">
        <v>0</v>
      </c>
      <c r="P1134" s="15" t="n">
        <v>0</v>
      </c>
      <c r="Q1134" s="15" t="n">
        <v>0</v>
      </c>
      <c r="R1134" s="15" t="n">
        <v>0</v>
      </c>
      <c r="S1134" s="15" t="n">
        <v>5</v>
      </c>
      <c r="T1134" s="14">
        <f>IF(COUNT(I1134:S1134)=0,"",SUM(I1134:S1134))</f>
        <v/>
      </c>
      <c r="U1134" t="inlineStr"/>
    </row>
    <row r="1135">
      <c r="A1135" t="inlineStr">
        <is>
          <t>비스타동원어린이집</t>
        </is>
      </c>
      <c r="B1135" t="inlineStr">
        <is>
          <t>어린이집</t>
        </is>
      </c>
      <c r="C1135" t="inlineStr">
        <is>
          <t>국공립</t>
        </is>
      </c>
      <c r="D1135" t="inlineStr">
        <is>
          <t>해운대구</t>
        </is>
      </c>
      <c r="E1135" t="inlineStr">
        <is>
          <t>부산광역시 해운대구 해운대로 663 (우동, 해운대비스타동원아파트)</t>
        </is>
      </c>
      <c r="F1135" t="inlineStr"/>
      <c r="G1135" t="inlineStr">
        <is>
          <t>051-747-7333</t>
        </is>
      </c>
      <c r="H1135" s="15" t="n">
        <v>38</v>
      </c>
      <c r="I1135" s="15" t="n">
        <v>5</v>
      </c>
      <c r="J1135" s="15" t="n">
        <v>14</v>
      </c>
      <c r="K1135" s="15" t="n">
        <v>14</v>
      </c>
      <c r="L1135" s="15" t="n">
        <v>0</v>
      </c>
      <c r="M1135" s="15" t="n">
        <v>0</v>
      </c>
      <c r="N1135" s="15" t="n">
        <v>0</v>
      </c>
      <c r="O1135" s="15" t="n">
        <v>0</v>
      </c>
      <c r="P1135" s="15" t="n">
        <v>0</v>
      </c>
      <c r="Q1135" s="15" t="n">
        <v>0</v>
      </c>
      <c r="R1135" s="15" t="n">
        <v>0</v>
      </c>
      <c r="S1135" s="15" t="n">
        <v>5</v>
      </c>
      <c r="T1135" s="14">
        <f>IF(COUNT(I1135:S1135)=0,"",SUM(I1135:S1135))</f>
        <v/>
      </c>
      <c r="U1135" t="inlineStr"/>
    </row>
    <row r="1136">
      <c r="A1136" t="inlineStr">
        <is>
          <t>사과나무어린이집</t>
        </is>
      </c>
      <c r="B1136" t="inlineStr">
        <is>
          <t>어린이집</t>
        </is>
      </c>
      <c r="C1136" t="inlineStr">
        <is>
          <t>가정</t>
        </is>
      </c>
      <c r="D1136" t="inlineStr">
        <is>
          <t>해운대구</t>
        </is>
      </c>
      <c r="E1136" t="inlineStr">
        <is>
          <t>부산광역시 해운대구 선수촌로 122 118동 101호(반여동, 주공아시아선수촌아파트)</t>
        </is>
      </c>
      <c r="F1136" s="11" t="inlineStr">
        <is>
          <t>http://cafe.daum.net/appletree6195</t>
        </is>
      </c>
      <c r="G1136" t="inlineStr">
        <is>
          <t>051-523-6195</t>
        </is>
      </c>
      <c r="H1136" s="15" t="n">
        <v>20</v>
      </c>
      <c r="I1136" s="15" t="n">
        <v>0</v>
      </c>
      <c r="J1136" s="15" t="n">
        <v>0</v>
      </c>
      <c r="K1136" s="15" t="n">
        <v>7</v>
      </c>
      <c r="L1136" s="15" t="n">
        <v>0</v>
      </c>
      <c r="M1136" s="15" t="n">
        <v>0</v>
      </c>
      <c r="N1136" s="15" t="n">
        <v>0</v>
      </c>
      <c r="O1136" s="15" t="n">
        <v>2</v>
      </c>
      <c r="P1136" s="15" t="n">
        <v>0</v>
      </c>
      <c r="Q1136" s="15" t="n">
        <v>0</v>
      </c>
      <c r="R1136" s="15" t="n">
        <v>0</v>
      </c>
      <c r="S1136" s="15" t="n">
        <v>4</v>
      </c>
      <c r="T1136" s="14">
        <f>IF(COUNT(I1136:S1136)=0,"",SUM(I1136:S1136))</f>
        <v/>
      </c>
      <c r="U1136" t="inlineStr"/>
    </row>
    <row r="1137">
      <c r="A1137" t="inlineStr">
        <is>
          <t>삼성선재어린이집</t>
        </is>
      </c>
      <c r="B1137" t="inlineStr">
        <is>
          <t>어린이집</t>
        </is>
      </c>
      <c r="C1137" t="inlineStr">
        <is>
          <t>민간</t>
        </is>
      </c>
      <c r="D1137" t="inlineStr">
        <is>
          <t>해운대구</t>
        </is>
      </c>
      <c r="E1137" t="inlineStr">
        <is>
          <t>부산광역시 해운대구 세실로 174 삼성아파트 관리동 삼성선재어린이집</t>
        </is>
      </c>
      <c r="F1137" t="inlineStr"/>
      <c r="G1137" t="inlineStr">
        <is>
          <t>051-702-5616</t>
        </is>
      </c>
      <c r="H1137" s="15" t="n">
        <v>33</v>
      </c>
      <c r="I1137" s="15" t="n">
        <v>5</v>
      </c>
      <c r="J1137" s="15" t="n">
        <v>10</v>
      </c>
      <c r="K1137" s="15" t="n">
        <v>11</v>
      </c>
      <c r="L1137" s="15" t="n">
        <v>0</v>
      </c>
      <c r="M1137" s="15" t="n">
        <v>0</v>
      </c>
      <c r="N1137" s="15" t="n">
        <v>0</v>
      </c>
      <c r="O1137" s="15" t="n">
        <v>0</v>
      </c>
      <c r="P1137" s="15" t="n">
        <v>0</v>
      </c>
      <c r="Q1137" s="15" t="n">
        <v>0</v>
      </c>
      <c r="R1137" s="15" t="n">
        <v>0</v>
      </c>
      <c r="S1137" s="15" t="n">
        <v>4</v>
      </c>
      <c r="T1137" s="14">
        <f>IF(COUNT(I1137:S1137)=0,"",SUM(I1137:S1137))</f>
        <v/>
      </c>
      <c r="U1137" t="inlineStr"/>
    </row>
    <row r="1138">
      <c r="A1138" t="inlineStr">
        <is>
          <t>삼한이레어린이집</t>
        </is>
      </c>
      <c r="B1138" t="inlineStr">
        <is>
          <t>어린이집</t>
        </is>
      </c>
      <c r="C1138" t="inlineStr">
        <is>
          <t>민간</t>
        </is>
      </c>
      <c r="D1138" t="inlineStr">
        <is>
          <t>해운대구</t>
        </is>
      </c>
      <c r="E1138" t="inlineStr">
        <is>
          <t>부산광역시 해운대구 신반송로 102 204동 1호(반송동, 삼한그린타운2차)</t>
        </is>
      </c>
      <c r="F1138" s="11" t="inlineStr">
        <is>
          <t>https://blog.naver.com/cg2633</t>
        </is>
      </c>
      <c r="G1138" t="inlineStr">
        <is>
          <t>051-545-9744</t>
        </is>
      </c>
      <c r="H1138" s="15" t="n">
        <v>49</v>
      </c>
      <c r="I1138" s="15" t="n">
        <v>2</v>
      </c>
      <c r="J1138" s="15" t="n">
        <v>0</v>
      </c>
      <c r="K1138" s="15" t="n">
        <v>7</v>
      </c>
      <c r="L1138" s="15" t="n">
        <v>0</v>
      </c>
      <c r="M1138" s="15" t="n">
        <v>0</v>
      </c>
      <c r="N1138" s="15" t="n">
        <v>0</v>
      </c>
      <c r="O1138" s="15" t="n">
        <v>7</v>
      </c>
      <c r="P1138" s="15" t="n">
        <v>14</v>
      </c>
      <c r="Q1138" s="15" t="n">
        <v>0</v>
      </c>
      <c r="R1138" s="15" t="n">
        <v>0</v>
      </c>
      <c r="S1138" s="15" t="n">
        <v>20</v>
      </c>
      <c r="T1138" s="14">
        <f>IF(COUNT(I1138:S1138)=0,"",SUM(I1138:S1138))</f>
        <v/>
      </c>
      <c r="U1138" t="inlineStr"/>
    </row>
    <row r="1139">
      <c r="A1139" t="inlineStr">
        <is>
          <t>상록어린이집</t>
        </is>
      </c>
      <c r="B1139" t="inlineStr">
        <is>
          <t>어린이집</t>
        </is>
      </c>
      <c r="C1139" t="inlineStr">
        <is>
          <t>민간</t>
        </is>
      </c>
      <c r="D1139" t="inlineStr">
        <is>
          <t>해운대구</t>
        </is>
      </c>
      <c r="E1139" t="inlineStr">
        <is>
          <t>부산광역시 해운대구 세실로 7 상록아파트 단지내 (좌동)</t>
        </is>
      </c>
      <c r="F1139" t="inlineStr"/>
      <c r="G1139" t="inlineStr">
        <is>
          <t>051-702-7450</t>
        </is>
      </c>
      <c r="H1139" s="15" t="n">
        <v>38</v>
      </c>
      <c r="I1139" s="15" t="n">
        <v>5</v>
      </c>
      <c r="J1139" s="15" t="n">
        <v>0</v>
      </c>
      <c r="K1139" s="15" t="n">
        <v>0</v>
      </c>
      <c r="L1139" s="15" t="n">
        <v>0</v>
      </c>
      <c r="M1139" s="15" t="n">
        <v>0</v>
      </c>
      <c r="N1139" s="15" t="n">
        <v>0</v>
      </c>
      <c r="O1139" s="15" t="n">
        <v>7</v>
      </c>
      <c r="P1139" s="15" t="n">
        <v>0</v>
      </c>
      <c r="Q1139" s="15" t="n">
        <v>7</v>
      </c>
      <c r="R1139" s="15" t="n">
        <v>0</v>
      </c>
      <c r="S1139" s="15" t="n">
        <v>5</v>
      </c>
      <c r="T1139" s="14">
        <f>IF(COUNT(I1139:S1139)=0,"",SUM(I1139:S1139))</f>
        <v/>
      </c>
      <c r="U1139" t="inlineStr"/>
    </row>
    <row r="1140">
      <c r="A1140" t="inlineStr">
        <is>
          <t>세종어린이집</t>
        </is>
      </c>
      <c r="B1140" t="inlineStr">
        <is>
          <t>어린이집</t>
        </is>
      </c>
      <c r="C1140" t="inlineStr">
        <is>
          <t>사회복지법인</t>
        </is>
      </c>
      <c r="D1140" t="inlineStr">
        <is>
          <t>해운대구</t>
        </is>
      </c>
      <c r="E1140" t="inlineStr">
        <is>
          <t>부산광역시 해운대구 달맞이길117번라길 86 (중동)</t>
        </is>
      </c>
      <c r="F1140" t="inlineStr"/>
      <c r="G1140" t="inlineStr">
        <is>
          <t>051-747-7962</t>
        </is>
      </c>
      <c r="H1140" s="15" t="n">
        <v>89</v>
      </c>
      <c r="I1140" s="15" t="n">
        <v>0</v>
      </c>
      <c r="J1140" s="15" t="n">
        <v>0</v>
      </c>
      <c r="K1140" s="15" t="n">
        <v>0</v>
      </c>
      <c r="L1140" s="15" t="n">
        <v>0</v>
      </c>
      <c r="M1140" s="15" t="n">
        <v>0</v>
      </c>
      <c r="N1140" s="15" t="n">
        <v>0</v>
      </c>
      <c r="O1140" s="15" t="n">
        <v>5</v>
      </c>
      <c r="P1140" s="15" t="n">
        <v>8</v>
      </c>
      <c r="Q1140" s="15" t="n">
        <v>0</v>
      </c>
      <c r="R1140" s="15" t="n">
        <v>0</v>
      </c>
      <c r="S1140" s="15" t="n">
        <v>0</v>
      </c>
      <c r="T1140" s="14">
        <f>IF(COUNT(I1140:S1140)=0,"",SUM(I1140:S1140))</f>
        <v/>
      </c>
      <c r="U1140" t="inlineStr"/>
    </row>
    <row r="1141">
      <c r="A1141" t="inlineStr">
        <is>
          <t>센텀kcc스위첸어린이집</t>
        </is>
      </c>
      <c r="B1141" t="inlineStr">
        <is>
          <t>어린이집</t>
        </is>
      </c>
      <c r="C1141" t="inlineStr">
        <is>
          <t>국공립</t>
        </is>
      </c>
      <c r="D1141" t="inlineStr">
        <is>
          <t>해운대구</t>
        </is>
      </c>
      <c r="E1141" t="inlineStr">
        <is>
          <t>부산광역시 해운대구 반여로 42</t>
        </is>
      </c>
      <c r="F1141" t="inlineStr"/>
      <c r="G1141" t="inlineStr">
        <is>
          <t>051-710-5333</t>
        </is>
      </c>
      <c r="H1141" s="15" t="n">
        <v>48</v>
      </c>
      <c r="I1141" s="15" t="n">
        <v>6</v>
      </c>
      <c r="J1141" s="15" t="n">
        <v>20</v>
      </c>
      <c r="K1141" s="15" t="n">
        <v>12</v>
      </c>
      <c r="L1141" s="15" t="n">
        <v>0</v>
      </c>
      <c r="M1141" s="15" t="n">
        <v>0</v>
      </c>
      <c r="N1141" s="15" t="n">
        <v>0</v>
      </c>
      <c r="O1141" s="15" t="n">
        <v>0</v>
      </c>
      <c r="P1141" s="15" t="n">
        <v>0</v>
      </c>
      <c r="Q1141" s="15" t="n">
        <v>0</v>
      </c>
      <c r="R1141" s="15" t="n">
        <v>0</v>
      </c>
      <c r="S1141" s="15" t="n">
        <v>5</v>
      </c>
      <c r="T1141" s="14">
        <f>IF(COUNT(I1141:S1141)=0,"",SUM(I1141:S1141))</f>
        <v/>
      </c>
      <c r="U1141" t="inlineStr"/>
    </row>
    <row r="1142">
      <c r="A1142" t="inlineStr">
        <is>
          <t>센텀가온어린이집</t>
        </is>
      </c>
      <c r="B1142" t="inlineStr">
        <is>
          <t>어린이집</t>
        </is>
      </c>
      <c r="C1142" t="inlineStr">
        <is>
          <t>직장</t>
        </is>
      </c>
      <c r="D1142" t="inlineStr">
        <is>
          <t>해운대구</t>
        </is>
      </c>
      <c r="E1142" t="inlineStr">
        <is>
          <t>부산광역시 해운대구 센텀서로 39 1층(우동, 영상산업센터)</t>
        </is>
      </c>
      <c r="F1142" t="inlineStr"/>
      <c r="G1142" t="inlineStr">
        <is>
          <t>051-747-7028</t>
        </is>
      </c>
      <c r="H1142" s="15" t="n">
        <v>40</v>
      </c>
      <c r="I1142" s="15" t="n">
        <v>0</v>
      </c>
      <c r="J1142" s="15" t="n">
        <v>7</v>
      </c>
      <c r="K1142" s="15" t="n">
        <v>0</v>
      </c>
      <c r="L1142" s="15" t="n">
        <v>11</v>
      </c>
      <c r="M1142" s="15" t="n">
        <v>0</v>
      </c>
      <c r="N1142" s="15" t="n">
        <v>0</v>
      </c>
      <c r="O1142" s="15" t="n">
        <v>6</v>
      </c>
      <c r="P1142" s="15" t="n">
        <v>0</v>
      </c>
      <c r="Q1142" s="15" t="n">
        <v>0</v>
      </c>
      <c r="R1142" s="15" t="n">
        <v>0</v>
      </c>
      <c r="S1142" s="15" t="n">
        <v>18</v>
      </c>
      <c r="T1142" s="14">
        <f>IF(COUNT(I1142:S1142)=0,"",SUM(I1142:S1142))</f>
        <v/>
      </c>
      <c r="U1142" t="inlineStr"/>
    </row>
    <row r="1143">
      <c r="A1143" t="inlineStr">
        <is>
          <t>센텀그린어린이집</t>
        </is>
      </c>
      <c r="B1143" t="inlineStr">
        <is>
          <t>어린이집</t>
        </is>
      </c>
      <c r="C1143" t="inlineStr">
        <is>
          <t>민간</t>
        </is>
      </c>
      <c r="D1143" t="inlineStr">
        <is>
          <t>해운대구</t>
        </is>
      </c>
      <c r="E1143" t="inlineStr">
        <is>
          <t>부산광역시 해운대구 해운대로61번길 73 관리동 (반여동, 해운대더?檳琉?)</t>
        </is>
      </c>
      <c r="F1143" t="inlineStr"/>
      <c r="G1143" t="inlineStr">
        <is>
          <t>051-781-0009</t>
        </is>
      </c>
      <c r="H1143" s="15" t="n">
        <v>47</v>
      </c>
      <c r="I1143" s="15" t="n">
        <v>9</v>
      </c>
      <c r="J1143" s="15" t="n">
        <v>18</v>
      </c>
      <c r="K1143" s="15" t="n">
        <v>13</v>
      </c>
      <c r="L1143" s="15" t="n">
        <v>0</v>
      </c>
      <c r="M1143" s="15" t="n">
        <v>0</v>
      </c>
      <c r="N1143" s="15" t="n">
        <v>0</v>
      </c>
      <c r="O1143" s="15" t="n">
        <v>0</v>
      </c>
      <c r="P1143" s="15" t="n">
        <v>0</v>
      </c>
      <c r="Q1143" s="15" t="n">
        <v>0</v>
      </c>
      <c r="R1143" s="15" t="n">
        <v>0</v>
      </c>
      <c r="S1143" s="15" t="n">
        <v>5</v>
      </c>
      <c r="T1143" s="14">
        <f>IF(COUNT(I1143:S1143)=0,"",SUM(I1143:S1143))</f>
        <v/>
      </c>
      <c r="U1143" t="inlineStr"/>
    </row>
    <row r="1144">
      <c r="A1144" t="inlineStr">
        <is>
          <t>센텀동심어린이집</t>
        </is>
      </c>
      <c r="B1144" t="inlineStr">
        <is>
          <t>어린이집</t>
        </is>
      </c>
      <c r="C1144" t="inlineStr">
        <is>
          <t>국공립</t>
        </is>
      </c>
      <c r="D1144" t="inlineStr">
        <is>
          <t>해운대구</t>
        </is>
      </c>
      <c r="E1144" t="inlineStr">
        <is>
          <t>부산광역시 해운대구 센텀중앙로 145 센텀파크1차아파트 관리동</t>
        </is>
      </c>
      <c r="F1144" t="inlineStr"/>
      <c r="G1144" t="inlineStr">
        <is>
          <t>051-741-3559</t>
        </is>
      </c>
      <c r="H1144" s="15" t="n">
        <v>40</v>
      </c>
      <c r="I1144" s="15" t="n">
        <v>0</v>
      </c>
      <c r="J1144" s="15" t="n">
        <v>15</v>
      </c>
      <c r="K1144" s="15" t="n">
        <v>25</v>
      </c>
      <c r="L1144" s="15" t="n">
        <v>0</v>
      </c>
      <c r="M1144" s="15" t="n">
        <v>0</v>
      </c>
      <c r="N1144" s="15" t="n">
        <v>0</v>
      </c>
      <c r="O1144" s="15" t="n">
        <v>0</v>
      </c>
      <c r="P1144" s="15" t="n">
        <v>0</v>
      </c>
      <c r="Q1144" s="15" t="n">
        <v>0</v>
      </c>
      <c r="R1144" s="15" t="n">
        <v>0</v>
      </c>
      <c r="S1144" s="15" t="n">
        <v>5</v>
      </c>
      <c r="T1144" s="14">
        <f>IF(COUNT(I1144:S1144)=0,"",SUM(I1144:S1144))</f>
        <v/>
      </c>
      <c r="U1144" t="inlineStr"/>
    </row>
    <row r="1145">
      <c r="A1145" t="inlineStr">
        <is>
          <t>센텀롯데캐슬3차어린이집</t>
        </is>
      </c>
      <c r="B1145" t="inlineStr">
        <is>
          <t>어린이집</t>
        </is>
      </c>
      <c r="C1145" t="inlineStr">
        <is>
          <t>민간</t>
        </is>
      </c>
      <c r="D1145" t="inlineStr">
        <is>
          <t>해운대구</t>
        </is>
      </c>
      <c r="E1145" t="inlineStr">
        <is>
          <t>부산광역시 해운대구 반여로 83 관리동(반여동,센텀롯데캐슬3차아파트)</t>
        </is>
      </c>
      <c r="F1145" t="inlineStr"/>
      <c r="G1145" t="inlineStr">
        <is>
          <t>051-522-5986</t>
        </is>
      </c>
      <c r="H1145" s="15" t="n">
        <v>31</v>
      </c>
      <c r="I1145" s="15" t="n">
        <v>8</v>
      </c>
      <c r="J1145" s="15" t="n">
        <v>5</v>
      </c>
      <c r="K1145" s="15" t="n">
        <v>11</v>
      </c>
      <c r="L1145" s="15" t="n">
        <v>0</v>
      </c>
      <c r="M1145" s="15" t="n">
        <v>0</v>
      </c>
      <c r="N1145" s="15" t="n">
        <v>0</v>
      </c>
      <c r="O1145" s="15" t="n">
        <v>0</v>
      </c>
      <c r="P1145" s="15" t="n">
        <v>0</v>
      </c>
      <c r="Q1145" s="15" t="n">
        <v>0</v>
      </c>
      <c r="R1145" s="15" t="n">
        <v>0</v>
      </c>
      <c r="S1145" s="15" t="n">
        <v>4</v>
      </c>
      <c r="T1145" s="14">
        <f>IF(COUNT(I1145:S1145)=0,"",SUM(I1145:S1145))</f>
        <v/>
      </c>
      <c r="U1145" t="inlineStr"/>
    </row>
    <row r="1146">
      <c r="A1146" t="inlineStr">
        <is>
          <t>센텀롯데캐슬자연어린이집</t>
        </is>
      </c>
      <c r="B1146" t="inlineStr">
        <is>
          <t>어린이집</t>
        </is>
      </c>
      <c r="C1146" t="inlineStr">
        <is>
          <t>국공립</t>
        </is>
      </c>
      <c r="D1146" t="inlineStr">
        <is>
          <t>해운대구</t>
        </is>
      </c>
      <c r="E1146" t="inlineStr">
        <is>
          <t>부산광역시 해운대구 반여로 133</t>
        </is>
      </c>
      <c r="F1146" t="inlineStr"/>
      <c r="G1146" t="inlineStr">
        <is>
          <t>051-522-6300</t>
        </is>
      </c>
      <c r="H1146" s="15" t="n">
        <v>26</v>
      </c>
      <c r="I1146" s="15" t="n">
        <v>10</v>
      </c>
      <c r="J1146" s="15" t="n">
        <v>5</v>
      </c>
      <c r="K1146" s="15" t="n">
        <v>5</v>
      </c>
      <c r="L1146" s="15" t="n">
        <v>0</v>
      </c>
      <c r="M1146" s="15" t="n">
        <v>0</v>
      </c>
      <c r="N1146" s="15" t="n">
        <v>0</v>
      </c>
      <c r="O1146" s="15" t="n">
        <v>5</v>
      </c>
      <c r="P1146" s="15" t="n">
        <v>0</v>
      </c>
      <c r="Q1146" s="15" t="n">
        <v>0</v>
      </c>
      <c r="R1146" s="15" t="n">
        <v>0</v>
      </c>
      <c r="S1146" s="15" t="n">
        <v>3</v>
      </c>
      <c r="T1146" s="14">
        <f>IF(COUNT(I1146:S1146)=0,"",SUM(I1146:S1146))</f>
        <v/>
      </c>
      <c r="U1146" t="inlineStr"/>
    </row>
    <row r="1147">
      <c r="A1147" t="inlineStr">
        <is>
          <t>센텀리슈빌어린이집</t>
        </is>
      </c>
      <c r="B1147" t="inlineStr">
        <is>
          <t>어린이집</t>
        </is>
      </c>
      <c r="C1147" t="inlineStr">
        <is>
          <t>국공립</t>
        </is>
      </c>
      <c r="D1147" t="inlineStr">
        <is>
          <t>해운대구</t>
        </is>
      </c>
      <c r="E1147" t="inlineStr">
        <is>
          <t>부산광역시 해운대구 해운대로76번길 40 관리동</t>
        </is>
      </c>
      <c r="F1147" t="inlineStr"/>
      <c r="G1147" t="inlineStr">
        <is>
          <t>051-791-0206</t>
        </is>
      </c>
      <c r="H1147" s="15" t="n">
        <v>46</v>
      </c>
      <c r="I1147" s="15" t="n">
        <v>0</v>
      </c>
      <c r="J1147" s="15" t="n">
        <v>4</v>
      </c>
      <c r="K1147" s="15" t="n">
        <v>13</v>
      </c>
      <c r="L1147" s="15" t="n">
        <v>11</v>
      </c>
      <c r="M1147" s="15" t="n">
        <v>0</v>
      </c>
      <c r="N1147" s="15" t="n">
        <v>0</v>
      </c>
      <c r="O1147" s="15" t="n">
        <v>0</v>
      </c>
      <c r="P1147" s="15" t="n">
        <v>16</v>
      </c>
      <c r="Q1147" s="15" t="n">
        <v>0</v>
      </c>
      <c r="R1147" s="15" t="n">
        <v>0</v>
      </c>
      <c r="S1147" s="15" t="n">
        <v>0</v>
      </c>
      <c r="T1147" s="14">
        <f>IF(COUNT(I1147:S1147)=0,"",SUM(I1147:S1147))</f>
        <v/>
      </c>
      <c r="U1147" t="inlineStr"/>
    </row>
    <row r="1148">
      <c r="A1148" t="inlineStr">
        <is>
          <t>센텀리틀어린이집</t>
        </is>
      </c>
      <c r="B1148" t="inlineStr">
        <is>
          <t>어린이집</t>
        </is>
      </c>
      <c r="C1148" t="inlineStr">
        <is>
          <t>가정</t>
        </is>
      </c>
      <c r="D1148" t="inlineStr">
        <is>
          <t>해운대구</t>
        </is>
      </c>
      <c r="E1148" t="inlineStr">
        <is>
          <t>부산광역시 해운대구 센텀중앙로 142 202-301(재송동,더숍센텀파크2차)</t>
        </is>
      </c>
      <c r="F1148" t="inlineStr"/>
      <c r="G1148" t="inlineStr">
        <is>
          <t>051-744-3654</t>
        </is>
      </c>
      <c r="H1148" s="15" t="n">
        <v>20</v>
      </c>
      <c r="I1148" s="15" t="n">
        <v>0</v>
      </c>
      <c r="J1148" s="15" t="n">
        <v>0</v>
      </c>
      <c r="K1148" s="15" t="n">
        <v>6</v>
      </c>
      <c r="L1148" s="15" t="n">
        <v>0</v>
      </c>
      <c r="M1148" s="15" t="n">
        <v>0</v>
      </c>
      <c r="N1148" s="15" t="n">
        <v>0</v>
      </c>
      <c r="O1148" s="15" t="n">
        <v>7</v>
      </c>
      <c r="P1148" s="15" t="n">
        <v>0</v>
      </c>
      <c r="Q1148" s="15" t="n">
        <v>0</v>
      </c>
      <c r="R1148" s="15" t="n">
        <v>0</v>
      </c>
      <c r="S1148" s="15" t="n">
        <v>4</v>
      </c>
      <c r="T1148" s="14">
        <f>IF(COUNT(I1148:S1148)=0,"",SUM(I1148:S1148))</f>
        <v/>
      </c>
      <c r="U1148" t="inlineStr"/>
    </row>
    <row r="1149">
      <c r="A1149" t="inlineStr">
        <is>
          <t>센텀별하어린이집</t>
        </is>
      </c>
      <c r="B1149" t="inlineStr">
        <is>
          <t>어린이집</t>
        </is>
      </c>
      <c r="C1149" t="inlineStr">
        <is>
          <t>가정</t>
        </is>
      </c>
      <c r="D1149" t="inlineStr">
        <is>
          <t>해운대구</t>
        </is>
      </c>
      <c r="E1149" t="inlineStr">
        <is>
          <t>부산광역시 해운대구  해운대로76번길 55 103동 105호(재송동, 센텀이편한세상)</t>
        </is>
      </c>
      <c r="F1149" t="inlineStr"/>
      <c r="G1149" t="inlineStr">
        <is>
          <t>051-915-8129</t>
        </is>
      </c>
      <c r="H1149" s="15" t="n">
        <v>18</v>
      </c>
      <c r="I1149" s="15" t="n">
        <v>3</v>
      </c>
      <c r="J1149" s="15" t="n">
        <v>10</v>
      </c>
      <c r="K1149" s="15" t="n">
        <v>5</v>
      </c>
      <c r="L1149" s="15" t="n">
        <v>0</v>
      </c>
      <c r="M1149" s="15" t="n">
        <v>0</v>
      </c>
      <c r="N1149" s="15" t="n">
        <v>0</v>
      </c>
      <c r="O1149" s="15" t="n">
        <v>0</v>
      </c>
      <c r="P1149" s="15" t="n">
        <v>0</v>
      </c>
      <c r="Q1149" s="15" t="n">
        <v>0</v>
      </c>
      <c r="R1149" s="15" t="n">
        <v>0</v>
      </c>
      <c r="S1149" s="15" t="n">
        <v>3</v>
      </c>
      <c r="T1149" s="14">
        <f>IF(COUNT(I1149:S1149)=0,"",SUM(I1149:S1149))</f>
        <v/>
      </c>
      <c r="U1149" t="inlineStr"/>
    </row>
    <row r="1150">
      <c r="A1150" t="inlineStr">
        <is>
          <t>센텀사랑어린이집</t>
        </is>
      </c>
      <c r="B1150" t="inlineStr">
        <is>
          <t>어린이집</t>
        </is>
      </c>
      <c r="C1150" t="inlineStr">
        <is>
          <t>민간</t>
        </is>
      </c>
      <c r="D1150" t="inlineStr">
        <is>
          <t>해운대구</t>
        </is>
      </c>
      <c r="E1150" t="inlineStr">
        <is>
          <t>부산광역시 해운대구 센텀중앙로 142 더샵센텀파크 2단지 관리동내</t>
        </is>
      </c>
      <c r="F1150" t="inlineStr"/>
      <c r="G1150" t="inlineStr">
        <is>
          <t>051-746-2573</t>
        </is>
      </c>
      <c r="H1150" s="15" t="n">
        <v>21</v>
      </c>
      <c r="I1150" s="15" t="n">
        <v>4</v>
      </c>
      <c r="J1150" s="15" t="n">
        <v>3</v>
      </c>
      <c r="K1150" s="15" t="n">
        <v>7</v>
      </c>
      <c r="L1150" s="15" t="n">
        <v>0</v>
      </c>
      <c r="M1150" s="15" t="n">
        <v>0</v>
      </c>
      <c r="N1150" s="15" t="n">
        <v>0</v>
      </c>
      <c r="O1150" s="15" t="n">
        <v>0</v>
      </c>
      <c r="P1150" s="15" t="n">
        <v>0</v>
      </c>
      <c r="Q1150" s="15" t="n">
        <v>0</v>
      </c>
      <c r="R1150" s="15" t="n">
        <v>0</v>
      </c>
      <c r="S1150" s="15" t="n">
        <v>5</v>
      </c>
      <c r="T1150" s="14">
        <f>IF(COUNT(I1150:S1150)=0,"",SUM(I1150:S1150))</f>
        <v/>
      </c>
      <c r="U1150" t="inlineStr"/>
    </row>
    <row r="1151">
      <c r="A1151" t="inlineStr">
        <is>
          <t>센텀센시빌어린이집</t>
        </is>
      </c>
      <c r="B1151" t="inlineStr">
        <is>
          <t>어린이집</t>
        </is>
      </c>
      <c r="C1151" t="inlineStr">
        <is>
          <t>민간</t>
        </is>
      </c>
      <c r="D1151" t="inlineStr">
        <is>
          <t>해운대구</t>
        </is>
      </c>
      <c r="E1151" t="inlineStr">
        <is>
          <t>부산광역시 해운대구 해운대로 284 센텀센시빌아파트 관리동 (우동)</t>
        </is>
      </c>
      <c r="F1151" t="inlineStr"/>
      <c r="G1151" t="inlineStr">
        <is>
          <t>051-731-7111</t>
        </is>
      </c>
      <c r="H1151" s="15" t="n">
        <v>35</v>
      </c>
      <c r="I1151" s="15" t="n">
        <v>4</v>
      </c>
      <c r="J1151" s="15" t="n">
        <v>14</v>
      </c>
      <c r="K1151" s="15" t="n">
        <v>6</v>
      </c>
      <c r="L1151" s="15" t="n">
        <v>10</v>
      </c>
      <c r="M1151" s="15" t="n">
        <v>0</v>
      </c>
      <c r="N1151" s="15" t="n">
        <v>0</v>
      </c>
      <c r="O1151" s="15" t="n">
        <v>0</v>
      </c>
      <c r="P1151" s="15" t="n">
        <v>0</v>
      </c>
      <c r="Q1151" s="15" t="n">
        <v>0</v>
      </c>
      <c r="R1151" s="15" t="n">
        <v>0</v>
      </c>
      <c r="S1151" s="15" t="n">
        <v>5</v>
      </c>
      <c r="T1151" s="14">
        <f>IF(COUNT(I1151:S1151)=0,"",SUM(I1151:S1151))</f>
        <v/>
      </c>
      <c r="U1151" t="inlineStr"/>
    </row>
    <row r="1152">
      <c r="A1152" t="inlineStr">
        <is>
          <t>센텀아이어린이집</t>
        </is>
      </c>
      <c r="B1152" t="inlineStr">
        <is>
          <t>어린이집</t>
        </is>
      </c>
      <c r="C1152" t="inlineStr">
        <is>
          <t>가정</t>
        </is>
      </c>
      <c r="D1152" t="inlineStr">
        <is>
          <t>해운대구</t>
        </is>
      </c>
      <c r="E1152" t="inlineStr">
        <is>
          <t>부산광역시 해운대구 센텀중앙로 145 109동 406호(재송동, 더샵센텀파크1차)</t>
        </is>
      </c>
      <c r="F1152" t="inlineStr"/>
      <c r="G1152" t="inlineStr">
        <is>
          <t>051-744-3736</t>
        </is>
      </c>
      <c r="H1152" s="15" t="n">
        <v>19</v>
      </c>
      <c r="I1152" s="15" t="n">
        <v>6</v>
      </c>
      <c r="J1152" s="15" t="n">
        <v>3</v>
      </c>
      <c r="K1152" s="15" t="n">
        <v>4</v>
      </c>
      <c r="L1152" s="15" t="n">
        <v>0</v>
      </c>
      <c r="M1152" s="15" t="n">
        <v>0</v>
      </c>
      <c r="N1152" s="15" t="n">
        <v>0</v>
      </c>
      <c r="O1152" s="15" t="n">
        <v>2</v>
      </c>
      <c r="P1152" s="15" t="n">
        <v>0</v>
      </c>
      <c r="Q1152" s="15" t="n">
        <v>0</v>
      </c>
      <c r="R1152" s="15" t="n">
        <v>0</v>
      </c>
      <c r="S1152" s="15" t="n">
        <v>3</v>
      </c>
      <c r="T1152" s="14">
        <f>IF(COUNT(I1152:S1152)=0,"",SUM(I1152:S1152))</f>
        <v/>
      </c>
      <c r="U1152" t="inlineStr"/>
    </row>
    <row r="1153">
      <c r="A1153" t="inlineStr">
        <is>
          <t>센텀에젤어린이집</t>
        </is>
      </c>
      <c r="B1153" t="inlineStr">
        <is>
          <t>어린이집</t>
        </is>
      </c>
      <c r="C1153" t="inlineStr">
        <is>
          <t>가정</t>
        </is>
      </c>
      <c r="D1153" t="inlineStr">
        <is>
          <t>해운대구</t>
        </is>
      </c>
      <c r="E1153" t="inlineStr">
        <is>
          <t>부산광역시 해운대구 해운대로 253 101동 관리동(재송동,해운대더샵센텀누리)</t>
        </is>
      </c>
      <c r="F1153" t="inlineStr"/>
      <c r="G1153" t="inlineStr">
        <is>
          <t>051-744-0403</t>
        </is>
      </c>
      <c r="H1153" s="15" t="n">
        <v>19</v>
      </c>
      <c r="I1153" s="15" t="n">
        <v>2</v>
      </c>
      <c r="J1153" s="15" t="n">
        <v>0</v>
      </c>
      <c r="K1153" s="15" t="n">
        <v>4</v>
      </c>
      <c r="L1153" s="15" t="n">
        <v>0</v>
      </c>
      <c r="M1153" s="15" t="n">
        <v>0</v>
      </c>
      <c r="N1153" s="15" t="n">
        <v>0</v>
      </c>
      <c r="O1153" s="15" t="n">
        <v>4</v>
      </c>
      <c r="P1153" s="15" t="n">
        <v>0</v>
      </c>
      <c r="Q1153" s="15" t="n">
        <v>0</v>
      </c>
      <c r="R1153" s="15" t="n">
        <v>0</v>
      </c>
      <c r="S1153" s="15" t="n">
        <v>5</v>
      </c>
      <c r="T1153" s="14">
        <f>IF(COUNT(I1153:S1153)=0,"",SUM(I1153:S1153))</f>
        <v/>
      </c>
      <c r="U1153" t="inlineStr"/>
    </row>
    <row r="1154">
      <c r="A1154" t="inlineStr">
        <is>
          <t>센텀엔젤어린이집</t>
        </is>
      </c>
      <c r="B1154" t="inlineStr">
        <is>
          <t>어린이집</t>
        </is>
      </c>
      <c r="C1154" t="inlineStr">
        <is>
          <t>가정</t>
        </is>
      </c>
      <c r="D1154" t="inlineStr">
        <is>
          <t>해운대구</t>
        </is>
      </c>
      <c r="E1154" t="inlineStr">
        <is>
          <t>부산광역시 해운대구 센텀중앙로 145 111동 402호(재송동, 더샵센텀파크1차아파트)</t>
        </is>
      </c>
      <c r="F1154" t="inlineStr"/>
      <c r="G1154" t="inlineStr">
        <is>
          <t>051-703-3007</t>
        </is>
      </c>
      <c r="H1154" s="15" t="n">
        <v>19</v>
      </c>
      <c r="I1154" s="15" t="n">
        <v>6</v>
      </c>
      <c r="J1154" s="15" t="n">
        <v>4</v>
      </c>
      <c r="K1154" s="15" t="n">
        <v>6</v>
      </c>
      <c r="L1154" s="15" t="n">
        <v>0</v>
      </c>
      <c r="M1154" s="15" t="n">
        <v>0</v>
      </c>
      <c r="N1154" s="15" t="n">
        <v>0</v>
      </c>
      <c r="O1154" s="15" t="n">
        <v>3</v>
      </c>
      <c r="P1154" s="15" t="n">
        <v>0</v>
      </c>
      <c r="Q1154" s="15" t="n">
        <v>0</v>
      </c>
      <c r="R1154" s="15" t="n">
        <v>0</v>
      </c>
      <c r="S1154" s="15" t="n">
        <v>3</v>
      </c>
      <c r="T1154" s="14">
        <f>IF(COUNT(I1154:S1154)=0,"",SUM(I1154:S1154))</f>
        <v/>
      </c>
      <c r="U1154" t="inlineStr"/>
    </row>
    <row r="1155">
      <c r="A1155" t="inlineStr">
        <is>
          <t>센텀은총어린이집</t>
        </is>
      </c>
      <c r="B1155" t="inlineStr">
        <is>
          <t>어린이집</t>
        </is>
      </c>
      <c r="C1155" t="inlineStr">
        <is>
          <t>가정</t>
        </is>
      </c>
      <c r="D1155" t="inlineStr">
        <is>
          <t>해운대구</t>
        </is>
      </c>
      <c r="E1155" t="inlineStr">
        <is>
          <t>부산광역시 해운대구 해운대로76번길 55 109동 201호(재송동, 센텀이편한세상)</t>
        </is>
      </c>
      <c r="F1155" t="inlineStr"/>
      <c r="G1155" t="inlineStr">
        <is>
          <t>051-784-6180</t>
        </is>
      </c>
      <c r="H1155" s="15" t="n">
        <v>19</v>
      </c>
      <c r="I1155" s="15" t="n">
        <v>2</v>
      </c>
      <c r="J1155" s="15" t="n">
        <v>7</v>
      </c>
      <c r="K1155" s="15" t="n">
        <v>7</v>
      </c>
      <c r="L1155" s="15" t="n">
        <v>0</v>
      </c>
      <c r="M1155" s="15" t="n">
        <v>0</v>
      </c>
      <c r="N1155" s="15" t="n">
        <v>0</v>
      </c>
      <c r="O1155" s="15" t="n">
        <v>0</v>
      </c>
      <c r="P1155" s="15" t="n">
        <v>0</v>
      </c>
      <c r="Q1155" s="15" t="n">
        <v>0</v>
      </c>
      <c r="R1155" s="15" t="n">
        <v>0</v>
      </c>
      <c r="S1155" s="15" t="n">
        <v>5</v>
      </c>
      <c r="T1155" s="14">
        <f>IF(COUNT(I1155:S1155)=0,"",SUM(I1155:S1155))</f>
        <v/>
      </c>
      <c r="U1155" t="inlineStr"/>
    </row>
    <row r="1156">
      <c r="A1156" t="inlineStr">
        <is>
          <t>센텀트루엘어린이집</t>
        </is>
      </c>
      <c r="B1156" t="inlineStr">
        <is>
          <t>어린이집</t>
        </is>
      </c>
      <c r="C1156" t="inlineStr">
        <is>
          <t>국공립</t>
        </is>
      </c>
      <c r="D1156" t="inlineStr">
        <is>
          <t>해운대구</t>
        </is>
      </c>
      <c r="E1156" t="inlineStr">
        <is>
          <t>부산광역시 해운대구 삼어로133번나길 17 (반여동, 센텀트루엘아파트)</t>
        </is>
      </c>
      <c r="F1156" t="inlineStr"/>
      <c r="G1156" t="inlineStr">
        <is>
          <t>051-921-0922</t>
        </is>
      </c>
      <c r="H1156" s="15" t="n">
        <v>40</v>
      </c>
      <c r="I1156" s="15" t="n">
        <v>7</v>
      </c>
      <c r="J1156" s="15" t="n">
        <v>11</v>
      </c>
      <c r="K1156" s="15" t="n">
        <v>15</v>
      </c>
      <c r="L1156" s="15" t="n">
        <v>0</v>
      </c>
      <c r="M1156" s="15" t="n">
        <v>0</v>
      </c>
      <c r="N1156" s="15" t="n">
        <v>0</v>
      </c>
      <c r="O1156" s="15" t="n">
        <v>0</v>
      </c>
      <c r="P1156" s="15" t="n">
        <v>0</v>
      </c>
      <c r="Q1156" s="15" t="n">
        <v>0</v>
      </c>
      <c r="R1156" s="15" t="n">
        <v>0</v>
      </c>
      <c r="S1156" s="15" t="n">
        <v>7</v>
      </c>
      <c r="T1156" s="14">
        <f>IF(COUNT(I1156:S1156)=0,"",SUM(I1156:S1156))</f>
        <v/>
      </c>
      <c r="U1156" t="inlineStr"/>
    </row>
    <row r="1157">
      <c r="A1157" t="inlineStr">
        <is>
          <t>센텀파랑새어린이집</t>
        </is>
      </c>
      <c r="B1157" t="inlineStr">
        <is>
          <t>어린이집</t>
        </is>
      </c>
      <c r="C1157" t="inlineStr">
        <is>
          <t>민간</t>
        </is>
      </c>
      <c r="D1157" t="inlineStr">
        <is>
          <t>해운대구</t>
        </is>
      </c>
      <c r="E1157" t="inlineStr">
        <is>
          <t>부산광역시 해운대구 해운대로 361 센텀삼환아파트단지 내 삼환파랑새어린이집</t>
        </is>
      </c>
      <c r="F1157" s="11" t="inlineStr">
        <is>
          <t>https://blog.naver.com/centum_blue/224076768150</t>
        </is>
      </c>
      <c r="G1157" t="inlineStr">
        <is>
          <t>051-747-7779</t>
        </is>
      </c>
      <c r="H1157" s="15" t="n">
        <v>95</v>
      </c>
      <c r="I1157" s="15" t="n">
        <v>9</v>
      </c>
      <c r="J1157" s="15" t="n">
        <v>29</v>
      </c>
      <c r="K1157" s="15" t="n">
        <v>21</v>
      </c>
      <c r="L1157" s="15" t="n">
        <v>0</v>
      </c>
      <c r="M1157" s="15" t="n">
        <v>0</v>
      </c>
      <c r="N1157" s="15" t="n">
        <v>0</v>
      </c>
      <c r="O1157" s="15" t="n">
        <v>0</v>
      </c>
      <c r="P1157" s="15" t="n">
        <v>0</v>
      </c>
      <c r="Q1157" s="15" t="n">
        <v>0</v>
      </c>
      <c r="R1157" s="15" t="n">
        <v>0</v>
      </c>
      <c r="S1157" s="15" t="n">
        <v>3</v>
      </c>
      <c r="T1157" s="14">
        <f>IF(COUNT(I1157:S1157)=0,"",SUM(I1157:S1157))</f>
        <v/>
      </c>
      <c r="U1157" t="inlineStr"/>
    </row>
    <row r="1158">
      <c r="A1158" t="inlineStr">
        <is>
          <t>센텀피오레어린이집</t>
        </is>
      </c>
      <c r="B1158" t="inlineStr">
        <is>
          <t>어린이집</t>
        </is>
      </c>
      <c r="C1158" t="inlineStr">
        <is>
          <t>가정</t>
        </is>
      </c>
      <c r="D1158" t="inlineStr">
        <is>
          <t>해운대구</t>
        </is>
      </c>
      <c r="E1158" t="inlineStr">
        <is>
          <t>부산광역시 해운대구 수영강변대로 382 106동 105호(재송동, 센텀피오레아파트)</t>
        </is>
      </c>
      <c r="F1158" t="inlineStr"/>
      <c r="G1158" t="inlineStr">
        <is>
          <t>051-781-1056</t>
        </is>
      </c>
      <c r="H1158" s="15" t="n">
        <v>19</v>
      </c>
      <c r="I1158" s="15" t="n">
        <v>7</v>
      </c>
      <c r="J1158" s="15" t="n">
        <v>5</v>
      </c>
      <c r="K1158" s="15" t="n">
        <v>5</v>
      </c>
      <c r="L1158" s="15" t="n">
        <v>0</v>
      </c>
      <c r="M1158" s="15" t="n">
        <v>0</v>
      </c>
      <c r="N1158" s="15" t="n">
        <v>0</v>
      </c>
      <c r="O1158" s="15" t="n">
        <v>0</v>
      </c>
      <c r="P1158" s="15" t="n">
        <v>0</v>
      </c>
      <c r="Q1158" s="15" t="n">
        <v>0</v>
      </c>
      <c r="R1158" s="15" t="n">
        <v>0</v>
      </c>
      <c r="S1158" s="15" t="n">
        <v>5</v>
      </c>
      <c r="T1158" s="14">
        <f>IF(COUNT(I1158:S1158)=0,"",SUM(I1158:S1158))</f>
        <v/>
      </c>
      <c r="U1158" t="inlineStr"/>
    </row>
    <row r="1159">
      <c r="A1159" t="inlineStr">
        <is>
          <t>센트럴푸르지오어린이집</t>
        </is>
      </c>
      <c r="B1159" t="inlineStr">
        <is>
          <t>어린이집</t>
        </is>
      </c>
      <c r="C1159" t="inlineStr">
        <is>
          <t>국공립</t>
        </is>
      </c>
      <c r="D1159" t="inlineStr">
        <is>
          <t>해운대구</t>
        </is>
      </c>
      <c r="E1159" t="inlineStr">
        <is>
          <t>부산광역시 해운대구 해운대로 650</t>
        </is>
      </c>
      <c r="F1159" t="inlineStr"/>
      <c r="G1159" t="inlineStr">
        <is>
          <t>051-741-2023</t>
        </is>
      </c>
      <c r="H1159" s="15" t="n">
        <v>47</v>
      </c>
      <c r="I1159" s="15" t="n">
        <v>9</v>
      </c>
      <c r="J1159" s="15" t="n">
        <v>14</v>
      </c>
      <c r="K1159" s="15" t="n">
        <v>14</v>
      </c>
      <c r="L1159" s="15" t="n">
        <v>0</v>
      </c>
      <c r="M1159" s="15" t="n">
        <v>0</v>
      </c>
      <c r="N1159" s="15" t="n">
        <v>0</v>
      </c>
      <c r="O1159" s="15" t="n">
        <v>0</v>
      </c>
      <c r="P1159" s="15" t="n">
        <v>0</v>
      </c>
      <c r="Q1159" s="15" t="n">
        <v>0</v>
      </c>
      <c r="R1159" s="15" t="n">
        <v>0</v>
      </c>
      <c r="S1159" s="15" t="n">
        <v>10</v>
      </c>
      <c r="T1159" s="14">
        <f>IF(COUNT(I1159:S1159)=0,"",SUM(I1159:S1159))</f>
        <v/>
      </c>
      <c r="U1159" t="inlineStr"/>
    </row>
    <row r="1160">
      <c r="A1160" t="inlineStr">
        <is>
          <t>소명선교어린이집</t>
        </is>
      </c>
      <c r="B1160" t="inlineStr">
        <is>
          <t>어린이집</t>
        </is>
      </c>
      <c r="C1160" t="inlineStr">
        <is>
          <t>민간</t>
        </is>
      </c>
      <c r="D1160" t="inlineStr">
        <is>
          <t>해운대구</t>
        </is>
      </c>
      <c r="E1160" t="inlineStr">
        <is>
          <t>부산광역시 해운대구 좌동순환로468번가길 87 1층(중1동)</t>
        </is>
      </c>
      <c r="F1160" t="inlineStr"/>
      <c r="G1160" t="inlineStr">
        <is>
          <t>051-747-5893</t>
        </is>
      </c>
      <c r="H1160" s="15" t="n">
        <v>124</v>
      </c>
      <c r="I1160" s="15" t="n">
        <v>0</v>
      </c>
      <c r="J1160" s="15" t="n">
        <v>18</v>
      </c>
      <c r="K1160" s="15" t="n">
        <v>14</v>
      </c>
      <c r="L1160" s="15" t="n">
        <v>12</v>
      </c>
      <c r="M1160" s="15" t="n">
        <v>17</v>
      </c>
      <c r="N1160" s="15" t="n">
        <v>29</v>
      </c>
      <c r="O1160" s="15" t="n">
        <v>0</v>
      </c>
      <c r="P1160" s="15" t="n">
        <v>0</v>
      </c>
      <c r="Q1160" s="15" t="n">
        <v>0</v>
      </c>
      <c r="R1160" s="15" t="n">
        <v>0</v>
      </c>
      <c r="S1160" s="15" t="n">
        <v>20</v>
      </c>
      <c r="T1160" s="14">
        <f>IF(COUNT(I1160:S1160)=0,"",SUM(I1160:S1160))</f>
        <v/>
      </c>
      <c r="U1160" t="inlineStr"/>
    </row>
    <row r="1161">
      <c r="A1161" t="inlineStr">
        <is>
          <t>솔밭어린이집</t>
        </is>
      </c>
      <c r="B1161" t="inlineStr">
        <is>
          <t>어린이집</t>
        </is>
      </c>
      <c r="C1161" t="inlineStr">
        <is>
          <t>국공립</t>
        </is>
      </c>
      <c r="D1161" t="inlineStr">
        <is>
          <t>해운대구</t>
        </is>
      </c>
      <c r="E1161" t="inlineStr">
        <is>
          <t>부산광역시 해운대구 신반송로 159 반석종합사회복지관내 (반송동)</t>
        </is>
      </c>
      <c r="F1161" t="inlineStr"/>
      <c r="G1161" t="inlineStr">
        <is>
          <t>051-543-2111</t>
        </is>
      </c>
      <c r="H1161" s="15" t="n">
        <v>71</v>
      </c>
      <c r="I1161" s="15" t="n">
        <v>3</v>
      </c>
      <c r="J1161" s="15" t="n">
        <v>3</v>
      </c>
      <c r="K1161" s="15" t="n">
        <v>6</v>
      </c>
      <c r="L1161" s="15" t="n">
        <v>6</v>
      </c>
      <c r="M1161" s="15" t="n">
        <v>15</v>
      </c>
      <c r="N1161" s="15" t="n">
        <v>10</v>
      </c>
      <c r="O1161" s="15" t="n">
        <v>0</v>
      </c>
      <c r="P1161" s="15" t="n">
        <v>0</v>
      </c>
      <c r="Q1161" s="15" t="n">
        <v>0</v>
      </c>
      <c r="R1161" s="15" t="n">
        <v>2</v>
      </c>
      <c r="S1161" s="15" t="n">
        <v>20</v>
      </c>
      <c r="T1161" s="14">
        <f>IF(COUNT(I1161:S1161)=0,"",SUM(I1161:S1161))</f>
        <v/>
      </c>
      <c r="U1161" t="inlineStr"/>
    </row>
    <row r="1162">
      <c r="A1162" t="inlineStr">
        <is>
          <t>솔아름어린이집</t>
        </is>
      </c>
      <c r="B1162" t="inlineStr">
        <is>
          <t>어린이집</t>
        </is>
      </c>
      <c r="C1162" t="inlineStr">
        <is>
          <t>민간</t>
        </is>
      </c>
      <c r="D1162" t="inlineStr">
        <is>
          <t>해운대구</t>
        </is>
      </c>
      <c r="E1162" t="inlineStr">
        <is>
          <t>부산광역시 해운대구 청사포로 27 관리동 1층(좌동, 경남선경아파트)</t>
        </is>
      </c>
      <c r="F1162" t="inlineStr"/>
      <c r="G1162" t="inlineStr">
        <is>
          <t>051-701-7704</t>
        </is>
      </c>
      <c r="H1162" s="15" t="n">
        <v>37</v>
      </c>
      <c r="I1162" s="15" t="n">
        <v>4</v>
      </c>
      <c r="J1162" s="15" t="n">
        <v>10</v>
      </c>
      <c r="K1162" s="15" t="n">
        <v>7</v>
      </c>
      <c r="L1162" s="15" t="n">
        <v>0</v>
      </c>
      <c r="M1162" s="15" t="n">
        <v>0</v>
      </c>
      <c r="N1162" s="15" t="n">
        <v>0</v>
      </c>
      <c r="O1162" s="15" t="n">
        <v>9</v>
      </c>
      <c r="P1162" s="15" t="n">
        <v>6</v>
      </c>
      <c r="Q1162" s="15" t="n">
        <v>0</v>
      </c>
      <c r="R1162" s="15" t="n">
        <v>0</v>
      </c>
      <c r="S1162" s="15" t="n">
        <v>5</v>
      </c>
      <c r="T1162" s="14">
        <f>IF(COUNT(I1162:S1162)=0,"",SUM(I1162:S1162))</f>
        <v/>
      </c>
      <c r="U1162" t="inlineStr"/>
    </row>
    <row r="1163">
      <c r="A1163" t="inlineStr">
        <is>
          <t>송정해송어린이집</t>
        </is>
      </c>
      <c r="B1163" t="inlineStr">
        <is>
          <t>어린이집</t>
        </is>
      </c>
      <c r="C1163" t="inlineStr">
        <is>
          <t>국공립</t>
        </is>
      </c>
      <c r="D1163" t="inlineStr">
        <is>
          <t>해운대구</t>
        </is>
      </c>
      <c r="E1163" t="inlineStr">
        <is>
          <t>부산광역시 해운대구 해운대로 1188 204동 1층(송정동, 송정2휴먼시아)</t>
        </is>
      </c>
      <c r="F1163" s="11" t="inlineStr">
        <is>
          <t>https://www.instagram.com/songjeongheasong_1465/profilecard/?igsh=MWg2a3Q0Njd1bmU5YQ==</t>
        </is>
      </c>
      <c r="G1163" t="inlineStr">
        <is>
          <t>051-704-1157</t>
        </is>
      </c>
      <c r="H1163" s="15" t="n">
        <v>32</v>
      </c>
      <c r="I1163" s="15" t="n">
        <v>6</v>
      </c>
      <c r="J1163" s="15" t="n">
        <v>9</v>
      </c>
      <c r="K1163" s="15" t="n">
        <v>4</v>
      </c>
      <c r="L1163" s="15" t="n">
        <v>0</v>
      </c>
      <c r="M1163" s="15" t="n">
        <v>0</v>
      </c>
      <c r="N1163" s="15" t="n">
        <v>0</v>
      </c>
      <c r="O1163" s="15" t="n">
        <v>0</v>
      </c>
      <c r="P1163" s="15" t="n">
        <v>0</v>
      </c>
      <c r="Q1163" s="15" t="n">
        <v>0</v>
      </c>
      <c r="R1163" s="15" t="n">
        <v>1</v>
      </c>
      <c r="S1163" s="15" t="n">
        <v>3</v>
      </c>
      <c r="T1163" s="14">
        <f>IF(COUNT(I1163:S1163)=0,"",SUM(I1163:S1163))</f>
        <v/>
      </c>
      <c r="U1163" t="inlineStr"/>
    </row>
    <row r="1164">
      <c r="A1164" t="inlineStr">
        <is>
          <t>신도어린이집</t>
        </is>
      </c>
      <c r="B1164" t="inlineStr">
        <is>
          <t>어린이집</t>
        </is>
      </c>
      <c r="C1164" t="inlineStr">
        <is>
          <t>가정</t>
        </is>
      </c>
      <c r="D1164" t="inlineStr">
        <is>
          <t>해운대구</t>
        </is>
      </c>
      <c r="E1164" t="inlineStr">
        <is>
          <t>부산광역시 해운대구 대천로103번길 29 507동 102호(좌동, 대동타운)</t>
        </is>
      </c>
      <c r="F1164" t="inlineStr"/>
      <c r="G1164" t="inlineStr">
        <is>
          <t>051-702-1624</t>
        </is>
      </c>
      <c r="H1164" s="15" t="n">
        <v>20</v>
      </c>
      <c r="I1164" s="15" t="n">
        <v>5</v>
      </c>
      <c r="J1164" s="15" t="n">
        <v>9</v>
      </c>
      <c r="K1164" s="15" t="n">
        <v>6</v>
      </c>
      <c r="L1164" s="15" t="n">
        <v>0</v>
      </c>
      <c r="M1164" s="15" t="n">
        <v>0</v>
      </c>
      <c r="N1164" s="15" t="n">
        <v>0</v>
      </c>
      <c r="O1164" s="15" t="n">
        <v>0</v>
      </c>
      <c r="P1164" s="15" t="n">
        <v>0</v>
      </c>
      <c r="Q1164" s="15" t="n">
        <v>0</v>
      </c>
      <c r="R1164" s="15" t="n">
        <v>0</v>
      </c>
      <c r="S1164" s="15" t="n">
        <v>13</v>
      </c>
      <c r="T1164" s="14">
        <f>IF(COUNT(I1164:S1164)=0,"",SUM(I1164:S1164))</f>
        <v/>
      </c>
      <c r="U1164" t="inlineStr"/>
    </row>
    <row r="1165">
      <c r="A1165" t="inlineStr">
        <is>
          <t>신세계어린이집</t>
        </is>
      </c>
      <c r="B1165" t="inlineStr">
        <is>
          <t>어린이집</t>
        </is>
      </c>
      <c r="C1165" t="inlineStr">
        <is>
          <t>직장</t>
        </is>
      </c>
      <c r="D1165" t="inlineStr">
        <is>
          <t>해운대구</t>
        </is>
      </c>
      <c r="E1165" t="inlineStr">
        <is>
          <t>부산광역시 해운대구 센텀남대로 35 신세계백화점내 2층 (우동)</t>
        </is>
      </c>
      <c r="F1165" s="11" t="inlineStr">
        <is>
          <t>http://www.puruni.com</t>
        </is>
      </c>
      <c r="G1165" t="inlineStr">
        <is>
          <t>051-745-2411</t>
        </is>
      </c>
      <c r="H1165" s="15" t="n">
        <v>34</v>
      </c>
      <c r="I1165" s="15" t="n">
        <v>0</v>
      </c>
      <c r="J1165" s="15" t="n">
        <v>0</v>
      </c>
      <c r="K1165" s="15" t="n">
        <v>8</v>
      </c>
      <c r="L1165" s="15" t="n">
        <v>9</v>
      </c>
      <c r="M1165" s="15" t="n">
        <v>2</v>
      </c>
      <c r="N1165" s="15" t="n">
        <v>0</v>
      </c>
      <c r="O1165" s="15" t="n">
        <v>0</v>
      </c>
      <c r="P1165" s="15" t="n">
        <v>0</v>
      </c>
      <c r="Q1165" s="15" t="n">
        <v>0</v>
      </c>
      <c r="R1165" s="15" t="n">
        <v>0</v>
      </c>
      <c r="S1165" s="15" t="n">
        <v>18</v>
      </c>
      <c r="T1165" s="14">
        <f>IF(COUNT(I1165:S1165)=0,"",SUM(I1165:S1165))</f>
        <v/>
      </c>
      <c r="U1165" t="inlineStr"/>
    </row>
    <row r="1166">
      <c r="A1166" t="inlineStr">
        <is>
          <t>아너스빌어린이집</t>
        </is>
      </c>
      <c r="B1166" t="inlineStr">
        <is>
          <t>어린이집</t>
        </is>
      </c>
      <c r="C1166" t="inlineStr">
        <is>
          <t>민간</t>
        </is>
      </c>
      <c r="D1166" t="inlineStr">
        <is>
          <t>해운대구</t>
        </is>
      </c>
      <c r="E1166" t="inlineStr">
        <is>
          <t>부산광역시 해운대구 해운대로 732 301동 주민공동시설내(중1동,경남아너스빌)</t>
        </is>
      </c>
      <c r="F1166" t="inlineStr"/>
      <c r="G1166" t="inlineStr">
        <is>
          <t>051-731-0687</t>
        </is>
      </c>
      <c r="H1166" s="15" t="n">
        <v>30</v>
      </c>
      <c r="I1166" s="15" t="n">
        <v>5</v>
      </c>
      <c r="J1166" s="15" t="n">
        <v>9</v>
      </c>
      <c r="K1166" s="15" t="n">
        <v>8</v>
      </c>
      <c r="L1166" s="15" t="n">
        <v>0</v>
      </c>
      <c r="M1166" s="15" t="n">
        <v>0</v>
      </c>
      <c r="N1166" s="15" t="n">
        <v>0</v>
      </c>
      <c r="O1166" s="15" t="n">
        <v>0</v>
      </c>
      <c r="P1166" s="15" t="n">
        <v>0</v>
      </c>
      <c r="Q1166" s="15" t="n">
        <v>0</v>
      </c>
      <c r="R1166" s="15" t="n">
        <v>0</v>
      </c>
      <c r="S1166" s="15" t="n">
        <v>7</v>
      </c>
      <c r="T1166" s="14">
        <f>IF(COUNT(I1166:S1166)=0,"",SUM(I1166:S1166))</f>
        <v/>
      </c>
      <c r="U1166" t="inlineStr"/>
    </row>
    <row r="1167">
      <c r="A1167" t="inlineStr">
        <is>
          <t>아시아선수촌어린이집</t>
        </is>
      </c>
      <c r="B1167" t="inlineStr">
        <is>
          <t>어린이집</t>
        </is>
      </c>
      <c r="C1167" t="inlineStr">
        <is>
          <t>국공립</t>
        </is>
      </c>
      <c r="D1167" t="inlineStr">
        <is>
          <t>해운대구</t>
        </is>
      </c>
      <c r="E1167" t="inlineStr">
        <is>
          <t>부산광역시 해운대구 선수촌로 122</t>
        </is>
      </c>
      <c r="F1167" t="inlineStr"/>
      <c r="G1167" t="inlineStr">
        <is>
          <t>051-529-9581</t>
        </is>
      </c>
      <c r="H1167" s="15" t="n">
        <v>52</v>
      </c>
      <c r="I1167" s="15" t="n">
        <v>6</v>
      </c>
      <c r="J1167" s="15" t="n">
        <v>15</v>
      </c>
      <c r="K1167" s="15" t="n">
        <v>14</v>
      </c>
      <c r="L1167" s="15" t="n">
        <v>0</v>
      </c>
      <c r="M1167" s="15" t="n">
        <v>0</v>
      </c>
      <c r="N1167" s="15" t="n">
        <v>0</v>
      </c>
      <c r="O1167" s="15" t="n">
        <v>0</v>
      </c>
      <c r="P1167" s="15" t="n">
        <v>0</v>
      </c>
      <c r="Q1167" s="15" t="n">
        <v>0</v>
      </c>
      <c r="R1167" s="15" t="n">
        <v>0</v>
      </c>
      <c r="S1167" s="15" t="n">
        <v>5</v>
      </c>
      <c r="T1167" s="14">
        <f>IF(COUNT(I1167:S1167)=0,"",SUM(I1167:S1167))</f>
        <v/>
      </c>
      <c r="U1167" t="inlineStr"/>
    </row>
    <row r="1168">
      <c r="A1168" t="inlineStr">
        <is>
          <t>아이별어린이집</t>
        </is>
      </c>
      <c r="B1168" t="inlineStr">
        <is>
          <t>어린이집</t>
        </is>
      </c>
      <c r="C1168" t="inlineStr">
        <is>
          <t>민간</t>
        </is>
      </c>
      <c r="D1168" t="inlineStr">
        <is>
          <t>해운대구</t>
        </is>
      </c>
      <c r="E1168" t="inlineStr">
        <is>
          <t>부산광역시 해운대구 대천로 205 벽산아파트 관리동1층</t>
        </is>
      </c>
      <c r="F1168" t="inlineStr"/>
      <c r="G1168" t="inlineStr">
        <is>
          <t>051-701-8513</t>
        </is>
      </c>
      <c r="H1168" s="15" t="n">
        <v>24</v>
      </c>
      <c r="I1168" s="15" t="n">
        <v>0</v>
      </c>
      <c r="J1168" s="15" t="n">
        <v>8</v>
      </c>
      <c r="K1168" s="15" t="n">
        <v>7</v>
      </c>
      <c r="L1168" s="15" t="n">
        <v>0</v>
      </c>
      <c r="M1168" s="15" t="n">
        <v>0</v>
      </c>
      <c r="N1168" s="15" t="n">
        <v>0</v>
      </c>
      <c r="O1168" s="15" t="n">
        <v>0</v>
      </c>
      <c r="P1168" s="15" t="n">
        <v>0</v>
      </c>
      <c r="Q1168" s="15" t="n">
        <v>0</v>
      </c>
      <c r="R1168" s="15" t="n">
        <v>0</v>
      </c>
      <c r="S1168" s="15" t="n">
        <v>5</v>
      </c>
      <c r="T1168" s="14">
        <f>IF(COUNT(I1168:S1168)=0,"",SUM(I1168:S1168))</f>
        <v/>
      </c>
      <c r="U1168" t="inlineStr"/>
    </row>
    <row r="1169">
      <c r="A1169" t="inlineStr">
        <is>
          <t>아이사랑어린이집</t>
        </is>
      </c>
      <c r="B1169" t="inlineStr">
        <is>
          <t>어린이집</t>
        </is>
      </c>
      <c r="C1169" t="inlineStr">
        <is>
          <t>민간</t>
        </is>
      </c>
      <c r="D1169" t="inlineStr">
        <is>
          <t>해운대구</t>
        </is>
      </c>
      <c r="E1169" t="inlineStr">
        <is>
          <t>부산광역시 해운대구 해운대해변로 99 경남마리나아파트 내 (우동)</t>
        </is>
      </c>
      <c r="F1169" t="inlineStr"/>
      <c r="G1169" t="inlineStr">
        <is>
          <t>051-747-5986</t>
        </is>
      </c>
      <c r="H1169" s="15" t="n">
        <v>90</v>
      </c>
      <c r="I1169" s="15" t="n">
        <v>9</v>
      </c>
      <c r="J1169" s="15" t="n">
        <v>32</v>
      </c>
      <c r="K1169" s="15" t="n">
        <v>42</v>
      </c>
      <c r="L1169" s="15" t="n">
        <v>0</v>
      </c>
      <c r="M1169" s="15" t="n">
        <v>0</v>
      </c>
      <c r="N1169" s="15" t="n">
        <v>0</v>
      </c>
      <c r="O1169" s="15" t="n">
        <v>1</v>
      </c>
      <c r="P1169" s="15" t="n">
        <v>0</v>
      </c>
      <c r="Q1169" s="15" t="n">
        <v>0</v>
      </c>
      <c r="R1169" s="15" t="n">
        <v>0</v>
      </c>
      <c r="S1169" s="15" t="n">
        <v>5</v>
      </c>
      <c r="T1169" s="14">
        <f>IF(COUNT(I1169:S1169)=0,"",SUM(I1169:S1169))</f>
        <v/>
      </c>
      <c r="U1169" t="inlineStr"/>
    </row>
    <row r="1170">
      <c r="A1170" t="inlineStr">
        <is>
          <t>아이편한어린이집</t>
        </is>
      </c>
      <c r="B1170" t="inlineStr">
        <is>
          <t>어린이집</t>
        </is>
      </c>
      <c r="C1170" t="inlineStr">
        <is>
          <t>가정</t>
        </is>
      </c>
      <c r="D1170" t="inlineStr">
        <is>
          <t>해운대구</t>
        </is>
      </c>
      <c r="E1170" t="inlineStr">
        <is>
          <t>부산광역시 해운대구 해운대로76번길 55 104동 105호(재송동, 센텀이편한세상)</t>
        </is>
      </c>
      <c r="F1170" t="inlineStr"/>
      <c r="G1170" t="inlineStr">
        <is>
          <t>051-912-7831</t>
        </is>
      </c>
      <c r="H1170" s="15" t="n">
        <v>19</v>
      </c>
      <c r="I1170" s="15" t="n">
        <v>7</v>
      </c>
      <c r="J1170" s="15" t="n">
        <v>5</v>
      </c>
      <c r="K1170" s="15" t="n">
        <v>7</v>
      </c>
      <c r="L1170" s="15" t="n">
        <v>0</v>
      </c>
      <c r="M1170" s="15" t="n">
        <v>0</v>
      </c>
      <c r="N1170" s="15" t="n">
        <v>0</v>
      </c>
      <c r="O1170" s="15" t="n">
        <v>0</v>
      </c>
      <c r="P1170" s="15" t="n">
        <v>0</v>
      </c>
      <c r="Q1170" s="15" t="n">
        <v>0</v>
      </c>
      <c r="R1170" s="15" t="n">
        <v>0</v>
      </c>
      <c r="S1170" s="15" t="n">
        <v>5</v>
      </c>
      <c r="T1170" s="14">
        <f>IF(COUNT(I1170:S1170)=0,"",SUM(I1170:S1170))</f>
        <v/>
      </c>
      <c r="U1170" t="inlineStr"/>
    </row>
    <row r="1171">
      <c r="A1171" t="inlineStr">
        <is>
          <t>영재어린이집</t>
        </is>
      </c>
      <c r="B1171" t="inlineStr">
        <is>
          <t>어린이집</t>
        </is>
      </c>
      <c r="C1171" t="inlineStr">
        <is>
          <t>가정</t>
        </is>
      </c>
      <c r="D1171" t="inlineStr">
        <is>
          <t>해운대구</t>
        </is>
      </c>
      <c r="E1171" t="inlineStr">
        <is>
          <t>부산광역시 해운대구 양운로 182 101동 103호(좌동, 두산동국)</t>
        </is>
      </c>
      <c r="F1171" s="11" t="inlineStr">
        <is>
          <t>http://mijungp8415@hanmail.net</t>
        </is>
      </c>
      <c r="G1171" t="inlineStr">
        <is>
          <t>051-701-8406</t>
        </is>
      </c>
      <c r="H1171" s="15" t="n">
        <v>20</v>
      </c>
      <c r="I1171" s="15" t="n">
        <v>5</v>
      </c>
      <c r="J1171" s="15" t="n">
        <v>7</v>
      </c>
      <c r="K1171" s="15" t="n">
        <v>0</v>
      </c>
      <c r="L1171" s="15" t="n">
        <v>0</v>
      </c>
      <c r="M1171" s="15" t="n">
        <v>0</v>
      </c>
      <c r="N1171" s="15" t="n">
        <v>0</v>
      </c>
      <c r="O1171" s="15" t="n">
        <v>4</v>
      </c>
      <c r="P1171" s="15" t="n">
        <v>0</v>
      </c>
      <c r="Q1171" s="15" t="n">
        <v>0</v>
      </c>
      <c r="R1171" s="15" t="n">
        <v>0</v>
      </c>
      <c r="S1171" s="15" t="n">
        <v>4</v>
      </c>
      <c r="T1171" s="14">
        <f>IF(COUNT(I1171:S1171)=0,"",SUM(I1171:S1171))</f>
        <v/>
      </c>
      <c r="U1171" t="inlineStr"/>
    </row>
    <row r="1172">
      <c r="A1172" t="inlineStr">
        <is>
          <t>예닮어린이집</t>
        </is>
      </c>
      <c r="B1172" t="inlineStr">
        <is>
          <t>어린이집</t>
        </is>
      </c>
      <c r="C1172" t="inlineStr">
        <is>
          <t>가정</t>
        </is>
      </c>
      <c r="D1172" t="inlineStr">
        <is>
          <t>해운대구</t>
        </is>
      </c>
      <c r="E1172" t="inlineStr">
        <is>
          <t>부산광역시 해운대구 해운대해변로 85 101동 101호(우동, 경동아파트)</t>
        </is>
      </c>
      <c r="F1172" t="inlineStr"/>
      <c r="G1172" t="inlineStr">
        <is>
          <t>051-731-6315</t>
        </is>
      </c>
      <c r="H1172" s="15" t="n">
        <v>19</v>
      </c>
      <c r="I1172" s="15" t="n">
        <v>2</v>
      </c>
      <c r="J1172" s="15" t="n">
        <v>8</v>
      </c>
      <c r="K1172" s="15" t="n">
        <v>5</v>
      </c>
      <c r="L1172" s="15" t="n">
        <v>0</v>
      </c>
      <c r="M1172" s="15" t="n">
        <v>0</v>
      </c>
      <c r="N1172" s="15" t="n">
        <v>0</v>
      </c>
      <c r="O1172" s="15" t="n">
        <v>0</v>
      </c>
      <c r="P1172" s="15" t="n">
        <v>0</v>
      </c>
      <c r="Q1172" s="15" t="n">
        <v>0</v>
      </c>
      <c r="R1172" s="15" t="n">
        <v>0</v>
      </c>
      <c r="S1172" s="15" t="n">
        <v>5</v>
      </c>
      <c r="T1172" s="14">
        <f>IF(COUNT(I1172:S1172)=0,"",SUM(I1172:S1172))</f>
        <v/>
      </c>
      <c r="U1172" t="inlineStr"/>
    </row>
    <row r="1173">
      <c r="A1173" t="inlineStr">
        <is>
          <t>예진어린이집</t>
        </is>
      </c>
      <c r="B1173" t="inlineStr">
        <is>
          <t>어린이집</t>
        </is>
      </c>
      <c r="C1173" t="inlineStr">
        <is>
          <t>사회복지법인</t>
        </is>
      </c>
      <c r="D1173" t="inlineStr">
        <is>
          <t>해운대구</t>
        </is>
      </c>
      <c r="E1173" t="inlineStr">
        <is>
          <t>부산광역시 해운대구 재송2로 122 (재송동)</t>
        </is>
      </c>
      <c r="F1173" s="11" t="inlineStr">
        <is>
          <t>http://www.yejin.or.kr</t>
        </is>
      </c>
      <c r="G1173" t="inlineStr">
        <is>
          <t>051-782-6321</t>
        </is>
      </c>
      <c r="H1173" s="15" t="n">
        <v>100</v>
      </c>
      <c r="I1173" s="15" t="n">
        <v>6</v>
      </c>
      <c r="J1173" s="15" t="n">
        <v>5</v>
      </c>
      <c r="K1173" s="15" t="n">
        <v>7</v>
      </c>
      <c r="L1173" s="15" t="n">
        <v>10</v>
      </c>
      <c r="M1173" s="15" t="n">
        <v>14</v>
      </c>
      <c r="N1173" s="15" t="n">
        <v>17</v>
      </c>
      <c r="O1173" s="15" t="n">
        <v>4</v>
      </c>
      <c r="P1173" s="15" t="n">
        <v>0</v>
      </c>
      <c r="Q1173" s="15" t="n">
        <v>0</v>
      </c>
      <c r="R1173" s="15" t="n">
        <v>0</v>
      </c>
      <c r="S1173" s="15" t="n">
        <v>31</v>
      </c>
      <c r="T1173" s="14">
        <f>IF(COUNT(I1173:S1173)=0,"",SUM(I1173:S1173))</f>
        <v/>
      </c>
      <c r="U1173" t="inlineStr"/>
    </row>
    <row r="1174">
      <c r="A1174" t="inlineStr">
        <is>
          <t>오리온어린이집</t>
        </is>
      </c>
      <c r="B1174" t="inlineStr">
        <is>
          <t>어린이집</t>
        </is>
      </c>
      <c r="C1174" t="inlineStr">
        <is>
          <t>가정</t>
        </is>
      </c>
      <c r="D1174" t="inlineStr">
        <is>
          <t>해운대구</t>
        </is>
      </c>
      <c r="E1174" t="inlineStr">
        <is>
          <t>부산광역시 해운대구 선수촌로 122 111동 102호(반여동, 주공아시아선수촌아파트)</t>
        </is>
      </c>
      <c r="F1174" s="11" t="inlineStr">
        <is>
          <t>http://orion8816@naver.com</t>
        </is>
      </c>
      <c r="G1174" t="inlineStr">
        <is>
          <t>051-527-8816</t>
        </is>
      </c>
      <c r="H1174" s="15" t="n">
        <v>19</v>
      </c>
      <c r="I1174" s="15" t="n">
        <v>0</v>
      </c>
      <c r="J1174" s="15" t="n">
        <v>5</v>
      </c>
      <c r="K1174" s="15" t="n">
        <v>4</v>
      </c>
      <c r="L1174" s="15" t="n">
        <v>0</v>
      </c>
      <c r="M1174" s="15" t="n">
        <v>0</v>
      </c>
      <c r="N1174" s="15" t="n">
        <v>0</v>
      </c>
      <c r="O1174" s="15" t="n">
        <v>4</v>
      </c>
      <c r="P1174" s="15" t="n">
        <v>0</v>
      </c>
      <c r="Q1174" s="15" t="n">
        <v>0</v>
      </c>
      <c r="R1174" s="15" t="n">
        <v>0</v>
      </c>
      <c r="S1174" s="15" t="n">
        <v>17</v>
      </c>
      <c r="T1174" s="14">
        <f>IF(COUNT(I1174:S1174)=0,"",SUM(I1174:S1174))</f>
        <v/>
      </c>
      <c r="U1174" t="inlineStr"/>
    </row>
    <row r="1175">
      <c r="A1175" t="inlineStr">
        <is>
          <t>우2동어린이집</t>
        </is>
      </c>
      <c r="B1175" t="inlineStr">
        <is>
          <t>어린이집</t>
        </is>
      </c>
      <c r="C1175" t="inlineStr">
        <is>
          <t>국공립</t>
        </is>
      </c>
      <c r="D1175" t="inlineStr">
        <is>
          <t>해운대구</t>
        </is>
      </c>
      <c r="E1175" t="inlineStr">
        <is>
          <t>부산광역시 해운대구 해운대로383번가길 3-9 우2동어린이집 (우동)</t>
        </is>
      </c>
      <c r="F1175" s="11" t="inlineStr">
        <is>
          <t>http://cafe.daum.net/ajh6682</t>
        </is>
      </c>
      <c r="G1175" t="inlineStr">
        <is>
          <t>051-747-6604</t>
        </is>
      </c>
      <c r="H1175" s="15" t="n">
        <v>98</v>
      </c>
      <c r="I1175" s="15" t="n">
        <v>9</v>
      </c>
      <c r="J1175" s="15" t="n">
        <v>15</v>
      </c>
      <c r="K1175" s="15" t="n">
        <v>20</v>
      </c>
      <c r="L1175" s="15" t="n">
        <v>9</v>
      </c>
      <c r="M1175" s="15" t="n">
        <v>0</v>
      </c>
      <c r="N1175" s="15" t="n">
        <v>0</v>
      </c>
      <c r="O1175" s="15" t="n">
        <v>0</v>
      </c>
      <c r="P1175" s="15" t="n">
        <v>6</v>
      </c>
      <c r="Q1175" s="15" t="n">
        <v>0</v>
      </c>
      <c r="R1175" s="15" t="n">
        <v>0</v>
      </c>
      <c r="S1175" s="15" t="n">
        <v>12</v>
      </c>
      <c r="T1175" s="14">
        <f>IF(COUNT(I1175:S1175)=0,"",SUM(I1175:S1175))</f>
        <v/>
      </c>
      <c r="U1175" t="inlineStr"/>
    </row>
    <row r="1176">
      <c r="A1176" t="inlineStr">
        <is>
          <t>우림햇살어린이집</t>
        </is>
      </c>
      <c r="B1176" t="inlineStr">
        <is>
          <t>어린이집</t>
        </is>
      </c>
      <c r="C1176" t="inlineStr">
        <is>
          <t>국공립</t>
        </is>
      </c>
      <c r="D1176" t="inlineStr">
        <is>
          <t>해운대구</t>
        </is>
      </c>
      <c r="E1176" t="inlineStr">
        <is>
          <t>부산광역시 해운대구 송정1로8번길 25-78 관리동 1층(송정동, 해운대 송정 우림필유아파트)</t>
        </is>
      </c>
      <c r="F1176" t="inlineStr"/>
      <c r="G1176" t="inlineStr">
        <is>
          <t>051-704-3007</t>
        </is>
      </c>
      <c r="H1176" s="15" t="n">
        <v>30</v>
      </c>
      <c r="I1176" s="15" t="n">
        <v>3</v>
      </c>
      <c r="J1176" s="15" t="n">
        <v>4</v>
      </c>
      <c r="K1176" s="15" t="n">
        <v>8</v>
      </c>
      <c r="L1176" s="15" t="n">
        <v>0</v>
      </c>
      <c r="M1176" s="15" t="n">
        <v>0</v>
      </c>
      <c r="N1176" s="15" t="n">
        <v>0</v>
      </c>
      <c r="O1176" s="15" t="n">
        <v>2</v>
      </c>
      <c r="P1176" s="15" t="n">
        <v>0</v>
      </c>
      <c r="Q1176" s="15" t="n">
        <v>0</v>
      </c>
      <c r="R1176" s="15" t="n">
        <v>0</v>
      </c>
      <c r="S1176" s="15" t="n">
        <v>5</v>
      </c>
      <c r="T1176" s="14">
        <f>IF(COUNT(I1176:S1176)=0,"",SUM(I1176:S1176))</f>
        <v/>
      </c>
      <c r="U1176" t="inlineStr"/>
    </row>
    <row r="1177">
      <c r="A1177" t="inlineStr">
        <is>
          <t>우방아이사랑어린이집</t>
        </is>
      </c>
      <c r="B1177" t="inlineStr">
        <is>
          <t>어린이집</t>
        </is>
      </c>
      <c r="C1177" t="inlineStr">
        <is>
          <t>민간</t>
        </is>
      </c>
      <c r="D1177" t="inlineStr">
        <is>
          <t>해운대구</t>
        </is>
      </c>
      <c r="E1177" t="inlineStr">
        <is>
          <t>부산광역시 해운대구 삼어로 61 우방아이사랑어린이집</t>
        </is>
      </c>
      <c r="F1177" s="11" t="inlineStr">
        <is>
          <t>https://blog.naver.com/hij7443</t>
        </is>
      </c>
      <c r="G1177" t="inlineStr">
        <is>
          <t>051-521-8458</t>
        </is>
      </c>
      <c r="H1177" s="15" t="n">
        <v>39</v>
      </c>
      <c r="I1177" s="15" t="n">
        <v>2</v>
      </c>
      <c r="J1177" s="15" t="n">
        <v>4</v>
      </c>
      <c r="K1177" s="15" t="n">
        <v>5</v>
      </c>
      <c r="L1177" s="15" t="n">
        <v>0</v>
      </c>
      <c r="M1177" s="15" t="n">
        <v>0</v>
      </c>
      <c r="N1177" s="15" t="n">
        <v>0</v>
      </c>
      <c r="O1177" s="15" t="n">
        <v>5</v>
      </c>
      <c r="P1177" s="15" t="n">
        <v>0</v>
      </c>
      <c r="Q1177" s="15" t="n">
        <v>0</v>
      </c>
      <c r="R1177" s="15" t="n">
        <v>0</v>
      </c>
      <c r="S1177" s="15" t="n">
        <v>4</v>
      </c>
      <c r="T1177" s="14">
        <f>IF(COUNT(I1177:S1177)=0,"",SUM(I1177:S1177))</f>
        <v/>
      </c>
      <c r="U1177" t="inlineStr"/>
    </row>
    <row r="1178">
      <c r="A1178" t="inlineStr">
        <is>
          <t>우신꿈꾸는 어린이집</t>
        </is>
      </c>
      <c r="B1178" t="inlineStr">
        <is>
          <t>어린이집</t>
        </is>
      </c>
      <c r="C1178" t="inlineStr">
        <is>
          <t>가정</t>
        </is>
      </c>
      <c r="D1178" t="inlineStr">
        <is>
          <t>해운대구</t>
        </is>
      </c>
      <c r="E1178" t="inlineStr">
        <is>
          <t>부산광역시 해운대구 삼어로 181 우신아파트 103-101 우신꿈꾸는 어린이집 (반여동)</t>
        </is>
      </c>
      <c r="F1178" t="inlineStr"/>
      <c r="G1178" t="inlineStr">
        <is>
          <t>051-529-8511</t>
        </is>
      </c>
      <c r="H1178" s="15" t="n">
        <v>19</v>
      </c>
      <c r="I1178" s="15" t="n">
        <v>2</v>
      </c>
      <c r="J1178" s="15" t="n">
        <v>0</v>
      </c>
      <c r="K1178" s="15" t="n">
        <v>0</v>
      </c>
      <c r="L1178" s="15" t="n">
        <v>0</v>
      </c>
      <c r="M1178" s="15" t="n">
        <v>0</v>
      </c>
      <c r="N1178" s="15" t="n">
        <v>0</v>
      </c>
      <c r="O1178" s="15" t="n">
        <v>2</v>
      </c>
      <c r="P1178" s="15" t="n">
        <v>0</v>
      </c>
      <c r="Q1178" s="15" t="n">
        <v>0</v>
      </c>
      <c r="R1178" s="15" t="n">
        <v>0</v>
      </c>
      <c r="S1178" s="15" t="n">
        <v>3</v>
      </c>
      <c r="T1178" s="14">
        <f>IF(COUNT(I1178:S1178)=0,"",SUM(I1178:S1178))</f>
        <v/>
      </c>
      <c r="U1178" t="inlineStr"/>
    </row>
    <row r="1179">
      <c r="A1179" t="inlineStr">
        <is>
          <t>월드마크어린이집</t>
        </is>
      </c>
      <c r="B1179" t="inlineStr">
        <is>
          <t>어린이집</t>
        </is>
      </c>
      <c r="C1179" t="inlineStr">
        <is>
          <t>가정</t>
        </is>
      </c>
      <c r="D1179" t="inlineStr">
        <is>
          <t>해운대구</t>
        </is>
      </c>
      <c r="E1179" t="inlineStr">
        <is>
          <t>부산광역시 해운대구 센텀동로 25 3층 주민공동시설내(우2동,대우월드마크센텀)</t>
        </is>
      </c>
      <c r="F1179" t="inlineStr"/>
      <c r="G1179" t="inlineStr">
        <is>
          <t>051-747-2021</t>
        </is>
      </c>
      <c r="H1179" s="15" t="n">
        <v>20</v>
      </c>
      <c r="I1179" s="15" t="n">
        <v>0</v>
      </c>
      <c r="J1179" s="15" t="n">
        <v>5</v>
      </c>
      <c r="K1179" s="15" t="n">
        <v>5</v>
      </c>
      <c r="L1179" s="15" t="n">
        <v>0</v>
      </c>
      <c r="M1179" s="15" t="n">
        <v>0</v>
      </c>
      <c r="N1179" s="15" t="n">
        <v>0</v>
      </c>
      <c r="O1179" s="15" t="n">
        <v>4</v>
      </c>
      <c r="P1179" s="15" t="n">
        <v>0</v>
      </c>
      <c r="Q1179" s="15" t="n">
        <v>0</v>
      </c>
      <c r="R1179" s="15" t="n">
        <v>0</v>
      </c>
      <c r="S1179" s="15" t="n">
        <v>5</v>
      </c>
      <c r="T1179" s="14">
        <f>IF(COUNT(I1179:S1179)=0,"",SUM(I1179:S1179))</f>
        <v/>
      </c>
      <c r="U1179" t="inlineStr"/>
    </row>
    <row r="1180">
      <c r="A1180" t="inlineStr">
        <is>
          <t>웰키즈어린이집</t>
        </is>
      </c>
      <c r="B1180" t="inlineStr">
        <is>
          <t>어린이집</t>
        </is>
      </c>
      <c r="C1180" t="inlineStr">
        <is>
          <t>가정</t>
        </is>
      </c>
      <c r="D1180" t="inlineStr">
        <is>
          <t>해운대구</t>
        </is>
      </c>
      <c r="E1180" t="inlineStr">
        <is>
          <t>부산광역시 해운대구 수영강변대로 382 103동 103호(반여동, 센텀피오레1차)</t>
        </is>
      </c>
      <c r="F1180" t="inlineStr"/>
      <c r="G1180" t="inlineStr">
        <is>
          <t>051-783-6404</t>
        </is>
      </c>
      <c r="H1180" s="15" t="n">
        <v>19</v>
      </c>
      <c r="I1180" s="15" t="n">
        <v>4</v>
      </c>
      <c r="J1180" s="15" t="n">
        <v>8</v>
      </c>
      <c r="K1180" s="15" t="n">
        <v>7</v>
      </c>
      <c r="L1180" s="15" t="n">
        <v>0</v>
      </c>
      <c r="M1180" s="15" t="n">
        <v>0</v>
      </c>
      <c r="N1180" s="15" t="n">
        <v>0</v>
      </c>
      <c r="O1180" s="15" t="n">
        <v>0</v>
      </c>
      <c r="P1180" s="15" t="n">
        <v>0</v>
      </c>
      <c r="Q1180" s="15" t="n">
        <v>0</v>
      </c>
      <c r="R1180" s="15" t="n">
        <v>0</v>
      </c>
      <c r="S1180" s="15" t="n">
        <v>3</v>
      </c>
      <c r="T1180" s="14">
        <f>IF(COUNT(I1180:S1180)=0,"",SUM(I1180:S1180))</f>
        <v/>
      </c>
      <c r="U1180" t="inlineStr"/>
    </row>
    <row r="1181">
      <c r="A1181" t="inlineStr">
        <is>
          <t>위브마음어린이집</t>
        </is>
      </c>
      <c r="B1181" t="inlineStr">
        <is>
          <t>어린이집</t>
        </is>
      </c>
      <c r="C1181" t="inlineStr">
        <is>
          <t>민간</t>
        </is>
      </c>
      <c r="D1181" t="inlineStr">
        <is>
          <t>해운대구</t>
        </is>
      </c>
      <c r="E1181" t="inlineStr">
        <is>
          <t>부산광역시 해운대구 좌동순환로433번길 30 202동 1층 보육시설(중동, 해운대힐스테이트위브)</t>
        </is>
      </c>
      <c r="F1181" t="inlineStr"/>
      <c r="G1181" t="inlineStr">
        <is>
          <t>051-731-0179</t>
        </is>
      </c>
      <c r="H1181" s="15" t="n">
        <v>99</v>
      </c>
      <c r="I1181" s="15" t="n">
        <v>9</v>
      </c>
      <c r="J1181" s="15" t="n">
        <v>25</v>
      </c>
      <c r="K1181" s="15" t="n">
        <v>22</v>
      </c>
      <c r="L1181" s="15" t="n">
        <v>0</v>
      </c>
      <c r="M1181" s="15" t="n">
        <v>0</v>
      </c>
      <c r="N1181" s="15" t="n">
        <v>0</v>
      </c>
      <c r="O1181" s="15" t="n">
        <v>0</v>
      </c>
      <c r="P1181" s="15" t="n">
        <v>8</v>
      </c>
      <c r="Q1181" s="15" t="n">
        <v>0</v>
      </c>
      <c r="R1181" s="15" t="n">
        <v>0</v>
      </c>
      <c r="S1181" s="15" t="n">
        <v>27</v>
      </c>
      <c r="T1181" s="14">
        <f>IF(COUNT(I1181:S1181)=0,"",SUM(I1181:S1181))</f>
        <v/>
      </c>
      <c r="U1181" t="inlineStr"/>
    </row>
    <row r="1182">
      <c r="A1182" t="inlineStr">
        <is>
          <t>인제대학교 해운대백병원 사랑누리어린이집</t>
        </is>
      </c>
      <c r="B1182" t="inlineStr">
        <is>
          <t>어린이집</t>
        </is>
      </c>
      <c r="C1182" t="inlineStr">
        <is>
          <t>직장</t>
        </is>
      </c>
      <c r="D1182" t="inlineStr">
        <is>
          <t>해운대구</t>
        </is>
      </c>
      <c r="E1182" t="inlineStr">
        <is>
          <t>부산광역시 해운대구 세실로 19 112-101(좌동, 대우1차아파트)</t>
        </is>
      </c>
      <c r="F1182" t="inlineStr"/>
      <c r="G1182" t="inlineStr">
        <is>
          <t>051-949-0797</t>
        </is>
      </c>
      <c r="H1182" s="15" t="n">
        <v>20</v>
      </c>
      <c r="I1182" s="15" t="n">
        <v>0</v>
      </c>
      <c r="J1182" s="15" t="n">
        <v>4</v>
      </c>
      <c r="K1182" s="15" t="n">
        <v>0</v>
      </c>
      <c r="L1182" s="15" t="n">
        <v>0</v>
      </c>
      <c r="M1182" s="15" t="n">
        <v>0</v>
      </c>
      <c r="N1182" s="15" t="n">
        <v>0</v>
      </c>
      <c r="O1182" s="15" t="n">
        <v>3</v>
      </c>
      <c r="P1182" s="15" t="n">
        <v>0</v>
      </c>
      <c r="Q1182" s="15" t="n">
        <v>0</v>
      </c>
      <c r="R1182" s="15" t="n">
        <v>0</v>
      </c>
      <c r="S1182" s="15" t="n">
        <v>9</v>
      </c>
      <c r="T1182" s="14">
        <f>IF(COUNT(I1182:S1182)=0,"",SUM(I1182:S1182))</f>
        <v/>
      </c>
      <c r="U1182" t="inlineStr"/>
    </row>
    <row r="1183">
      <c r="A1183" t="inlineStr">
        <is>
          <t>인천꿈나무어린이집</t>
        </is>
      </c>
      <c r="B1183" t="inlineStr">
        <is>
          <t>어린이집</t>
        </is>
      </c>
      <c r="C1183" t="inlineStr">
        <is>
          <t>사회복지법인</t>
        </is>
      </c>
      <c r="D1183" t="inlineStr">
        <is>
          <t>해운대구</t>
        </is>
      </c>
      <c r="E1183" t="inlineStr">
        <is>
          <t>부산광역시 해운대구 재반로12번길 16 (재송동)</t>
        </is>
      </c>
      <c r="F1183" t="inlineStr"/>
      <c r="G1183" t="inlineStr">
        <is>
          <t>051-782-3047</t>
        </is>
      </c>
      <c r="H1183" s="15" t="n">
        <v>103</v>
      </c>
      <c r="I1183" s="15" t="n">
        <v>0</v>
      </c>
      <c r="J1183" s="15" t="n">
        <v>15</v>
      </c>
      <c r="K1183" s="15" t="n">
        <v>20</v>
      </c>
      <c r="L1183" s="15" t="n">
        <v>49</v>
      </c>
      <c r="M1183" s="15" t="n">
        <v>0</v>
      </c>
      <c r="N1183" s="15" t="n">
        <v>0</v>
      </c>
      <c r="O1183" s="15" t="n">
        <v>0</v>
      </c>
      <c r="P1183" s="15" t="n">
        <v>0</v>
      </c>
      <c r="Q1183" s="15" t="n">
        <v>0</v>
      </c>
      <c r="R1183" s="15" t="n">
        <v>0</v>
      </c>
      <c r="S1183" s="15" t="n">
        <v>5</v>
      </c>
      <c r="T1183" s="14">
        <f>IF(COUNT(I1183:S1183)=0,"",SUM(I1183:S1183))</f>
        <v/>
      </c>
      <c r="U1183" t="inlineStr"/>
    </row>
    <row r="1184">
      <c r="A1184" t="inlineStr">
        <is>
          <t>일동햇살 어린이집</t>
        </is>
      </c>
      <c r="B1184" t="inlineStr">
        <is>
          <t>어린이집</t>
        </is>
      </c>
      <c r="C1184" t="inlineStr">
        <is>
          <t>민간</t>
        </is>
      </c>
      <c r="D1184" t="inlineStr">
        <is>
          <t>해운대구</t>
        </is>
      </c>
      <c r="E1184" t="inlineStr">
        <is>
          <t>부산광역시 해운대구 삼어로 77 일동미라주 아파트 관리동 1층</t>
        </is>
      </c>
      <c r="F1184" t="inlineStr"/>
      <c r="G1184" t="inlineStr">
        <is>
          <t>051-521-3103</t>
        </is>
      </c>
      <c r="H1184" s="15" t="n">
        <v>29</v>
      </c>
      <c r="I1184" s="15" t="n">
        <v>0</v>
      </c>
      <c r="J1184" s="15" t="n">
        <v>5</v>
      </c>
      <c r="K1184" s="15" t="n">
        <v>9</v>
      </c>
      <c r="L1184" s="15" t="n">
        <v>6</v>
      </c>
      <c r="M1184" s="15" t="n">
        <v>0</v>
      </c>
      <c r="N1184" s="15" t="n">
        <v>0</v>
      </c>
      <c r="O1184" s="15" t="n">
        <v>3</v>
      </c>
      <c r="P1184" s="15" t="n">
        <v>0</v>
      </c>
      <c r="Q1184" s="15" t="n">
        <v>0</v>
      </c>
      <c r="R1184" s="15" t="n">
        <v>0</v>
      </c>
      <c r="S1184" s="15" t="n">
        <v>3</v>
      </c>
      <c r="T1184" s="14">
        <f>IF(COUNT(I1184:S1184)=0,"",SUM(I1184:S1184))</f>
        <v/>
      </c>
      <c r="U1184" t="inlineStr"/>
    </row>
    <row r="1185">
      <c r="A1185" t="inlineStr">
        <is>
          <t>자연꿈나무어린이집</t>
        </is>
      </c>
      <c r="B1185" t="inlineStr">
        <is>
          <t>어린이집</t>
        </is>
      </c>
      <c r="C1185" t="inlineStr">
        <is>
          <t>민간</t>
        </is>
      </c>
      <c r="D1185" t="inlineStr">
        <is>
          <t>해운대구</t>
        </is>
      </c>
      <c r="E1185" t="inlineStr">
        <is>
          <t>부산광역시 해운대구 삼어로133번가길 21-7</t>
        </is>
      </c>
      <c r="F1185" s="11" t="inlineStr">
        <is>
          <t>http://interk11 @hanmail.net</t>
        </is>
      </c>
      <c r="G1185" t="inlineStr">
        <is>
          <t>051-528-2300</t>
        </is>
      </c>
      <c r="H1185" s="15" t="n">
        <v>123</v>
      </c>
      <c r="I1185" s="15" t="n">
        <v>5</v>
      </c>
      <c r="J1185" s="15" t="n">
        <v>8</v>
      </c>
      <c r="K1185" s="15" t="n">
        <v>14</v>
      </c>
      <c r="L1185" s="15" t="n">
        <v>11</v>
      </c>
      <c r="M1185" s="15" t="n">
        <v>11</v>
      </c>
      <c r="N1185" s="15" t="n">
        <v>13</v>
      </c>
      <c r="O1185" s="15" t="n">
        <v>2</v>
      </c>
      <c r="P1185" s="15" t="n">
        <v>0</v>
      </c>
      <c r="Q1185" s="15" t="n">
        <v>0</v>
      </c>
      <c r="R1185" s="15" t="n">
        <v>0</v>
      </c>
      <c r="S1185" s="15" t="n">
        <v>17</v>
      </c>
      <c r="T1185" s="14">
        <f>IF(COUNT(I1185:S1185)=0,"",SUM(I1185:S1185))</f>
        <v/>
      </c>
      <c r="U1185" t="inlineStr"/>
    </row>
    <row r="1186">
      <c r="A1186" t="inlineStr">
        <is>
          <t>자이2차어린이집</t>
        </is>
      </c>
      <c r="B1186" t="inlineStr">
        <is>
          <t>어린이집</t>
        </is>
      </c>
      <c r="C1186" t="inlineStr">
        <is>
          <t>국공립</t>
        </is>
      </c>
      <c r="D1186" t="inlineStr">
        <is>
          <t>해운대구</t>
        </is>
      </c>
      <c r="E1186" t="inlineStr">
        <is>
          <t>부산광역시 해운대구 해운대로469번길 110 301동 3층 주민공동시설 (우동, 해운대자이2차)</t>
        </is>
      </c>
      <c r="F1186" s="11" t="inlineStr">
        <is>
          <t>https://cafe.naver.com/xi2ecokid</t>
        </is>
      </c>
      <c r="G1186" t="inlineStr">
        <is>
          <t>051-743-1118</t>
        </is>
      </c>
      <c r="H1186" s="15" t="n">
        <v>83</v>
      </c>
      <c r="I1186" s="15" t="n">
        <v>0</v>
      </c>
      <c r="J1186" s="15" t="n">
        <v>10</v>
      </c>
      <c r="K1186" s="15" t="n">
        <v>21</v>
      </c>
      <c r="L1186" s="15" t="n">
        <v>18</v>
      </c>
      <c r="M1186" s="15" t="n">
        <v>0</v>
      </c>
      <c r="N1186" s="15" t="n">
        <v>14</v>
      </c>
      <c r="O1186" s="15" t="n">
        <v>0</v>
      </c>
      <c r="P1186" s="15" t="n">
        <v>7</v>
      </c>
      <c r="Q1186" s="15" t="n">
        <v>0</v>
      </c>
      <c r="R1186" s="15" t="n">
        <v>0</v>
      </c>
      <c r="S1186" s="15" t="n">
        <v>20</v>
      </c>
      <c r="T1186" s="14">
        <f>IF(COUNT(I1186:S1186)=0,"",SUM(I1186:S1186))</f>
        <v/>
      </c>
      <c r="U1186" t="inlineStr"/>
    </row>
    <row r="1187">
      <c r="A1187" t="inlineStr">
        <is>
          <t>자이새순어린이집</t>
        </is>
      </c>
      <c r="B1187" t="inlineStr">
        <is>
          <t>어린이집</t>
        </is>
      </c>
      <c r="C1187" t="inlineStr">
        <is>
          <t>민간</t>
        </is>
      </c>
      <c r="D1187" t="inlineStr">
        <is>
          <t>해운대구</t>
        </is>
      </c>
      <c r="E1187" t="inlineStr">
        <is>
          <t>부산광역시 해운대구 해운대로 435 해운대자이아파트 관리동내</t>
        </is>
      </c>
      <c r="F1187" t="inlineStr"/>
      <c r="G1187" t="inlineStr">
        <is>
          <t>051-746-7336</t>
        </is>
      </c>
      <c r="H1187" s="15" t="n">
        <v>38</v>
      </c>
      <c r="I1187" s="15" t="n">
        <v>2</v>
      </c>
      <c r="J1187" s="15" t="n">
        <v>14</v>
      </c>
      <c r="K1187" s="15" t="n">
        <v>21</v>
      </c>
      <c r="L1187" s="15" t="n">
        <v>0</v>
      </c>
      <c r="M1187" s="15" t="n">
        <v>0</v>
      </c>
      <c r="N1187" s="15" t="n">
        <v>0</v>
      </c>
      <c r="O1187" s="15" t="n">
        <v>0</v>
      </c>
      <c r="P1187" s="15" t="n">
        <v>0</v>
      </c>
      <c r="Q1187" s="15" t="n">
        <v>0</v>
      </c>
      <c r="R1187" s="15" t="n">
        <v>0</v>
      </c>
      <c r="S1187" s="15" t="n">
        <v>5</v>
      </c>
      <c r="T1187" s="14">
        <f>IF(COUNT(I1187:S1187)=0,"",SUM(I1187:S1187))</f>
        <v/>
      </c>
      <c r="U1187" t="inlineStr"/>
    </row>
    <row r="1188">
      <c r="A1188" t="inlineStr">
        <is>
          <t>재능어린이집</t>
        </is>
      </c>
      <c r="B1188" t="inlineStr">
        <is>
          <t>어린이집</t>
        </is>
      </c>
      <c r="C1188" t="inlineStr">
        <is>
          <t>민간</t>
        </is>
      </c>
      <c r="D1188" t="inlineStr">
        <is>
          <t>해운대구</t>
        </is>
      </c>
      <c r="E1188" t="inlineStr">
        <is>
          <t>부산광역시 해운대구 재송1로46번길 43 (재송동)</t>
        </is>
      </c>
      <c r="F1188" t="inlineStr"/>
      <c r="G1188" t="inlineStr">
        <is>
          <t>051-782-0750</t>
        </is>
      </c>
      <c r="H1188" s="15" t="n">
        <v>108</v>
      </c>
      <c r="I1188" s="15" t="n">
        <v>2</v>
      </c>
      <c r="J1188" s="15" t="n">
        <v>5</v>
      </c>
      <c r="K1188" s="15" t="n">
        <v>7</v>
      </c>
      <c r="L1188" s="15" t="n">
        <v>0</v>
      </c>
      <c r="M1188" s="15" t="n">
        <v>0</v>
      </c>
      <c r="N1188" s="15" t="n">
        <v>0</v>
      </c>
      <c r="O1188" s="15" t="n">
        <v>6</v>
      </c>
      <c r="P1188" s="15" t="n">
        <v>17</v>
      </c>
      <c r="Q1188" s="15" t="n">
        <v>0</v>
      </c>
      <c r="R1188" s="15" t="n">
        <v>0</v>
      </c>
      <c r="S1188" s="15" t="n">
        <v>14</v>
      </c>
      <c r="T1188" s="14">
        <f>IF(COUNT(I1188:S1188)=0,"",SUM(I1188:S1188))</f>
        <v/>
      </c>
      <c r="U1188" t="inlineStr"/>
    </row>
    <row r="1189">
      <c r="A1189" t="inlineStr">
        <is>
          <t>재송어린이집</t>
        </is>
      </c>
      <c r="B1189" t="inlineStr">
        <is>
          <t>어린이집</t>
        </is>
      </c>
      <c r="C1189" t="inlineStr">
        <is>
          <t>사회복지법인</t>
        </is>
      </c>
      <c r="D1189" t="inlineStr">
        <is>
          <t>해운대구</t>
        </is>
      </c>
      <c r="E1189" t="inlineStr">
        <is>
          <t>부산광역시 해운대구 재반로50번길 22 (재송동)</t>
        </is>
      </c>
      <c r="F1189" t="inlineStr"/>
      <c r="G1189" t="inlineStr">
        <is>
          <t>051-781-7600</t>
        </is>
      </c>
      <c r="H1189" s="15" t="n">
        <v>168</v>
      </c>
      <c r="I1189" s="15" t="n">
        <v>3</v>
      </c>
      <c r="J1189" s="15" t="n">
        <v>5</v>
      </c>
      <c r="K1189" s="15" t="n">
        <v>5</v>
      </c>
      <c r="L1189" s="15" t="n">
        <v>0</v>
      </c>
      <c r="M1189" s="15" t="n">
        <v>0</v>
      </c>
      <c r="N1189" s="15" t="n">
        <v>0</v>
      </c>
      <c r="O1189" s="15" t="n">
        <v>0</v>
      </c>
      <c r="P1189" s="15" t="n">
        <v>0</v>
      </c>
      <c r="Q1189" s="15" t="n">
        <v>0</v>
      </c>
      <c r="R1189" s="15" t="n">
        <v>0</v>
      </c>
      <c r="S1189" s="15" t="n">
        <v>3</v>
      </c>
      <c r="T1189" s="14">
        <f>IF(COUNT(I1189:S1189)=0,"",SUM(I1189:S1189))</f>
        <v/>
      </c>
      <c r="U1189" t="inlineStr"/>
    </row>
    <row r="1190">
      <c r="A1190" t="inlineStr">
        <is>
          <t>좋은씨앗어린이집</t>
        </is>
      </c>
      <c r="B1190" t="inlineStr">
        <is>
          <t>어린이집</t>
        </is>
      </c>
      <c r="C1190" t="inlineStr">
        <is>
          <t>민간</t>
        </is>
      </c>
      <c r="D1190" t="inlineStr">
        <is>
          <t>해운대구</t>
        </is>
      </c>
      <c r="E1190" t="inlineStr">
        <is>
          <t>부산광역시 해운대구 재반로103번가길 64-1 (재송2동)</t>
        </is>
      </c>
      <c r="F1190" t="inlineStr"/>
      <c r="G1190" t="inlineStr">
        <is>
          <t>051-781-7896</t>
        </is>
      </c>
      <c r="H1190" s="15" t="n">
        <v>58</v>
      </c>
      <c r="I1190" s="15" t="n">
        <v>6</v>
      </c>
      <c r="J1190" s="15" t="n">
        <v>10</v>
      </c>
      <c r="K1190" s="15" t="n">
        <v>13</v>
      </c>
      <c r="L1190" s="15" t="n">
        <v>9</v>
      </c>
      <c r="M1190" s="15" t="n">
        <v>0</v>
      </c>
      <c r="N1190" s="15" t="n">
        <v>0</v>
      </c>
      <c r="O1190" s="15" t="n">
        <v>3</v>
      </c>
      <c r="P1190" s="15" t="n">
        <v>12</v>
      </c>
      <c r="Q1190" s="15" t="n">
        <v>0</v>
      </c>
      <c r="R1190" s="15" t="n">
        <v>0</v>
      </c>
      <c r="S1190" s="15" t="n">
        <v>26</v>
      </c>
      <c r="T1190" s="14">
        <f>IF(COUNT(I1190:S1190)=0,"",SUM(I1190:S1190))</f>
        <v/>
      </c>
      <c r="U1190" t="inlineStr"/>
    </row>
    <row r="1191">
      <c r="A1191" t="inlineStr">
        <is>
          <t>좌동초등학교어린이집</t>
        </is>
      </c>
      <c r="B1191" t="inlineStr">
        <is>
          <t>어린이집</t>
        </is>
      </c>
      <c r="C1191" t="inlineStr">
        <is>
          <t>국공립</t>
        </is>
      </c>
      <c r="D1191" t="inlineStr">
        <is>
          <t>해운대구</t>
        </is>
      </c>
      <c r="E1191" t="inlineStr">
        <is>
          <t>부산광역시 해운대구 세실로 127 (좌동)</t>
        </is>
      </c>
      <c r="F1191" t="inlineStr"/>
      <c r="G1191" t="inlineStr">
        <is>
          <t>051-741-7288</t>
        </is>
      </c>
      <c r="H1191" s="15" t="n">
        <v>49</v>
      </c>
      <c r="I1191" s="15" t="n">
        <v>3</v>
      </c>
      <c r="J1191" s="15" t="n">
        <v>16</v>
      </c>
      <c r="K1191" s="15" t="n">
        <v>12</v>
      </c>
      <c r="L1191" s="15" t="n">
        <v>0</v>
      </c>
      <c r="M1191" s="15" t="n">
        <v>0</v>
      </c>
      <c r="N1191" s="15" t="n">
        <v>0</v>
      </c>
      <c r="O1191" s="15" t="n">
        <v>0</v>
      </c>
      <c r="P1191" s="15" t="n">
        <v>0</v>
      </c>
      <c r="Q1191" s="15" t="n">
        <v>0</v>
      </c>
      <c r="R1191" s="15" t="n">
        <v>0</v>
      </c>
      <c r="S1191" s="15" t="n">
        <v>0</v>
      </c>
      <c r="T1191" s="14">
        <f>IF(COUNT(I1191:S1191)=0,"",SUM(I1191:S1191))</f>
        <v/>
      </c>
      <c r="U1191" t="inlineStr"/>
    </row>
    <row r="1192">
      <c r="A1192" t="inlineStr">
        <is>
          <t>참빛어린이집</t>
        </is>
      </c>
      <c r="B1192" t="inlineStr">
        <is>
          <t>어린이집</t>
        </is>
      </c>
      <c r="C1192" t="inlineStr">
        <is>
          <t>가정</t>
        </is>
      </c>
      <c r="D1192" t="inlineStr">
        <is>
          <t>해운대구</t>
        </is>
      </c>
      <c r="E1192" t="inlineStr">
        <is>
          <t>부산광역시 해운대구 해운대로 428 118동 102호(우동, 동부올림픽타운)</t>
        </is>
      </c>
      <c r="F1192" s="11" t="inlineStr">
        <is>
          <t>http://sungnyeo0401@hanmail.net</t>
        </is>
      </c>
      <c r="G1192" t="inlineStr">
        <is>
          <t>051-746-1627</t>
        </is>
      </c>
      <c r="H1192" s="15" t="n">
        <v>20</v>
      </c>
      <c r="I1192" s="15" t="n">
        <v>0</v>
      </c>
      <c r="J1192" s="15" t="n">
        <v>3</v>
      </c>
      <c r="K1192" s="15" t="n">
        <v>0</v>
      </c>
      <c r="L1192" s="15" t="n">
        <v>0</v>
      </c>
      <c r="M1192" s="15" t="n">
        <v>0</v>
      </c>
      <c r="N1192" s="15" t="n">
        <v>0</v>
      </c>
      <c r="O1192" s="15" t="n">
        <v>8</v>
      </c>
      <c r="P1192" s="15" t="n">
        <v>0</v>
      </c>
      <c r="Q1192" s="15" t="n">
        <v>0</v>
      </c>
      <c r="R1192" s="15" t="n">
        <v>0</v>
      </c>
      <c r="S1192" s="15" t="n">
        <v>3</v>
      </c>
      <c r="T1192" s="14">
        <f>IF(COUNT(I1192:S1192)=0,"",SUM(I1192:S1192))</f>
        <v/>
      </c>
      <c r="U1192" t="inlineStr"/>
    </row>
    <row r="1193">
      <c r="A1193" t="inlineStr">
        <is>
          <t>참좋은어린이집</t>
        </is>
      </c>
      <c r="B1193" t="inlineStr">
        <is>
          <t>어린이집</t>
        </is>
      </c>
      <c r="C1193" t="inlineStr">
        <is>
          <t>민간</t>
        </is>
      </c>
      <c r="D1193" t="inlineStr">
        <is>
          <t>해운대구</t>
        </is>
      </c>
      <c r="E1193" t="inlineStr">
        <is>
          <t>부산광역시 해운대구 대천로67번길 18 관리동 1층(좌동,LH뜨란채아파트)</t>
        </is>
      </c>
      <c r="F1193" t="inlineStr"/>
      <c r="G1193" t="inlineStr">
        <is>
          <t>051-731-2581</t>
        </is>
      </c>
      <c r="H1193" s="15" t="n">
        <v>33</v>
      </c>
      <c r="I1193" s="15" t="n">
        <v>2</v>
      </c>
      <c r="J1193" s="15" t="n">
        <v>5</v>
      </c>
      <c r="K1193" s="15" t="n">
        <v>6</v>
      </c>
      <c r="L1193" s="15" t="n">
        <v>0</v>
      </c>
      <c r="M1193" s="15" t="n">
        <v>0</v>
      </c>
      <c r="N1193" s="15" t="n">
        <v>0</v>
      </c>
      <c r="O1193" s="15" t="n">
        <v>3</v>
      </c>
      <c r="P1193" s="15" t="n">
        <v>6</v>
      </c>
      <c r="Q1193" s="15" t="n">
        <v>0</v>
      </c>
      <c r="R1193" s="15" t="n">
        <v>0</v>
      </c>
      <c r="S1193" s="15" t="n">
        <v>6</v>
      </c>
      <c r="T1193" s="14">
        <f>IF(COUNT(I1193:S1193)=0,"",SUM(I1193:S1193))</f>
        <v/>
      </c>
      <c r="U1193" t="inlineStr"/>
    </row>
    <row r="1194">
      <c r="A1194" t="inlineStr">
        <is>
          <t>참행복한어린이집</t>
        </is>
      </c>
      <c r="B1194" t="inlineStr">
        <is>
          <t>어린이집</t>
        </is>
      </c>
      <c r="C1194" t="inlineStr">
        <is>
          <t>민간</t>
        </is>
      </c>
      <c r="D1194" t="inlineStr">
        <is>
          <t>해운대구</t>
        </is>
      </c>
      <c r="E1194" t="inlineStr">
        <is>
          <t>부산광역시 해운대구 반여로 68-12 장산 2차 롯데 낙천대아파트  A 관리동</t>
        </is>
      </c>
      <c r="F1194" s="11" t="inlineStr">
        <is>
          <t>http://cafe.naver.com/happykids1009</t>
        </is>
      </c>
      <c r="G1194" t="inlineStr">
        <is>
          <t>051-524-5506</t>
        </is>
      </c>
      <c r="H1194" s="15" t="n">
        <v>26</v>
      </c>
      <c r="I1194" s="15" t="n">
        <v>1</v>
      </c>
      <c r="J1194" s="15" t="n">
        <v>12</v>
      </c>
      <c r="K1194" s="15" t="n">
        <v>5</v>
      </c>
      <c r="L1194" s="15" t="n">
        <v>0</v>
      </c>
      <c r="M1194" s="15" t="n">
        <v>0</v>
      </c>
      <c r="N1194" s="15" t="n">
        <v>0</v>
      </c>
      <c r="O1194" s="15" t="n">
        <v>0</v>
      </c>
      <c r="P1194" s="15" t="n">
        <v>0</v>
      </c>
      <c r="Q1194" s="15" t="n">
        <v>0</v>
      </c>
      <c r="R1194" s="15" t="n">
        <v>0</v>
      </c>
      <c r="S1194" s="15" t="n">
        <v>15</v>
      </c>
      <c r="T1194" s="14">
        <f>IF(COUNT(I1194:S1194)=0,"",SUM(I1194:S1194))</f>
        <v/>
      </c>
      <c r="U1194" t="inlineStr"/>
    </row>
    <row r="1195">
      <c r="A1195" t="inlineStr">
        <is>
          <t>초록샘어린이집</t>
        </is>
      </c>
      <c r="B1195" t="inlineStr">
        <is>
          <t>어린이집</t>
        </is>
      </c>
      <c r="C1195" t="inlineStr">
        <is>
          <t>가정</t>
        </is>
      </c>
      <c r="D1195" t="inlineStr">
        <is>
          <t>해운대구</t>
        </is>
      </c>
      <c r="E1195" t="inlineStr">
        <is>
          <t>부산광역시 해운대구 양운로 182 관리동1층 (좌동,두산1차아파트)</t>
        </is>
      </c>
      <c r="F1195" t="inlineStr"/>
      <c r="G1195" t="inlineStr">
        <is>
          <t>051-702-3883</t>
        </is>
      </c>
      <c r="H1195" s="15" t="n">
        <v>20</v>
      </c>
      <c r="I1195" s="15" t="n">
        <v>8</v>
      </c>
      <c r="J1195" s="15" t="n">
        <v>5</v>
      </c>
      <c r="K1195" s="15" t="n">
        <v>5</v>
      </c>
      <c r="L1195" s="15" t="n">
        <v>0</v>
      </c>
      <c r="M1195" s="15" t="n">
        <v>0</v>
      </c>
      <c r="N1195" s="15" t="n">
        <v>0</v>
      </c>
      <c r="O1195" s="15" t="n">
        <v>0</v>
      </c>
      <c r="P1195" s="15" t="n">
        <v>0</v>
      </c>
      <c r="Q1195" s="15" t="n">
        <v>0</v>
      </c>
      <c r="R1195" s="15" t="n">
        <v>0</v>
      </c>
      <c r="S1195" s="15" t="n">
        <v>5</v>
      </c>
      <c r="T1195" s="14">
        <f>IF(COUNT(I1195:S1195)=0,"",SUM(I1195:S1195))</f>
        <v/>
      </c>
      <c r="U1195" t="inlineStr"/>
    </row>
    <row r="1196">
      <c r="A1196" t="inlineStr">
        <is>
          <t>충렬어린이집</t>
        </is>
      </c>
      <c r="B1196" t="inlineStr">
        <is>
          <t>어린이집</t>
        </is>
      </c>
      <c r="C1196" t="inlineStr">
        <is>
          <t>직장</t>
        </is>
      </c>
      <c r="D1196" t="inlineStr">
        <is>
          <t>해운대구</t>
        </is>
      </c>
      <c r="E1196" t="inlineStr">
        <is>
          <t>부산광역시 해운대구 좌동순환로15번길 24 101동 뒤</t>
        </is>
      </c>
      <c r="F1196" t="inlineStr"/>
      <c r="G1196" t="inlineStr">
        <is>
          <t>051-742-2365</t>
        </is>
      </c>
      <c r="H1196" s="15" t="n">
        <v>99</v>
      </c>
      <c r="I1196" s="15" t="n">
        <v>6</v>
      </c>
      <c r="J1196" s="15" t="n">
        <v>10</v>
      </c>
      <c r="K1196" s="15" t="n">
        <v>14</v>
      </c>
      <c r="L1196" s="15" t="n">
        <v>14</v>
      </c>
      <c r="M1196" s="15" t="n">
        <v>14</v>
      </c>
      <c r="N1196" s="15" t="n">
        <v>13</v>
      </c>
      <c r="O1196" s="15" t="n">
        <v>0</v>
      </c>
      <c r="P1196" s="15" t="n">
        <v>0</v>
      </c>
      <c r="Q1196" s="15" t="n">
        <v>0</v>
      </c>
      <c r="R1196" s="15" t="n">
        <v>0</v>
      </c>
      <c r="S1196" s="15" t="n">
        <v>25</v>
      </c>
      <c r="T1196" s="14">
        <f>IF(COUNT(I1196:S1196)=0,"",SUM(I1196:S1196))</f>
        <v/>
      </c>
      <c r="U1196" t="inlineStr"/>
    </row>
    <row r="1197">
      <c r="A1197" t="inlineStr">
        <is>
          <t>태강어린이집</t>
        </is>
      </c>
      <c r="B1197" t="inlineStr">
        <is>
          <t>어린이집</t>
        </is>
      </c>
      <c r="C1197" t="inlineStr">
        <is>
          <t>민간</t>
        </is>
      </c>
      <c r="D1197" t="inlineStr">
        <is>
          <t>해운대구</t>
        </is>
      </c>
      <c r="E1197" t="inlineStr">
        <is>
          <t>부산광역시 해운대구 대천로103번길 29 관리동(좌동, 대동타운)</t>
        </is>
      </c>
      <c r="F1197" t="inlineStr"/>
      <c r="G1197" t="inlineStr">
        <is>
          <t>051-703-3885</t>
        </is>
      </c>
      <c r="H1197" s="15" t="n">
        <v>27</v>
      </c>
      <c r="I1197" s="15" t="n">
        <v>0</v>
      </c>
      <c r="J1197" s="15" t="n">
        <v>5</v>
      </c>
      <c r="K1197" s="15" t="n">
        <v>7</v>
      </c>
      <c r="L1197" s="15" t="n">
        <v>0</v>
      </c>
      <c r="M1197" s="15" t="n">
        <v>0</v>
      </c>
      <c r="N1197" s="15" t="n">
        <v>0</v>
      </c>
      <c r="O1197" s="15" t="n">
        <v>3</v>
      </c>
      <c r="P1197" s="15" t="n">
        <v>5</v>
      </c>
      <c r="Q1197" s="15" t="n">
        <v>0</v>
      </c>
      <c r="R1197" s="15" t="n">
        <v>0</v>
      </c>
      <c r="S1197" s="15" t="n">
        <v>5</v>
      </c>
      <c r="T1197" s="14">
        <f>IF(COUNT(I1197:S1197)=0,"",SUM(I1197:S1197))</f>
        <v/>
      </c>
      <c r="U1197" t="inlineStr"/>
    </row>
    <row r="1198">
      <c r="A1198" t="inlineStr">
        <is>
          <t>파랑꽃어린이집</t>
        </is>
      </c>
      <c r="B1198" t="inlineStr">
        <is>
          <t>어린이집</t>
        </is>
      </c>
      <c r="C1198" t="inlineStr">
        <is>
          <t>사회복지법인</t>
        </is>
      </c>
      <c r="D1198" t="inlineStr">
        <is>
          <t>해운대구</t>
        </is>
      </c>
      <c r="E1198" t="inlineStr">
        <is>
          <t>부산광역시 해운대구 반여로185번길 31-21 (반여동)</t>
        </is>
      </c>
      <c r="F1198" t="inlineStr"/>
      <c r="G1198" t="inlineStr">
        <is>
          <t>051-526-8787</t>
        </is>
      </c>
      <c r="H1198" s="15" t="n">
        <v>38</v>
      </c>
      <c r="I1198" s="15" t="n">
        <v>3</v>
      </c>
      <c r="J1198" s="15" t="n">
        <v>5</v>
      </c>
      <c r="K1198" s="15" t="n">
        <v>7</v>
      </c>
      <c r="L1198" s="15" t="n">
        <v>0</v>
      </c>
      <c r="M1198" s="15" t="n">
        <v>0</v>
      </c>
      <c r="N1198" s="15" t="n">
        <v>0</v>
      </c>
      <c r="O1198" s="15" t="n">
        <v>0</v>
      </c>
      <c r="P1198" s="15" t="n">
        <v>0</v>
      </c>
      <c r="Q1198" s="15" t="n">
        <v>0</v>
      </c>
      <c r="R1198" s="15" t="n">
        <v>0</v>
      </c>
      <c r="S1198" s="15" t="n">
        <v>5</v>
      </c>
      <c r="T1198" s="14">
        <f>IF(COUNT(I1198:S1198)=0,"",SUM(I1198:S1198))</f>
        <v/>
      </c>
      <c r="U1198" t="inlineStr"/>
    </row>
    <row r="1199">
      <c r="A1199" t="inlineStr">
        <is>
          <t>파랑새어린이집</t>
        </is>
      </c>
      <c r="B1199" t="inlineStr">
        <is>
          <t>어린이집</t>
        </is>
      </c>
      <c r="C1199" t="inlineStr">
        <is>
          <t>사회복지법인</t>
        </is>
      </c>
      <c r="D1199" t="inlineStr">
        <is>
          <t>해운대구</t>
        </is>
      </c>
      <c r="E1199" t="inlineStr">
        <is>
          <t>부산광역시 해운대구 신반송로 21 파랑새종합사회복지관 에이동(1층) 파랑새 어린이집 (반송동)</t>
        </is>
      </c>
      <c r="F1199" s="11" t="inlineStr">
        <is>
          <t>http://www.sungsil.or.kr/</t>
        </is>
      </c>
      <c r="G1199" t="inlineStr">
        <is>
          <t>051-544-9500</t>
        </is>
      </c>
      <c r="H1199" s="15" t="n">
        <v>39</v>
      </c>
      <c r="I1199" s="15" t="n">
        <v>3</v>
      </c>
      <c r="J1199" s="15" t="n">
        <v>0</v>
      </c>
      <c r="K1199" s="15" t="n">
        <v>6</v>
      </c>
      <c r="L1199" s="15" t="n">
        <v>0</v>
      </c>
      <c r="M1199" s="15" t="n">
        <v>0</v>
      </c>
      <c r="N1199" s="15" t="n">
        <v>0</v>
      </c>
      <c r="O1199" s="15" t="n">
        <v>3</v>
      </c>
      <c r="P1199" s="15" t="n">
        <v>20</v>
      </c>
      <c r="Q1199" s="15" t="n">
        <v>0</v>
      </c>
      <c r="R1199" s="15" t="n">
        <v>0</v>
      </c>
      <c r="S1199" s="15" t="n">
        <v>3</v>
      </c>
      <c r="T1199" s="14">
        <f>IF(COUNT(I1199:S1199)=0,"",SUM(I1199:S1199))</f>
        <v/>
      </c>
      <c r="U1199" t="inlineStr"/>
    </row>
    <row r="1200">
      <c r="A1200" t="inlineStr">
        <is>
          <t>푸르지오더원어린이집</t>
        </is>
      </c>
      <c r="B1200" t="inlineStr">
        <is>
          <t>어린이집</t>
        </is>
      </c>
      <c r="C1200" t="inlineStr">
        <is>
          <t>민간</t>
        </is>
      </c>
      <c r="D1200" t="inlineStr">
        <is>
          <t>해운대구</t>
        </is>
      </c>
      <c r="E1200" t="inlineStr">
        <is>
          <t>부산광역시 해운대구 구남로11번길 30 관리동</t>
        </is>
      </c>
      <c r="F1200" t="inlineStr"/>
      <c r="G1200" t="inlineStr">
        <is>
          <t>051-916-0023</t>
        </is>
      </c>
      <c r="H1200" s="15" t="n">
        <v>36</v>
      </c>
      <c r="I1200" s="15" t="n">
        <v>5</v>
      </c>
      <c r="J1200" s="15" t="n">
        <v>12</v>
      </c>
      <c r="K1200" s="15" t="n">
        <v>6</v>
      </c>
      <c r="L1200" s="15" t="n">
        <v>0</v>
      </c>
      <c r="M1200" s="15" t="n">
        <v>0</v>
      </c>
      <c r="N1200" s="15" t="n">
        <v>0</v>
      </c>
      <c r="O1200" s="15" t="n">
        <v>0</v>
      </c>
      <c r="P1200" s="15" t="n">
        <v>0</v>
      </c>
      <c r="Q1200" s="15" t="n">
        <v>0</v>
      </c>
      <c r="R1200" s="15" t="n">
        <v>0</v>
      </c>
      <c r="S1200" s="15" t="n">
        <v>4</v>
      </c>
      <c r="T1200" s="14">
        <f>IF(COUNT(I1200:S1200)=0,"",SUM(I1200:S1200))</f>
        <v/>
      </c>
      <c r="U1200" t="inlineStr"/>
    </row>
    <row r="1201">
      <c r="A1201" t="inlineStr">
        <is>
          <t>풀앤들어린이집</t>
        </is>
      </c>
      <c r="B1201" t="inlineStr">
        <is>
          <t>어린이집</t>
        </is>
      </c>
      <c r="C1201" t="inlineStr">
        <is>
          <t>민간</t>
        </is>
      </c>
      <c r="D1201" t="inlineStr">
        <is>
          <t>해운대구</t>
        </is>
      </c>
      <c r="E1201" t="inlineStr">
        <is>
          <t>부산광역시 해운대구 삼어로 103 (반여동, 벅산반여한솔타운)</t>
        </is>
      </c>
      <c r="F1201" t="inlineStr"/>
      <c r="G1201" t="inlineStr">
        <is>
          <t>051-521-3674</t>
        </is>
      </c>
      <c r="H1201" s="15" t="n">
        <v>27</v>
      </c>
      <c r="I1201" s="15" t="n">
        <v>4</v>
      </c>
      <c r="J1201" s="15" t="n">
        <v>8</v>
      </c>
      <c r="K1201" s="15" t="n">
        <v>4</v>
      </c>
      <c r="L1201" s="15" t="n">
        <v>0</v>
      </c>
      <c r="M1201" s="15" t="n">
        <v>0</v>
      </c>
      <c r="N1201" s="15" t="n">
        <v>0</v>
      </c>
      <c r="O1201" s="15" t="n">
        <v>0</v>
      </c>
      <c r="P1201" s="15" t="n">
        <v>11</v>
      </c>
      <c r="Q1201" s="15" t="n">
        <v>0</v>
      </c>
      <c r="R1201" s="15" t="n">
        <v>0</v>
      </c>
      <c r="S1201" s="15" t="n">
        <v>7</v>
      </c>
      <c r="T1201" s="14">
        <f>IF(COUNT(I1201:S1201)=0,"",SUM(I1201:S1201))</f>
        <v/>
      </c>
      <c r="U1201" t="inlineStr"/>
    </row>
    <row r="1202">
      <c r="A1202" t="inlineStr">
        <is>
          <t>풀잎아이어린이집</t>
        </is>
      </c>
      <c r="B1202" t="inlineStr">
        <is>
          <t>어린이집</t>
        </is>
      </c>
      <c r="C1202" t="inlineStr">
        <is>
          <t>민간</t>
        </is>
      </c>
      <c r="D1202" t="inlineStr">
        <is>
          <t>해운대구</t>
        </is>
      </c>
      <c r="E1202" t="inlineStr">
        <is>
          <t>부산광역시 해운대구 선수촌로78번길 17-5</t>
        </is>
      </c>
      <c r="F1202" t="inlineStr"/>
      <c r="G1202" t="inlineStr">
        <is>
          <t>051-526-6476</t>
        </is>
      </c>
      <c r="H1202" s="15" t="n">
        <v>130</v>
      </c>
      <c r="I1202" s="15" t="n">
        <v>10</v>
      </c>
      <c r="J1202" s="15" t="n">
        <v>15</v>
      </c>
      <c r="K1202" s="15" t="n">
        <v>0</v>
      </c>
      <c r="L1202" s="15" t="n">
        <v>15</v>
      </c>
      <c r="M1202" s="15" t="n">
        <v>18</v>
      </c>
      <c r="N1202" s="15" t="n">
        <v>35</v>
      </c>
      <c r="O1202" s="15" t="n">
        <v>0</v>
      </c>
      <c r="P1202" s="15" t="n">
        <v>15</v>
      </c>
      <c r="Q1202" s="15" t="n">
        <v>0</v>
      </c>
      <c r="R1202" s="15" t="n">
        <v>0</v>
      </c>
      <c r="S1202" s="15" t="n">
        <v>38</v>
      </c>
      <c r="T1202" s="14">
        <f>IF(COUNT(I1202:S1202)=0,"",SUM(I1202:S1202))</f>
        <v/>
      </c>
      <c r="U1202" t="inlineStr"/>
    </row>
    <row r="1203">
      <c r="A1203" t="inlineStr">
        <is>
          <t>풀잎어린이집</t>
        </is>
      </c>
      <c r="B1203" t="inlineStr">
        <is>
          <t>어린이집</t>
        </is>
      </c>
      <c r="C1203" t="inlineStr">
        <is>
          <t>민간</t>
        </is>
      </c>
      <c r="D1203" t="inlineStr">
        <is>
          <t>해운대구</t>
        </is>
      </c>
      <c r="E1203" t="inlineStr">
        <is>
          <t>부산광역시 해운대구 선수촌로78번길 17-8 반여1동</t>
        </is>
      </c>
      <c r="F1203" t="inlineStr"/>
      <c r="G1203" t="inlineStr">
        <is>
          <t>051-529-5507</t>
        </is>
      </c>
      <c r="H1203" s="15" t="n">
        <v>99</v>
      </c>
      <c r="I1203" s="15" t="n">
        <v>9</v>
      </c>
      <c r="J1203" s="15" t="n">
        <v>30</v>
      </c>
      <c r="K1203" s="15" t="n">
        <v>36</v>
      </c>
      <c r="L1203" s="15" t="n">
        <v>16</v>
      </c>
      <c r="M1203" s="15" t="n">
        <v>0</v>
      </c>
      <c r="N1203" s="15" t="n">
        <v>0</v>
      </c>
      <c r="O1203" s="15" t="n">
        <v>0</v>
      </c>
      <c r="P1203" s="15" t="n">
        <v>0</v>
      </c>
      <c r="Q1203" s="15" t="n">
        <v>0</v>
      </c>
      <c r="R1203" s="15" t="n">
        <v>0</v>
      </c>
      <c r="S1203" s="15" t="n">
        <v>35</v>
      </c>
      <c r="T1203" s="14">
        <f>IF(COUNT(I1203:S1203)=0,"",SUM(I1203:S1203))</f>
        <v/>
      </c>
      <c r="U1203" t="inlineStr"/>
    </row>
    <row r="1204">
      <c r="A1204" t="inlineStr">
        <is>
          <t>하나래 어린이집</t>
        </is>
      </c>
      <c r="B1204" t="inlineStr">
        <is>
          <t>어린이집</t>
        </is>
      </c>
      <c r="C1204" t="inlineStr">
        <is>
          <t>가정</t>
        </is>
      </c>
      <c r="D1204" t="inlineStr">
        <is>
          <t>해운대구</t>
        </is>
      </c>
      <c r="E1204" t="inlineStr">
        <is>
          <t>부산광역시 해운대구 해운대로 361 104동 107호(우동, 삼환)</t>
        </is>
      </c>
      <c r="F1204" t="inlineStr"/>
      <c r="G1204" t="inlineStr">
        <is>
          <t>051-742-2496</t>
        </is>
      </c>
      <c r="H1204" s="15" t="n">
        <v>20</v>
      </c>
      <c r="I1204" s="15" t="n">
        <v>2</v>
      </c>
      <c r="J1204" s="15" t="n">
        <v>6</v>
      </c>
      <c r="K1204" s="15" t="n">
        <v>5</v>
      </c>
      <c r="L1204" s="15" t="n">
        <v>0</v>
      </c>
      <c r="M1204" s="15" t="n">
        <v>0</v>
      </c>
      <c r="N1204" s="15" t="n">
        <v>0</v>
      </c>
      <c r="O1204" s="15" t="n">
        <v>3</v>
      </c>
      <c r="P1204" s="15" t="n">
        <v>0</v>
      </c>
      <c r="Q1204" s="15" t="n">
        <v>0</v>
      </c>
      <c r="R1204" s="15" t="n">
        <v>0</v>
      </c>
      <c r="S1204" s="15" t="n">
        <v>3</v>
      </c>
      <c r="T1204" s="14">
        <f>IF(COUNT(I1204:S1204)=0,"",SUM(I1204:S1204))</f>
        <v/>
      </c>
      <c r="U1204" t="inlineStr"/>
    </row>
    <row r="1205">
      <c r="A1205" t="inlineStr">
        <is>
          <t>하늘빛어린이집</t>
        </is>
      </c>
      <c r="B1205" t="inlineStr">
        <is>
          <t>어린이집</t>
        </is>
      </c>
      <c r="C1205" t="inlineStr">
        <is>
          <t>가정</t>
        </is>
      </c>
      <c r="D1205" t="inlineStr">
        <is>
          <t>해운대구</t>
        </is>
      </c>
      <c r="E1205" t="inlineStr">
        <is>
          <t>부산광역시 해운대구 좌동순환로 118 주공아파트 2단지 관리동1층 (좌동)</t>
        </is>
      </c>
      <c r="F1205" t="inlineStr"/>
      <c r="G1205" t="inlineStr">
        <is>
          <t>051-702-7802</t>
        </is>
      </c>
      <c r="H1205" s="15" t="n">
        <v>20</v>
      </c>
      <c r="I1205" s="15" t="n">
        <v>0</v>
      </c>
      <c r="J1205" s="15" t="n">
        <v>3</v>
      </c>
      <c r="K1205" s="15" t="n">
        <v>7</v>
      </c>
      <c r="L1205" s="15" t="n">
        <v>0</v>
      </c>
      <c r="M1205" s="15" t="n">
        <v>0</v>
      </c>
      <c r="N1205" s="15" t="n">
        <v>0</v>
      </c>
      <c r="O1205" s="15" t="n">
        <v>2</v>
      </c>
      <c r="P1205" s="15" t="n">
        <v>0</v>
      </c>
      <c r="Q1205" s="15" t="n">
        <v>0</v>
      </c>
      <c r="R1205" s="15" t="n">
        <v>0</v>
      </c>
      <c r="S1205" s="15" t="n">
        <v>4</v>
      </c>
      <c r="T1205" s="14">
        <f>IF(COUNT(I1205:S1205)=0,"",SUM(I1205:S1205))</f>
        <v/>
      </c>
      <c r="U1205" t="inlineStr"/>
    </row>
    <row r="1206">
      <c r="A1206" t="inlineStr">
        <is>
          <t>하늘아이어린이집</t>
        </is>
      </c>
      <c r="B1206" t="inlineStr">
        <is>
          <t>어린이집</t>
        </is>
      </c>
      <c r="C1206" t="inlineStr">
        <is>
          <t>민간</t>
        </is>
      </c>
      <c r="D1206" t="inlineStr">
        <is>
          <t>해운대구</t>
        </is>
      </c>
      <c r="E1206" t="inlineStr">
        <is>
          <t>부산광역시 해운대구 우동2로60번길 2-8</t>
        </is>
      </c>
      <c r="F1206" s="11" t="inlineStr">
        <is>
          <t>http://www.ne79.com</t>
        </is>
      </c>
      <c r="G1206" t="inlineStr">
        <is>
          <t>051-746-6047</t>
        </is>
      </c>
      <c r="H1206" s="15" t="n">
        <v>91</v>
      </c>
      <c r="I1206" s="15" t="n">
        <v>6</v>
      </c>
      <c r="J1206" s="15" t="n">
        <v>30</v>
      </c>
      <c r="K1206" s="15" t="n">
        <v>26</v>
      </c>
      <c r="L1206" s="15" t="n">
        <v>0</v>
      </c>
      <c r="M1206" s="15" t="n">
        <v>0</v>
      </c>
      <c r="N1206" s="15" t="n">
        <v>0</v>
      </c>
      <c r="O1206" s="15" t="n">
        <v>0</v>
      </c>
      <c r="P1206" s="15" t="n">
        <v>12</v>
      </c>
      <c r="Q1206" s="15" t="n">
        <v>0</v>
      </c>
      <c r="R1206" s="15" t="n">
        <v>0</v>
      </c>
      <c r="S1206" s="15" t="n">
        <v>8</v>
      </c>
      <c r="T1206" s="14">
        <f>IF(COUNT(I1206:S1206)=0,"",SUM(I1206:S1206))</f>
        <v/>
      </c>
      <c r="U1206" t="inlineStr"/>
    </row>
    <row r="1207">
      <c r="A1207" t="inlineStr">
        <is>
          <t>함께하는어린이집</t>
        </is>
      </c>
      <c r="B1207" t="inlineStr">
        <is>
          <t>어린이집</t>
        </is>
      </c>
      <c r="C1207" t="inlineStr">
        <is>
          <t>가정</t>
        </is>
      </c>
      <c r="D1207" t="inlineStr">
        <is>
          <t>해운대구</t>
        </is>
      </c>
      <c r="E1207" t="inlineStr">
        <is>
          <t>부산광역시 해운대구 해운대로 428 115-101</t>
        </is>
      </c>
      <c r="F1207" t="inlineStr"/>
      <c r="G1207" t="inlineStr">
        <is>
          <t>051-747-3302</t>
        </is>
      </c>
      <c r="H1207" s="15" t="n">
        <v>18</v>
      </c>
      <c r="I1207" s="15" t="n">
        <v>3</v>
      </c>
      <c r="J1207" s="15" t="n">
        <v>5</v>
      </c>
      <c r="K1207" s="15" t="n">
        <v>5</v>
      </c>
      <c r="L1207" s="15" t="n">
        <v>0</v>
      </c>
      <c r="M1207" s="15" t="n">
        <v>0</v>
      </c>
      <c r="N1207" s="15" t="n">
        <v>0</v>
      </c>
      <c r="O1207" s="15" t="n">
        <v>3</v>
      </c>
      <c r="P1207" s="15" t="n">
        <v>0</v>
      </c>
      <c r="Q1207" s="15" t="n">
        <v>0</v>
      </c>
      <c r="R1207" s="15" t="n">
        <v>0</v>
      </c>
      <c r="S1207" s="15" t="n">
        <v>5</v>
      </c>
      <c r="T1207" s="14">
        <f>IF(COUNT(I1207:S1207)=0,"",SUM(I1207:S1207))</f>
        <v/>
      </c>
      <c r="U1207" t="inlineStr"/>
    </row>
    <row r="1208">
      <c r="A1208" t="inlineStr">
        <is>
          <t>해운대래미안어린이집</t>
        </is>
      </c>
      <c r="B1208" t="inlineStr">
        <is>
          <t>어린이집</t>
        </is>
      </c>
      <c r="C1208" t="inlineStr">
        <is>
          <t>민간</t>
        </is>
      </c>
      <c r="D1208" t="inlineStr">
        <is>
          <t>해운대구</t>
        </is>
      </c>
      <c r="E1208" t="inlineStr">
        <is>
          <t>부산광역시 해운대구 좌동순환로 402 관리동(중동,래미안해운대아파트</t>
        </is>
      </c>
      <c r="F1208" t="inlineStr"/>
      <c r="G1208" t="inlineStr">
        <is>
          <t>051-741-3631</t>
        </is>
      </c>
      <c r="H1208" s="15" t="n">
        <v>48</v>
      </c>
      <c r="I1208" s="15" t="n">
        <v>5</v>
      </c>
      <c r="J1208" s="15" t="n">
        <v>14</v>
      </c>
      <c r="K1208" s="15" t="n">
        <v>25</v>
      </c>
      <c r="L1208" s="15" t="n">
        <v>0</v>
      </c>
      <c r="M1208" s="15" t="n">
        <v>0</v>
      </c>
      <c r="N1208" s="15" t="n">
        <v>0</v>
      </c>
      <c r="O1208" s="15" t="n">
        <v>0</v>
      </c>
      <c r="P1208" s="15" t="n">
        <v>0</v>
      </c>
      <c r="Q1208" s="15" t="n">
        <v>0</v>
      </c>
      <c r="R1208" s="15" t="n">
        <v>0</v>
      </c>
      <c r="S1208" s="15" t="n">
        <v>5</v>
      </c>
      <c r="T1208" s="14">
        <f>IF(COUNT(I1208:S1208)=0,"",SUM(I1208:S1208))</f>
        <v/>
      </c>
      <c r="U1208" t="inlineStr"/>
    </row>
    <row r="1209">
      <c r="A1209" t="inlineStr">
        <is>
          <t>해운대새싹어린이집</t>
        </is>
      </c>
      <c r="B1209" t="inlineStr">
        <is>
          <t>어린이집</t>
        </is>
      </c>
      <c r="C1209" t="inlineStr">
        <is>
          <t>민간</t>
        </is>
      </c>
      <c r="D1209" t="inlineStr">
        <is>
          <t>해운대구</t>
        </is>
      </c>
      <c r="E1209" t="inlineStr">
        <is>
          <t>부산광역시 해운대구 우동3로 67 임마누엘해운대교회1층 (우동)</t>
        </is>
      </c>
      <c r="F1209" t="inlineStr"/>
      <c r="G1209" t="inlineStr">
        <is>
          <t>051-743-3884</t>
        </is>
      </c>
      <c r="H1209" s="15" t="n">
        <v>28</v>
      </c>
      <c r="I1209" s="15" t="n">
        <v>2</v>
      </c>
      <c r="J1209" s="15" t="n">
        <v>3</v>
      </c>
      <c r="K1209" s="15" t="n">
        <v>5</v>
      </c>
      <c r="L1209" s="15" t="n">
        <v>0</v>
      </c>
      <c r="M1209" s="15" t="n">
        <v>0</v>
      </c>
      <c r="N1209" s="15" t="n">
        <v>0</v>
      </c>
      <c r="O1209" s="15" t="n">
        <v>0</v>
      </c>
      <c r="P1209" s="15" t="n">
        <v>6</v>
      </c>
      <c r="Q1209" s="15" t="n">
        <v>0</v>
      </c>
      <c r="R1209" s="15" t="n">
        <v>0</v>
      </c>
      <c r="S1209" s="15" t="n">
        <v>8</v>
      </c>
      <c r="T1209" s="14">
        <f>IF(COUNT(I1209:S1209)=0,"",SUM(I1209:S1209))</f>
        <v/>
      </c>
      <c r="U1209" t="inlineStr"/>
    </row>
    <row r="1210">
      <c r="A1210" t="inlineStr">
        <is>
          <t>해운대아이랑어린이집</t>
        </is>
      </c>
      <c r="B1210" t="inlineStr">
        <is>
          <t>어린이집</t>
        </is>
      </c>
      <c r="C1210" t="inlineStr">
        <is>
          <t>국공립</t>
        </is>
      </c>
      <c r="D1210" t="inlineStr">
        <is>
          <t>해운대구</t>
        </is>
      </c>
      <c r="E1210" t="inlineStr">
        <is>
          <t>부산광역시 해운대구 반송로513번길 66-11</t>
        </is>
      </c>
      <c r="F1210" t="inlineStr"/>
      <c r="G1210" t="inlineStr">
        <is>
          <t>051-527-1513</t>
        </is>
      </c>
      <c r="H1210" s="15" t="n">
        <v>49</v>
      </c>
      <c r="I1210" s="15" t="n">
        <v>0</v>
      </c>
      <c r="J1210" s="15" t="n">
        <v>0</v>
      </c>
      <c r="K1210" s="15" t="n">
        <v>5</v>
      </c>
      <c r="L1210" s="15" t="n">
        <v>0</v>
      </c>
      <c r="M1210" s="15" t="n">
        <v>0</v>
      </c>
      <c r="N1210" s="15" t="n">
        <v>0</v>
      </c>
      <c r="O1210" s="15" t="n">
        <v>8</v>
      </c>
      <c r="P1210" s="15" t="n">
        <v>20</v>
      </c>
      <c r="Q1210" s="15" t="n">
        <v>0</v>
      </c>
      <c r="R1210" s="15" t="n">
        <v>0</v>
      </c>
      <c r="S1210" s="15" t="n">
        <v>18</v>
      </c>
      <c r="T1210" s="14">
        <f>IF(COUNT(I1210:S1210)=0,"",SUM(I1210:S1210))</f>
        <v/>
      </c>
      <c r="U1210" t="inlineStr"/>
    </row>
    <row r="1211">
      <c r="A1211" t="inlineStr">
        <is>
          <t>해운대푸른어린이집</t>
        </is>
      </c>
      <c r="B1211" t="inlineStr">
        <is>
          <t>어린이집</t>
        </is>
      </c>
      <c r="C1211" t="inlineStr">
        <is>
          <t>민간</t>
        </is>
      </c>
      <c r="D1211" t="inlineStr">
        <is>
          <t>해운대구</t>
        </is>
      </c>
      <c r="E1211" t="inlineStr">
        <is>
          <t>부산광역시 해운대구 세실로 7 (좌동)</t>
        </is>
      </c>
      <c r="F1211" t="inlineStr"/>
      <c r="G1211" t="inlineStr">
        <is>
          <t>051-703-7110</t>
        </is>
      </c>
      <c r="H1211" s="15" t="n">
        <v>158</v>
      </c>
      <c r="I1211" s="15" t="n">
        <v>15</v>
      </c>
      <c r="J1211" s="15" t="n">
        <v>39</v>
      </c>
      <c r="K1211" s="15" t="n">
        <v>39</v>
      </c>
      <c r="L1211" s="15" t="n">
        <v>0</v>
      </c>
      <c r="M1211" s="15" t="n">
        <v>0</v>
      </c>
      <c r="N1211" s="15" t="n">
        <v>0</v>
      </c>
      <c r="O1211" s="15" t="n">
        <v>0</v>
      </c>
      <c r="P1211" s="15" t="n">
        <v>0</v>
      </c>
      <c r="Q1211" s="15" t="n">
        <v>0</v>
      </c>
      <c r="R1211" s="15" t="n">
        <v>0</v>
      </c>
      <c r="S1211" s="15" t="n">
        <v>17</v>
      </c>
      <c r="T1211" s="14">
        <f>IF(COUNT(I1211:S1211)=0,"",SUM(I1211:S1211))</f>
        <v/>
      </c>
      <c r="U1211" t="inlineStr"/>
    </row>
    <row r="1212">
      <c r="A1212" t="inlineStr">
        <is>
          <t>행복한어린이집</t>
        </is>
      </c>
      <c r="B1212" t="inlineStr">
        <is>
          <t>어린이집</t>
        </is>
      </c>
      <c r="C1212" t="inlineStr">
        <is>
          <t>가정</t>
        </is>
      </c>
      <c r="D1212" t="inlineStr">
        <is>
          <t>해운대구</t>
        </is>
      </c>
      <c r="E1212" t="inlineStr">
        <is>
          <t>부산광역시 해운대구 대천로 56 103동 102호(좌동, 한일아파트)</t>
        </is>
      </c>
      <c r="F1212" t="inlineStr"/>
      <c r="G1212" t="inlineStr">
        <is>
          <t>051-743-1255</t>
        </is>
      </c>
      <c r="H1212" s="15" t="n">
        <v>20</v>
      </c>
      <c r="I1212" s="15" t="n">
        <v>2</v>
      </c>
      <c r="J1212" s="15" t="n">
        <v>3</v>
      </c>
      <c r="K1212" s="15" t="n">
        <v>4</v>
      </c>
      <c r="L1212" s="15" t="n">
        <v>0</v>
      </c>
      <c r="M1212" s="15" t="n">
        <v>0</v>
      </c>
      <c r="N1212" s="15" t="n">
        <v>0</v>
      </c>
      <c r="O1212" s="15" t="n">
        <v>0</v>
      </c>
      <c r="P1212" s="15" t="n">
        <v>0</v>
      </c>
      <c r="Q1212" s="15" t="n">
        <v>0</v>
      </c>
      <c r="R1212" s="15" t="n">
        <v>0</v>
      </c>
      <c r="S1212" s="15" t="n">
        <v>4</v>
      </c>
      <c r="T1212" s="14">
        <f>IF(COUNT(I1212:S1212)=0,"",SUM(I1212:S1212))</f>
        <v/>
      </c>
      <c r="U1212" t="inlineStr"/>
    </row>
    <row r="1213">
      <c r="A1213" t="inlineStr">
        <is>
          <t>현대온누리 어린이집</t>
        </is>
      </c>
      <c r="B1213" t="inlineStr">
        <is>
          <t>어린이집</t>
        </is>
      </c>
      <c r="C1213" t="inlineStr">
        <is>
          <t>민간</t>
        </is>
      </c>
      <c r="D1213" t="inlineStr">
        <is>
          <t>해운대구</t>
        </is>
      </c>
      <c r="E1213" t="inlineStr">
        <is>
          <t>부산광역시 해운대구 양운로37번길 11 현대아파트 내 (좌동)</t>
        </is>
      </c>
      <c r="F1213" t="inlineStr"/>
      <c r="G1213" t="inlineStr">
        <is>
          <t>051-747-8848</t>
        </is>
      </c>
      <c r="H1213" s="15" t="n">
        <v>66</v>
      </c>
      <c r="I1213" s="15" t="n">
        <v>2</v>
      </c>
      <c r="J1213" s="15" t="n">
        <v>0</v>
      </c>
      <c r="K1213" s="15" t="n">
        <v>7</v>
      </c>
      <c r="L1213" s="15" t="n">
        <v>0</v>
      </c>
      <c r="M1213" s="15" t="n">
        <v>0</v>
      </c>
      <c r="N1213" s="15" t="n">
        <v>0</v>
      </c>
      <c r="O1213" s="15" t="n">
        <v>5</v>
      </c>
      <c r="P1213" s="15" t="n">
        <v>0</v>
      </c>
      <c r="Q1213" s="15" t="n">
        <v>0</v>
      </c>
      <c r="R1213" s="15" t="n">
        <v>0</v>
      </c>
      <c r="S1213" s="15" t="n">
        <v>3</v>
      </c>
      <c r="T1213" s="14">
        <f>IF(COUNT(I1213:S1213)=0,"",SUM(I1213:S1213))</f>
        <v/>
      </c>
      <c r="U1213" t="inlineStr"/>
    </row>
    <row r="1214">
      <c r="A1214" t="inlineStr">
        <is>
          <t>협성마음어린이집</t>
        </is>
      </c>
      <c r="B1214" t="inlineStr">
        <is>
          <t>어린이집</t>
        </is>
      </c>
      <c r="C1214" t="inlineStr">
        <is>
          <t>민간</t>
        </is>
      </c>
      <c r="D1214" t="inlineStr">
        <is>
          <t>해운대구</t>
        </is>
      </c>
      <c r="E1214" t="inlineStr">
        <is>
          <t>부산광역시 해운대구 해운대로38번길 60 103동보육시설(반여1동,센텀협성르네상스타운)</t>
        </is>
      </c>
      <c r="F1214" t="inlineStr"/>
      <c r="G1214" t="inlineStr">
        <is>
          <t>051-781-0029</t>
        </is>
      </c>
      <c r="H1214" s="15" t="n">
        <v>27</v>
      </c>
      <c r="I1214" s="15" t="n">
        <v>6</v>
      </c>
      <c r="J1214" s="15" t="n">
        <v>7</v>
      </c>
      <c r="K1214" s="15" t="n">
        <v>7</v>
      </c>
      <c r="L1214" s="15" t="n">
        <v>0</v>
      </c>
      <c r="M1214" s="15" t="n">
        <v>0</v>
      </c>
      <c r="N1214" s="15" t="n">
        <v>0</v>
      </c>
      <c r="O1214" s="15" t="n">
        <v>0</v>
      </c>
      <c r="P1214" s="15" t="n">
        <v>0</v>
      </c>
      <c r="Q1214" s="15" t="n">
        <v>0</v>
      </c>
      <c r="R1214" s="15" t="n">
        <v>0</v>
      </c>
      <c r="S1214" s="15" t="n">
        <v>4</v>
      </c>
      <c r="T1214" s="14">
        <f>IF(COUNT(I1214:S1214)=0,"",SUM(I1214:S1214))</f>
        <v/>
      </c>
      <c r="U1214" t="inlineStr"/>
    </row>
    <row r="1215">
      <c r="A1215" t="inlineStr">
        <is>
          <t>호박별 어린이집</t>
        </is>
      </c>
      <c r="B1215" t="inlineStr">
        <is>
          <t>어린이집</t>
        </is>
      </c>
      <c r="C1215" t="inlineStr">
        <is>
          <t>가정</t>
        </is>
      </c>
      <c r="D1215" t="inlineStr">
        <is>
          <t>해운대구</t>
        </is>
      </c>
      <c r="E1215" t="inlineStr">
        <is>
          <t>부산광역시 해운대구 좌동순환로299번길 22 101동 102호(좌동, 삼환)</t>
        </is>
      </c>
      <c r="F1215" t="inlineStr"/>
      <c r="G1215" t="inlineStr">
        <is>
          <t>051-701-6619</t>
        </is>
      </c>
      <c r="H1215" s="15" t="n">
        <v>20</v>
      </c>
      <c r="I1215" s="15" t="n">
        <v>4</v>
      </c>
      <c r="J1215" s="15" t="n">
        <v>9</v>
      </c>
      <c r="K1215" s="15" t="n">
        <v>6</v>
      </c>
      <c r="L1215" s="15" t="n">
        <v>0</v>
      </c>
      <c r="M1215" s="15" t="n">
        <v>0</v>
      </c>
      <c r="N1215" s="15" t="n">
        <v>0</v>
      </c>
      <c r="O1215" s="15" t="n">
        <v>0</v>
      </c>
      <c r="P1215" s="15" t="n">
        <v>0</v>
      </c>
      <c r="Q1215" s="15" t="n">
        <v>0</v>
      </c>
      <c r="R1215" s="15" t="n">
        <v>0</v>
      </c>
      <c r="S1215" s="15" t="n">
        <v>6</v>
      </c>
      <c r="T1215" s="14">
        <f>IF(COUNT(I1215:S1215)=0,"",SUM(I1215:S1215))</f>
        <v/>
      </c>
      <c r="U1215" t="inlineStr"/>
    </row>
    <row r="1216">
      <c r="A1216" t="inlineStr">
        <is>
          <t>호산나어린이집</t>
        </is>
      </c>
      <c r="B1216" t="inlineStr">
        <is>
          <t>어린이집</t>
        </is>
      </c>
      <c r="C1216" t="inlineStr">
        <is>
          <t>국공립</t>
        </is>
      </c>
      <c r="D1216" t="inlineStr">
        <is>
          <t>해운대구</t>
        </is>
      </c>
      <c r="E1216" t="inlineStr">
        <is>
          <t>부산광역시 해운대구 세실로 126 (좌동, 건영2차아파트)</t>
        </is>
      </c>
      <c r="F1216" t="inlineStr"/>
      <c r="G1216" t="inlineStr">
        <is>
          <t>051-702-5652</t>
        </is>
      </c>
      <c r="H1216" s="15" t="n">
        <v>31</v>
      </c>
      <c r="I1216" s="15" t="n">
        <v>7</v>
      </c>
      <c r="J1216" s="15" t="n">
        <v>13</v>
      </c>
      <c r="K1216" s="15" t="n">
        <v>11</v>
      </c>
      <c r="L1216" s="15" t="n">
        <v>0</v>
      </c>
      <c r="M1216" s="15" t="n">
        <v>0</v>
      </c>
      <c r="N1216" s="15" t="n">
        <v>0</v>
      </c>
      <c r="O1216" s="15" t="n">
        <v>0</v>
      </c>
      <c r="P1216" s="15" t="n">
        <v>0</v>
      </c>
      <c r="Q1216" s="15" t="n">
        <v>0</v>
      </c>
      <c r="R1216" s="15" t="n">
        <v>0</v>
      </c>
      <c r="S1216" s="15" t="n">
        <v>5</v>
      </c>
      <c r="T1216" s="14">
        <f>IF(COUNT(I1216:S1216)=0,"",SUM(I1216:S1216))</f>
        <v/>
      </c>
      <c r="U1216" t="inlineStr"/>
    </row>
    <row r="1217">
      <c r="A1217" t="inlineStr">
        <is>
          <t>효원어린이집</t>
        </is>
      </c>
      <c r="B1217" t="inlineStr">
        <is>
          <t>어린이집</t>
        </is>
      </c>
      <c r="C1217" t="inlineStr">
        <is>
          <t>민간</t>
        </is>
      </c>
      <c r="D1217" t="inlineStr">
        <is>
          <t>해운대구</t>
        </is>
      </c>
      <c r="E1217" t="inlineStr">
        <is>
          <t>부산광역시 해운대구 세실로 158 동부아파트내 (좌4동)</t>
        </is>
      </c>
      <c r="F1217" s="11" t="inlineStr">
        <is>
          <t>https://www.instagram.com/hyowonkid/</t>
        </is>
      </c>
      <c r="G1217" t="inlineStr">
        <is>
          <t>051-702-0485</t>
        </is>
      </c>
      <c r="H1217" s="15" t="n">
        <v>99</v>
      </c>
      <c r="I1217" s="15" t="n">
        <v>12</v>
      </c>
      <c r="J1217" s="15" t="n">
        <v>15</v>
      </c>
      <c r="K1217" s="15" t="n">
        <v>12</v>
      </c>
      <c r="L1217" s="15" t="n">
        <v>0</v>
      </c>
      <c r="M1217" s="15" t="n">
        <v>0</v>
      </c>
      <c r="N1217" s="15" t="n">
        <v>0</v>
      </c>
      <c r="O1217" s="15" t="n">
        <v>0</v>
      </c>
      <c r="P1217" s="15" t="n">
        <v>0</v>
      </c>
      <c r="Q1217" s="15" t="n">
        <v>0</v>
      </c>
      <c r="R1217" s="15" t="n">
        <v>0</v>
      </c>
      <c r="S1217" s="15" t="n">
        <v>15</v>
      </c>
      <c r="T1217" s="14">
        <f>IF(COUNT(I1217:S1217)=0,"",SUM(I1217:S1217))</f>
        <v/>
      </c>
      <c r="U1217" t="inlineStr"/>
    </row>
    <row r="1218">
      <c r="A1218" t="inlineStr">
        <is>
          <t>힐스테이트위브어린이집</t>
        </is>
      </c>
      <c r="B1218" t="inlineStr">
        <is>
          <t>어린이집</t>
        </is>
      </c>
      <c r="C1218" t="inlineStr">
        <is>
          <t>국공립</t>
        </is>
      </c>
      <c r="D1218" t="inlineStr">
        <is>
          <t>해운대구</t>
        </is>
      </c>
      <c r="E1218" t="inlineStr">
        <is>
          <t>부산광역시 해운대구 좌동순환로433번길 30 104동 1층(해운대힐스테이트위브아파트)</t>
        </is>
      </c>
      <c r="F1218" t="inlineStr"/>
      <c r="G1218" t="inlineStr">
        <is>
          <t>051-747-6675</t>
        </is>
      </c>
      <c r="H1218" s="15" t="n">
        <v>48</v>
      </c>
      <c r="I1218" s="15" t="n">
        <v>6</v>
      </c>
      <c r="J1218" s="15" t="n">
        <v>16</v>
      </c>
      <c r="K1218" s="15" t="n">
        <v>18</v>
      </c>
      <c r="L1218" s="15" t="n">
        <v>0</v>
      </c>
      <c r="M1218" s="15" t="n">
        <v>0</v>
      </c>
      <c r="N1218" s="15" t="n">
        <v>0</v>
      </c>
      <c r="O1218" s="15" t="n">
        <v>0</v>
      </c>
      <c r="P1218" s="15" t="n">
        <v>0</v>
      </c>
      <c r="Q1218" s="15" t="n">
        <v>0</v>
      </c>
      <c r="R1218" s="15" t="n">
        <v>0</v>
      </c>
      <c r="S1218" s="15" t="n">
        <v>3</v>
      </c>
      <c r="T1218" s="14">
        <f>IF(COUNT(I1218:S1218)=0,"",SUM(I1218:S1218))</f>
        <v/>
      </c>
      <c r="U1218" t="inlineStr"/>
    </row>
  </sheetData>
  <autoFilter ref="A1:U1218"/>
  <hyperlinks>
    <hyperlink xmlns:r="http://schemas.openxmlformats.org/officeDocument/2006/relationships" ref="F6" r:id="rId1"/>
    <hyperlink xmlns:r="http://schemas.openxmlformats.org/officeDocument/2006/relationships" ref="F16" r:id="rId2"/>
    <hyperlink xmlns:r="http://schemas.openxmlformats.org/officeDocument/2006/relationships" ref="F19" r:id="rId3"/>
    <hyperlink xmlns:r="http://schemas.openxmlformats.org/officeDocument/2006/relationships" ref="F21" r:id="rId4"/>
    <hyperlink xmlns:r="http://schemas.openxmlformats.org/officeDocument/2006/relationships" ref="F39" r:id="rId5"/>
    <hyperlink xmlns:r="http://schemas.openxmlformats.org/officeDocument/2006/relationships" ref="F58" r:id="rId6"/>
    <hyperlink xmlns:r="http://schemas.openxmlformats.org/officeDocument/2006/relationships" ref="F66" r:id="rId7"/>
    <hyperlink xmlns:r="http://schemas.openxmlformats.org/officeDocument/2006/relationships" ref="F67" r:id="rId8"/>
    <hyperlink xmlns:r="http://schemas.openxmlformats.org/officeDocument/2006/relationships" ref="F120" r:id="rId9"/>
    <hyperlink xmlns:r="http://schemas.openxmlformats.org/officeDocument/2006/relationships" ref="F123" r:id="rId10"/>
    <hyperlink xmlns:r="http://schemas.openxmlformats.org/officeDocument/2006/relationships" ref="F125" r:id="rId11"/>
    <hyperlink xmlns:r="http://schemas.openxmlformats.org/officeDocument/2006/relationships" ref="F132" r:id="rId12"/>
    <hyperlink xmlns:r="http://schemas.openxmlformats.org/officeDocument/2006/relationships" ref="F133" r:id="rId13"/>
    <hyperlink xmlns:r="http://schemas.openxmlformats.org/officeDocument/2006/relationships" ref="F135" r:id="rId14"/>
    <hyperlink xmlns:r="http://schemas.openxmlformats.org/officeDocument/2006/relationships" ref="F137" r:id="rId15"/>
    <hyperlink xmlns:r="http://schemas.openxmlformats.org/officeDocument/2006/relationships" ref="F139" r:id="rId16"/>
    <hyperlink xmlns:r="http://schemas.openxmlformats.org/officeDocument/2006/relationships" ref="F140" r:id="rId17"/>
    <hyperlink xmlns:r="http://schemas.openxmlformats.org/officeDocument/2006/relationships" ref="F147" r:id="rId18"/>
    <hyperlink xmlns:r="http://schemas.openxmlformats.org/officeDocument/2006/relationships" ref="F149" r:id="rId19"/>
    <hyperlink xmlns:r="http://schemas.openxmlformats.org/officeDocument/2006/relationships" ref="F151" r:id="rId20"/>
    <hyperlink xmlns:r="http://schemas.openxmlformats.org/officeDocument/2006/relationships" ref="F154" r:id="rId21"/>
    <hyperlink xmlns:r="http://schemas.openxmlformats.org/officeDocument/2006/relationships" ref="F161" r:id="rId22"/>
    <hyperlink xmlns:r="http://schemas.openxmlformats.org/officeDocument/2006/relationships" ref="F165" r:id="rId23"/>
    <hyperlink xmlns:r="http://schemas.openxmlformats.org/officeDocument/2006/relationships" ref="F167" r:id="rId24"/>
    <hyperlink xmlns:r="http://schemas.openxmlformats.org/officeDocument/2006/relationships" ref="F170" r:id="rId25"/>
    <hyperlink xmlns:r="http://schemas.openxmlformats.org/officeDocument/2006/relationships" ref="F187" r:id="rId26"/>
    <hyperlink xmlns:r="http://schemas.openxmlformats.org/officeDocument/2006/relationships" ref="F188" r:id="rId27"/>
    <hyperlink xmlns:r="http://schemas.openxmlformats.org/officeDocument/2006/relationships" ref="F192" r:id="rId28"/>
    <hyperlink xmlns:r="http://schemas.openxmlformats.org/officeDocument/2006/relationships" ref="F194" r:id="rId29"/>
    <hyperlink xmlns:r="http://schemas.openxmlformats.org/officeDocument/2006/relationships" ref="F202" r:id="rId30"/>
    <hyperlink xmlns:r="http://schemas.openxmlformats.org/officeDocument/2006/relationships" ref="F206" r:id="rId31"/>
    <hyperlink xmlns:r="http://schemas.openxmlformats.org/officeDocument/2006/relationships" ref="F210" r:id="rId32"/>
    <hyperlink xmlns:r="http://schemas.openxmlformats.org/officeDocument/2006/relationships" ref="F213" r:id="rId33"/>
    <hyperlink xmlns:r="http://schemas.openxmlformats.org/officeDocument/2006/relationships" ref="F214" r:id="rId34"/>
    <hyperlink xmlns:r="http://schemas.openxmlformats.org/officeDocument/2006/relationships" ref="F215" r:id="rId35"/>
    <hyperlink xmlns:r="http://schemas.openxmlformats.org/officeDocument/2006/relationships" ref="F236" r:id="rId36"/>
    <hyperlink xmlns:r="http://schemas.openxmlformats.org/officeDocument/2006/relationships" ref="F244" r:id="rId37"/>
    <hyperlink xmlns:r="http://schemas.openxmlformats.org/officeDocument/2006/relationships" ref="F251" r:id="rId38"/>
    <hyperlink xmlns:r="http://schemas.openxmlformats.org/officeDocument/2006/relationships" ref="F258" r:id="rId39"/>
    <hyperlink xmlns:r="http://schemas.openxmlformats.org/officeDocument/2006/relationships" ref="F262" r:id="rId40"/>
    <hyperlink xmlns:r="http://schemas.openxmlformats.org/officeDocument/2006/relationships" ref="F263" r:id="rId41"/>
    <hyperlink xmlns:r="http://schemas.openxmlformats.org/officeDocument/2006/relationships" ref="F265" r:id="rId42"/>
    <hyperlink xmlns:r="http://schemas.openxmlformats.org/officeDocument/2006/relationships" ref="F267" r:id="rId43"/>
    <hyperlink xmlns:r="http://schemas.openxmlformats.org/officeDocument/2006/relationships" ref="F275" r:id="rId44"/>
    <hyperlink xmlns:r="http://schemas.openxmlformats.org/officeDocument/2006/relationships" ref="F279" r:id="rId45"/>
    <hyperlink xmlns:r="http://schemas.openxmlformats.org/officeDocument/2006/relationships" ref="F280" r:id="rId46"/>
    <hyperlink xmlns:r="http://schemas.openxmlformats.org/officeDocument/2006/relationships" ref="F291" r:id="rId47"/>
    <hyperlink xmlns:r="http://schemas.openxmlformats.org/officeDocument/2006/relationships" ref="F295" r:id="rId48"/>
    <hyperlink xmlns:r="http://schemas.openxmlformats.org/officeDocument/2006/relationships" ref="F301" r:id="rId49"/>
    <hyperlink xmlns:r="http://schemas.openxmlformats.org/officeDocument/2006/relationships" ref="F303" r:id="rId50"/>
    <hyperlink xmlns:r="http://schemas.openxmlformats.org/officeDocument/2006/relationships" ref="F309" r:id="rId51"/>
    <hyperlink xmlns:r="http://schemas.openxmlformats.org/officeDocument/2006/relationships" ref="F320" r:id="rId52"/>
    <hyperlink xmlns:r="http://schemas.openxmlformats.org/officeDocument/2006/relationships" ref="F322" r:id="rId53"/>
    <hyperlink xmlns:r="http://schemas.openxmlformats.org/officeDocument/2006/relationships" ref="F329" r:id="rId54"/>
    <hyperlink xmlns:r="http://schemas.openxmlformats.org/officeDocument/2006/relationships" ref="F335" r:id="rId55"/>
    <hyperlink xmlns:r="http://schemas.openxmlformats.org/officeDocument/2006/relationships" ref="F337" r:id="rId56"/>
    <hyperlink xmlns:r="http://schemas.openxmlformats.org/officeDocument/2006/relationships" ref="F351" r:id="rId57"/>
    <hyperlink xmlns:r="http://schemas.openxmlformats.org/officeDocument/2006/relationships" ref="F352" r:id="rId58"/>
    <hyperlink xmlns:r="http://schemas.openxmlformats.org/officeDocument/2006/relationships" ref="F355" r:id="rId59"/>
    <hyperlink xmlns:r="http://schemas.openxmlformats.org/officeDocument/2006/relationships" ref="F360" r:id="rId60"/>
    <hyperlink xmlns:r="http://schemas.openxmlformats.org/officeDocument/2006/relationships" ref="F379" r:id="rId61"/>
    <hyperlink xmlns:r="http://schemas.openxmlformats.org/officeDocument/2006/relationships" ref="F380" r:id="rId62"/>
    <hyperlink xmlns:r="http://schemas.openxmlformats.org/officeDocument/2006/relationships" ref="F381" r:id="rId63"/>
    <hyperlink xmlns:r="http://schemas.openxmlformats.org/officeDocument/2006/relationships" ref="F382" r:id="rId64"/>
    <hyperlink xmlns:r="http://schemas.openxmlformats.org/officeDocument/2006/relationships" ref="F390" r:id="rId65"/>
    <hyperlink xmlns:r="http://schemas.openxmlformats.org/officeDocument/2006/relationships" ref="F392" r:id="rId66"/>
    <hyperlink xmlns:r="http://schemas.openxmlformats.org/officeDocument/2006/relationships" ref="F399" r:id="rId67"/>
    <hyperlink xmlns:r="http://schemas.openxmlformats.org/officeDocument/2006/relationships" ref="F406" r:id="rId68"/>
    <hyperlink xmlns:r="http://schemas.openxmlformats.org/officeDocument/2006/relationships" ref="F408" r:id="rId69"/>
    <hyperlink xmlns:r="http://schemas.openxmlformats.org/officeDocument/2006/relationships" ref="F422" r:id="rId70"/>
    <hyperlink xmlns:r="http://schemas.openxmlformats.org/officeDocument/2006/relationships" ref="F432" r:id="rId71"/>
    <hyperlink xmlns:r="http://schemas.openxmlformats.org/officeDocument/2006/relationships" ref="F433" r:id="rId72"/>
    <hyperlink xmlns:r="http://schemas.openxmlformats.org/officeDocument/2006/relationships" ref="F435" r:id="rId73"/>
    <hyperlink xmlns:r="http://schemas.openxmlformats.org/officeDocument/2006/relationships" ref="F446" r:id="rId74"/>
    <hyperlink xmlns:r="http://schemas.openxmlformats.org/officeDocument/2006/relationships" ref="F450" r:id="rId75"/>
    <hyperlink xmlns:r="http://schemas.openxmlformats.org/officeDocument/2006/relationships" ref="F460" r:id="rId76"/>
    <hyperlink xmlns:r="http://schemas.openxmlformats.org/officeDocument/2006/relationships" ref="F470" r:id="rId77"/>
    <hyperlink xmlns:r="http://schemas.openxmlformats.org/officeDocument/2006/relationships" ref="F472" r:id="rId78"/>
    <hyperlink xmlns:r="http://schemas.openxmlformats.org/officeDocument/2006/relationships" ref="F477" r:id="rId79"/>
    <hyperlink xmlns:r="http://schemas.openxmlformats.org/officeDocument/2006/relationships" ref="F478" r:id="rId80"/>
    <hyperlink xmlns:r="http://schemas.openxmlformats.org/officeDocument/2006/relationships" ref="F483" r:id="rId81"/>
    <hyperlink xmlns:r="http://schemas.openxmlformats.org/officeDocument/2006/relationships" ref="F487" r:id="rId82"/>
    <hyperlink xmlns:r="http://schemas.openxmlformats.org/officeDocument/2006/relationships" ref="F488" r:id="rId83"/>
    <hyperlink xmlns:r="http://schemas.openxmlformats.org/officeDocument/2006/relationships" ref="F490" r:id="rId84"/>
    <hyperlink xmlns:r="http://schemas.openxmlformats.org/officeDocument/2006/relationships" ref="F494" r:id="rId85"/>
    <hyperlink xmlns:r="http://schemas.openxmlformats.org/officeDocument/2006/relationships" ref="F499" r:id="rId86"/>
    <hyperlink xmlns:r="http://schemas.openxmlformats.org/officeDocument/2006/relationships" ref="F500" r:id="rId87"/>
    <hyperlink xmlns:r="http://schemas.openxmlformats.org/officeDocument/2006/relationships" ref="F501" r:id="rId88"/>
    <hyperlink xmlns:r="http://schemas.openxmlformats.org/officeDocument/2006/relationships" ref="F522" r:id="rId89"/>
    <hyperlink xmlns:r="http://schemas.openxmlformats.org/officeDocument/2006/relationships" ref="F523" r:id="rId90"/>
    <hyperlink xmlns:r="http://schemas.openxmlformats.org/officeDocument/2006/relationships" ref="F524" r:id="rId91"/>
    <hyperlink xmlns:r="http://schemas.openxmlformats.org/officeDocument/2006/relationships" ref="F526" r:id="rId92"/>
    <hyperlink xmlns:r="http://schemas.openxmlformats.org/officeDocument/2006/relationships" ref="F527" r:id="rId93"/>
    <hyperlink xmlns:r="http://schemas.openxmlformats.org/officeDocument/2006/relationships" ref="F543" r:id="rId94"/>
    <hyperlink xmlns:r="http://schemas.openxmlformats.org/officeDocument/2006/relationships" ref="F546" r:id="rId95"/>
    <hyperlink xmlns:r="http://schemas.openxmlformats.org/officeDocument/2006/relationships" ref="F550" r:id="rId96"/>
    <hyperlink xmlns:r="http://schemas.openxmlformats.org/officeDocument/2006/relationships" ref="F556" r:id="rId97"/>
    <hyperlink xmlns:r="http://schemas.openxmlformats.org/officeDocument/2006/relationships" ref="F558" r:id="rId98"/>
    <hyperlink xmlns:r="http://schemas.openxmlformats.org/officeDocument/2006/relationships" ref="F571" r:id="rId99"/>
    <hyperlink xmlns:r="http://schemas.openxmlformats.org/officeDocument/2006/relationships" ref="F585" r:id="rId100"/>
    <hyperlink xmlns:r="http://schemas.openxmlformats.org/officeDocument/2006/relationships" ref="F592" r:id="rId101"/>
    <hyperlink xmlns:r="http://schemas.openxmlformats.org/officeDocument/2006/relationships" ref="F594" r:id="rId102"/>
    <hyperlink xmlns:r="http://schemas.openxmlformats.org/officeDocument/2006/relationships" ref="F600" r:id="rId103"/>
    <hyperlink xmlns:r="http://schemas.openxmlformats.org/officeDocument/2006/relationships" ref="F605" r:id="rId104"/>
    <hyperlink xmlns:r="http://schemas.openxmlformats.org/officeDocument/2006/relationships" ref="F608" r:id="rId105"/>
    <hyperlink xmlns:r="http://schemas.openxmlformats.org/officeDocument/2006/relationships" ref="F610" r:id="rId106"/>
    <hyperlink xmlns:r="http://schemas.openxmlformats.org/officeDocument/2006/relationships" ref="F612" r:id="rId107"/>
    <hyperlink xmlns:r="http://schemas.openxmlformats.org/officeDocument/2006/relationships" ref="F613" r:id="rId108"/>
    <hyperlink xmlns:r="http://schemas.openxmlformats.org/officeDocument/2006/relationships" ref="F620" r:id="rId109"/>
    <hyperlink xmlns:r="http://schemas.openxmlformats.org/officeDocument/2006/relationships" ref="F628" r:id="rId110"/>
    <hyperlink xmlns:r="http://schemas.openxmlformats.org/officeDocument/2006/relationships" ref="F637" r:id="rId111"/>
    <hyperlink xmlns:r="http://schemas.openxmlformats.org/officeDocument/2006/relationships" ref="F640" r:id="rId112"/>
    <hyperlink xmlns:r="http://schemas.openxmlformats.org/officeDocument/2006/relationships" ref="F641" r:id="rId113"/>
    <hyperlink xmlns:r="http://schemas.openxmlformats.org/officeDocument/2006/relationships" ref="F646" r:id="rId114"/>
    <hyperlink xmlns:r="http://schemas.openxmlformats.org/officeDocument/2006/relationships" ref="F648" r:id="rId115"/>
    <hyperlink xmlns:r="http://schemas.openxmlformats.org/officeDocument/2006/relationships" ref="F652" r:id="rId116"/>
    <hyperlink xmlns:r="http://schemas.openxmlformats.org/officeDocument/2006/relationships" ref="F671" r:id="rId117"/>
    <hyperlink xmlns:r="http://schemas.openxmlformats.org/officeDocument/2006/relationships" ref="F672" r:id="rId118"/>
    <hyperlink xmlns:r="http://schemas.openxmlformats.org/officeDocument/2006/relationships" ref="F674" r:id="rId119"/>
    <hyperlink xmlns:r="http://schemas.openxmlformats.org/officeDocument/2006/relationships" ref="F683" r:id="rId120"/>
    <hyperlink xmlns:r="http://schemas.openxmlformats.org/officeDocument/2006/relationships" ref="F685" r:id="rId121"/>
    <hyperlink xmlns:r="http://schemas.openxmlformats.org/officeDocument/2006/relationships" ref="F686" r:id="rId122"/>
    <hyperlink xmlns:r="http://schemas.openxmlformats.org/officeDocument/2006/relationships" ref="F688" r:id="rId123"/>
    <hyperlink xmlns:r="http://schemas.openxmlformats.org/officeDocument/2006/relationships" ref="F692" r:id="rId124"/>
    <hyperlink xmlns:r="http://schemas.openxmlformats.org/officeDocument/2006/relationships" ref="F697" r:id="rId125"/>
    <hyperlink xmlns:r="http://schemas.openxmlformats.org/officeDocument/2006/relationships" ref="F711" r:id="rId126"/>
    <hyperlink xmlns:r="http://schemas.openxmlformats.org/officeDocument/2006/relationships" ref="F714" r:id="rId127"/>
    <hyperlink xmlns:r="http://schemas.openxmlformats.org/officeDocument/2006/relationships" ref="F715" r:id="rId128"/>
    <hyperlink xmlns:r="http://schemas.openxmlformats.org/officeDocument/2006/relationships" ref="F718" r:id="rId129"/>
    <hyperlink xmlns:r="http://schemas.openxmlformats.org/officeDocument/2006/relationships" ref="F720" r:id="rId130"/>
    <hyperlink xmlns:r="http://schemas.openxmlformats.org/officeDocument/2006/relationships" ref="F724" r:id="rId131"/>
    <hyperlink xmlns:r="http://schemas.openxmlformats.org/officeDocument/2006/relationships" ref="F727" r:id="rId132"/>
    <hyperlink xmlns:r="http://schemas.openxmlformats.org/officeDocument/2006/relationships" ref="F728" r:id="rId133"/>
    <hyperlink xmlns:r="http://schemas.openxmlformats.org/officeDocument/2006/relationships" ref="F730" r:id="rId134"/>
    <hyperlink xmlns:r="http://schemas.openxmlformats.org/officeDocument/2006/relationships" ref="F744" r:id="rId135"/>
    <hyperlink xmlns:r="http://schemas.openxmlformats.org/officeDocument/2006/relationships" ref="F747" r:id="rId136"/>
    <hyperlink xmlns:r="http://schemas.openxmlformats.org/officeDocument/2006/relationships" ref="F749" r:id="rId137"/>
    <hyperlink xmlns:r="http://schemas.openxmlformats.org/officeDocument/2006/relationships" ref="F751" r:id="rId138"/>
    <hyperlink xmlns:r="http://schemas.openxmlformats.org/officeDocument/2006/relationships" ref="F755" r:id="rId139"/>
    <hyperlink xmlns:r="http://schemas.openxmlformats.org/officeDocument/2006/relationships" ref="F756" r:id="rId140"/>
    <hyperlink xmlns:r="http://schemas.openxmlformats.org/officeDocument/2006/relationships" ref="F762" r:id="rId141"/>
    <hyperlink xmlns:r="http://schemas.openxmlformats.org/officeDocument/2006/relationships" ref="F767" r:id="rId142"/>
    <hyperlink xmlns:r="http://schemas.openxmlformats.org/officeDocument/2006/relationships" ref="F780" r:id="rId143"/>
    <hyperlink xmlns:r="http://schemas.openxmlformats.org/officeDocument/2006/relationships" ref="F781" r:id="rId144"/>
    <hyperlink xmlns:r="http://schemas.openxmlformats.org/officeDocument/2006/relationships" ref="F787" r:id="rId145"/>
    <hyperlink xmlns:r="http://schemas.openxmlformats.org/officeDocument/2006/relationships" ref="F790" r:id="rId146"/>
    <hyperlink xmlns:r="http://schemas.openxmlformats.org/officeDocument/2006/relationships" ref="F795" r:id="rId147"/>
    <hyperlink xmlns:r="http://schemas.openxmlformats.org/officeDocument/2006/relationships" ref="F801" r:id="rId148"/>
    <hyperlink xmlns:r="http://schemas.openxmlformats.org/officeDocument/2006/relationships" ref="F804" r:id="rId149"/>
    <hyperlink xmlns:r="http://schemas.openxmlformats.org/officeDocument/2006/relationships" ref="F811" r:id="rId150"/>
    <hyperlink xmlns:r="http://schemas.openxmlformats.org/officeDocument/2006/relationships" ref="F816" r:id="rId151"/>
    <hyperlink xmlns:r="http://schemas.openxmlformats.org/officeDocument/2006/relationships" ref="F824" r:id="rId152"/>
    <hyperlink xmlns:r="http://schemas.openxmlformats.org/officeDocument/2006/relationships" ref="F827" r:id="rId153"/>
    <hyperlink xmlns:r="http://schemas.openxmlformats.org/officeDocument/2006/relationships" ref="F829" r:id="rId154"/>
    <hyperlink xmlns:r="http://schemas.openxmlformats.org/officeDocument/2006/relationships" ref="F831" r:id="rId155"/>
    <hyperlink xmlns:r="http://schemas.openxmlformats.org/officeDocument/2006/relationships" ref="F840" r:id="rId156"/>
    <hyperlink xmlns:r="http://schemas.openxmlformats.org/officeDocument/2006/relationships" ref="F841" r:id="rId157"/>
    <hyperlink xmlns:r="http://schemas.openxmlformats.org/officeDocument/2006/relationships" ref="F843" r:id="rId158"/>
    <hyperlink xmlns:r="http://schemas.openxmlformats.org/officeDocument/2006/relationships" ref="F844" r:id="rId159"/>
    <hyperlink xmlns:r="http://schemas.openxmlformats.org/officeDocument/2006/relationships" ref="F845" r:id="rId160"/>
    <hyperlink xmlns:r="http://schemas.openxmlformats.org/officeDocument/2006/relationships" ref="F851" r:id="rId161"/>
    <hyperlink xmlns:r="http://schemas.openxmlformats.org/officeDocument/2006/relationships" ref="F854" r:id="rId162"/>
    <hyperlink xmlns:r="http://schemas.openxmlformats.org/officeDocument/2006/relationships" ref="F862" r:id="rId163"/>
    <hyperlink xmlns:r="http://schemas.openxmlformats.org/officeDocument/2006/relationships" ref="F870" r:id="rId164"/>
    <hyperlink xmlns:r="http://schemas.openxmlformats.org/officeDocument/2006/relationships" ref="F872" r:id="rId165"/>
    <hyperlink xmlns:r="http://schemas.openxmlformats.org/officeDocument/2006/relationships" ref="F875" r:id="rId166"/>
    <hyperlink xmlns:r="http://schemas.openxmlformats.org/officeDocument/2006/relationships" ref="F876" r:id="rId167"/>
    <hyperlink xmlns:r="http://schemas.openxmlformats.org/officeDocument/2006/relationships" ref="F888" r:id="rId168"/>
    <hyperlink xmlns:r="http://schemas.openxmlformats.org/officeDocument/2006/relationships" ref="F897" r:id="rId169"/>
    <hyperlink xmlns:r="http://schemas.openxmlformats.org/officeDocument/2006/relationships" ref="F899" r:id="rId170"/>
    <hyperlink xmlns:r="http://schemas.openxmlformats.org/officeDocument/2006/relationships" ref="F907" r:id="rId171"/>
    <hyperlink xmlns:r="http://schemas.openxmlformats.org/officeDocument/2006/relationships" ref="F911" r:id="rId172"/>
    <hyperlink xmlns:r="http://schemas.openxmlformats.org/officeDocument/2006/relationships" ref="F912" r:id="rId173"/>
    <hyperlink xmlns:r="http://schemas.openxmlformats.org/officeDocument/2006/relationships" ref="F915" r:id="rId174"/>
    <hyperlink xmlns:r="http://schemas.openxmlformats.org/officeDocument/2006/relationships" ref="F916" r:id="rId175"/>
    <hyperlink xmlns:r="http://schemas.openxmlformats.org/officeDocument/2006/relationships" ref="F919" r:id="rId176"/>
    <hyperlink xmlns:r="http://schemas.openxmlformats.org/officeDocument/2006/relationships" ref="F922" r:id="rId177"/>
    <hyperlink xmlns:r="http://schemas.openxmlformats.org/officeDocument/2006/relationships" ref="F934" r:id="rId178"/>
    <hyperlink xmlns:r="http://schemas.openxmlformats.org/officeDocument/2006/relationships" ref="F936" r:id="rId179"/>
    <hyperlink xmlns:r="http://schemas.openxmlformats.org/officeDocument/2006/relationships" ref="F941" r:id="rId180"/>
    <hyperlink xmlns:r="http://schemas.openxmlformats.org/officeDocument/2006/relationships" ref="F943" r:id="rId181"/>
    <hyperlink xmlns:r="http://schemas.openxmlformats.org/officeDocument/2006/relationships" ref="F944" r:id="rId182"/>
    <hyperlink xmlns:r="http://schemas.openxmlformats.org/officeDocument/2006/relationships" ref="F946" r:id="rId183"/>
    <hyperlink xmlns:r="http://schemas.openxmlformats.org/officeDocument/2006/relationships" ref="F948" r:id="rId184"/>
    <hyperlink xmlns:r="http://schemas.openxmlformats.org/officeDocument/2006/relationships" ref="F953" r:id="rId185"/>
    <hyperlink xmlns:r="http://schemas.openxmlformats.org/officeDocument/2006/relationships" ref="F956" r:id="rId186"/>
    <hyperlink xmlns:r="http://schemas.openxmlformats.org/officeDocument/2006/relationships" ref="F958" r:id="rId187"/>
    <hyperlink xmlns:r="http://schemas.openxmlformats.org/officeDocument/2006/relationships" ref="F966" r:id="rId188"/>
    <hyperlink xmlns:r="http://schemas.openxmlformats.org/officeDocument/2006/relationships" ref="F968" r:id="rId189"/>
    <hyperlink xmlns:r="http://schemas.openxmlformats.org/officeDocument/2006/relationships" ref="F969" r:id="rId190"/>
    <hyperlink xmlns:r="http://schemas.openxmlformats.org/officeDocument/2006/relationships" ref="F971" r:id="rId191"/>
    <hyperlink xmlns:r="http://schemas.openxmlformats.org/officeDocument/2006/relationships" ref="F975" r:id="rId192"/>
    <hyperlink xmlns:r="http://schemas.openxmlformats.org/officeDocument/2006/relationships" ref="F981" r:id="rId193"/>
    <hyperlink xmlns:r="http://schemas.openxmlformats.org/officeDocument/2006/relationships" ref="F986" r:id="rId194"/>
    <hyperlink xmlns:r="http://schemas.openxmlformats.org/officeDocument/2006/relationships" ref="F998" r:id="rId195"/>
    <hyperlink xmlns:r="http://schemas.openxmlformats.org/officeDocument/2006/relationships" ref="F999" r:id="rId196"/>
    <hyperlink xmlns:r="http://schemas.openxmlformats.org/officeDocument/2006/relationships" ref="F1003" r:id="rId197"/>
    <hyperlink xmlns:r="http://schemas.openxmlformats.org/officeDocument/2006/relationships" ref="F1005" r:id="rId198"/>
    <hyperlink xmlns:r="http://schemas.openxmlformats.org/officeDocument/2006/relationships" ref="F1009" r:id="rId199"/>
    <hyperlink xmlns:r="http://schemas.openxmlformats.org/officeDocument/2006/relationships" ref="F1017" r:id="rId200"/>
    <hyperlink xmlns:r="http://schemas.openxmlformats.org/officeDocument/2006/relationships" ref="F1024" r:id="rId201"/>
    <hyperlink xmlns:r="http://schemas.openxmlformats.org/officeDocument/2006/relationships" ref="F1030" r:id="rId202"/>
    <hyperlink xmlns:r="http://schemas.openxmlformats.org/officeDocument/2006/relationships" ref="F1031" r:id="rId203"/>
    <hyperlink xmlns:r="http://schemas.openxmlformats.org/officeDocument/2006/relationships" ref="F1035" r:id="rId204"/>
    <hyperlink xmlns:r="http://schemas.openxmlformats.org/officeDocument/2006/relationships" ref="F1043" r:id="rId205"/>
    <hyperlink xmlns:r="http://schemas.openxmlformats.org/officeDocument/2006/relationships" ref="F1047" r:id="rId206"/>
    <hyperlink xmlns:r="http://schemas.openxmlformats.org/officeDocument/2006/relationships" ref="F1049" r:id="rId207"/>
    <hyperlink xmlns:r="http://schemas.openxmlformats.org/officeDocument/2006/relationships" ref="F1050" r:id="rId208"/>
    <hyperlink xmlns:r="http://schemas.openxmlformats.org/officeDocument/2006/relationships" ref="F1056" r:id="rId209"/>
    <hyperlink xmlns:r="http://schemas.openxmlformats.org/officeDocument/2006/relationships" ref="F1064" r:id="rId210"/>
    <hyperlink xmlns:r="http://schemas.openxmlformats.org/officeDocument/2006/relationships" ref="F1065" r:id="rId211"/>
    <hyperlink xmlns:r="http://schemas.openxmlformats.org/officeDocument/2006/relationships" ref="F1068" r:id="rId212"/>
    <hyperlink xmlns:r="http://schemas.openxmlformats.org/officeDocument/2006/relationships" ref="F1070" r:id="rId213"/>
    <hyperlink xmlns:r="http://schemas.openxmlformats.org/officeDocument/2006/relationships" ref="F1071" r:id="rId214"/>
    <hyperlink xmlns:r="http://schemas.openxmlformats.org/officeDocument/2006/relationships" ref="F1073" r:id="rId215"/>
    <hyperlink xmlns:r="http://schemas.openxmlformats.org/officeDocument/2006/relationships" ref="F1075" r:id="rId216"/>
    <hyperlink xmlns:r="http://schemas.openxmlformats.org/officeDocument/2006/relationships" ref="F1076" r:id="rId217"/>
    <hyperlink xmlns:r="http://schemas.openxmlformats.org/officeDocument/2006/relationships" ref="F1079" r:id="rId218"/>
    <hyperlink xmlns:r="http://schemas.openxmlformats.org/officeDocument/2006/relationships" ref="F1085" r:id="rId219"/>
    <hyperlink xmlns:r="http://schemas.openxmlformats.org/officeDocument/2006/relationships" ref="F1086" r:id="rId220"/>
    <hyperlink xmlns:r="http://schemas.openxmlformats.org/officeDocument/2006/relationships" ref="F1088" r:id="rId221"/>
    <hyperlink xmlns:r="http://schemas.openxmlformats.org/officeDocument/2006/relationships" ref="F1092" r:id="rId222"/>
    <hyperlink xmlns:r="http://schemas.openxmlformats.org/officeDocument/2006/relationships" ref="F1094" r:id="rId223"/>
    <hyperlink xmlns:r="http://schemas.openxmlformats.org/officeDocument/2006/relationships" ref="F1095" r:id="rId224"/>
    <hyperlink xmlns:r="http://schemas.openxmlformats.org/officeDocument/2006/relationships" ref="F1098" r:id="rId225"/>
    <hyperlink xmlns:r="http://schemas.openxmlformats.org/officeDocument/2006/relationships" ref="F1099" r:id="rId226"/>
    <hyperlink xmlns:r="http://schemas.openxmlformats.org/officeDocument/2006/relationships" ref="F1101" r:id="rId227"/>
    <hyperlink xmlns:r="http://schemas.openxmlformats.org/officeDocument/2006/relationships" ref="F1104" r:id="rId228"/>
    <hyperlink xmlns:r="http://schemas.openxmlformats.org/officeDocument/2006/relationships" ref="F1108" r:id="rId229"/>
    <hyperlink xmlns:r="http://schemas.openxmlformats.org/officeDocument/2006/relationships" ref="F1110" r:id="rId230"/>
    <hyperlink xmlns:r="http://schemas.openxmlformats.org/officeDocument/2006/relationships" ref="F1111" r:id="rId231"/>
    <hyperlink xmlns:r="http://schemas.openxmlformats.org/officeDocument/2006/relationships" ref="F1113" r:id="rId232"/>
    <hyperlink xmlns:r="http://schemas.openxmlformats.org/officeDocument/2006/relationships" ref="F1117" r:id="rId233"/>
    <hyperlink xmlns:r="http://schemas.openxmlformats.org/officeDocument/2006/relationships" ref="F1124" r:id="rId234"/>
    <hyperlink xmlns:r="http://schemas.openxmlformats.org/officeDocument/2006/relationships" ref="F1128" r:id="rId235"/>
    <hyperlink xmlns:r="http://schemas.openxmlformats.org/officeDocument/2006/relationships" ref="F1129" r:id="rId236"/>
    <hyperlink xmlns:r="http://schemas.openxmlformats.org/officeDocument/2006/relationships" ref="F1136" r:id="rId237"/>
    <hyperlink xmlns:r="http://schemas.openxmlformats.org/officeDocument/2006/relationships" ref="F1138" r:id="rId238"/>
    <hyperlink xmlns:r="http://schemas.openxmlformats.org/officeDocument/2006/relationships" ref="F1157" r:id="rId239"/>
    <hyperlink xmlns:r="http://schemas.openxmlformats.org/officeDocument/2006/relationships" ref="F1163" r:id="rId240"/>
    <hyperlink xmlns:r="http://schemas.openxmlformats.org/officeDocument/2006/relationships" ref="F1165" r:id="rId241"/>
    <hyperlink xmlns:r="http://schemas.openxmlformats.org/officeDocument/2006/relationships" ref="F1171" r:id="rId242"/>
    <hyperlink xmlns:r="http://schemas.openxmlformats.org/officeDocument/2006/relationships" ref="F1173" r:id="rId243"/>
    <hyperlink xmlns:r="http://schemas.openxmlformats.org/officeDocument/2006/relationships" ref="F1174" r:id="rId244"/>
    <hyperlink xmlns:r="http://schemas.openxmlformats.org/officeDocument/2006/relationships" ref="F1175" r:id="rId245"/>
    <hyperlink xmlns:r="http://schemas.openxmlformats.org/officeDocument/2006/relationships" ref="F1177" r:id="rId246"/>
    <hyperlink xmlns:r="http://schemas.openxmlformats.org/officeDocument/2006/relationships" ref="F1185" r:id="rId247"/>
    <hyperlink xmlns:r="http://schemas.openxmlformats.org/officeDocument/2006/relationships" ref="F1186" r:id="rId248"/>
    <hyperlink xmlns:r="http://schemas.openxmlformats.org/officeDocument/2006/relationships" ref="F1192" r:id="rId249"/>
    <hyperlink xmlns:r="http://schemas.openxmlformats.org/officeDocument/2006/relationships" ref="F1194" r:id="rId250"/>
    <hyperlink xmlns:r="http://schemas.openxmlformats.org/officeDocument/2006/relationships" ref="F1199" r:id="rId251"/>
    <hyperlink xmlns:r="http://schemas.openxmlformats.org/officeDocument/2006/relationships" ref="F1206" r:id="rId252"/>
    <hyperlink xmlns:r="http://schemas.openxmlformats.org/officeDocument/2006/relationships" ref="F1217" r:id="rId25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40" customWidth="1" min="5" max="5"/>
    <col width="34" customWidth="1" min="6" max="6"/>
    <col width="14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10" customWidth="1" min="17" max="17"/>
    <col width="34" customWidth="1" min="18" max="18"/>
  </cols>
  <sheetData>
    <row r="1" ht="32" customHeight="1">
      <c r="A1" s="10" t="inlineStr">
        <is>
          <t>학교명</t>
        </is>
      </c>
      <c r="B1" s="10" t="inlineStr">
        <is>
          <t>구분</t>
        </is>
      </c>
      <c r="C1" s="10" t="inlineStr">
        <is>
          <t>설립유형</t>
        </is>
      </c>
      <c r="D1" s="10" t="inlineStr">
        <is>
          <t>구/군</t>
        </is>
      </c>
      <c r="E1" s="10" t="inlineStr">
        <is>
          <t>주소</t>
        </is>
      </c>
      <c r="F1" s="10" t="inlineStr">
        <is>
          <t>공식 홈페이지</t>
        </is>
      </c>
      <c r="G1" s="10" t="inlineStr">
        <is>
          <t>전화번호</t>
        </is>
      </c>
      <c r="H1" s="10" t="inlineStr">
        <is>
          <t>공시연도</t>
        </is>
      </c>
      <c r="I1" s="13" t="inlineStr">
        <is>
          <t>1학년</t>
        </is>
      </c>
      <c r="J1" s="13" t="inlineStr">
        <is>
          <t>2학년</t>
        </is>
      </c>
      <c r="K1" s="13" t="inlineStr">
        <is>
          <t>3학년</t>
        </is>
      </c>
      <c r="L1" s="13" t="inlineStr">
        <is>
          <t>4학년</t>
        </is>
      </c>
      <c r="M1" s="13" t="inlineStr">
        <is>
          <t>5학년</t>
        </is>
      </c>
      <c r="N1" s="13" t="inlineStr">
        <is>
          <t>6학년</t>
        </is>
      </c>
      <c r="O1" s="13" t="inlineStr">
        <is>
          <t>특수학급</t>
        </is>
      </c>
      <c r="P1" s="13" t="inlineStr">
        <is>
          <t>순회학급</t>
        </is>
      </c>
      <c r="Q1" s="10" t="inlineStr">
        <is>
          <t>학생 합계</t>
        </is>
      </c>
      <c r="R1" s="10" t="inlineStr">
        <is>
          <t>비고</t>
        </is>
      </c>
    </row>
    <row r="2">
      <c r="A2" t="inlineStr">
        <is>
          <t>가락초등학교</t>
        </is>
      </c>
      <c r="B2" t="inlineStr">
        <is>
          <t>초등학교</t>
        </is>
      </c>
      <c r="C2" t="inlineStr">
        <is>
          <t>공립</t>
        </is>
      </c>
      <c r="D2" t="inlineStr">
        <is>
          <t>강서구</t>
        </is>
      </c>
      <c r="E2" t="inlineStr">
        <is>
          <t>부산광역시 강서구 호계로 41</t>
        </is>
      </c>
      <c r="F2" s="11" t="inlineStr">
        <is>
          <t>http://school.busanedu.net/garak-e/main.do</t>
        </is>
      </c>
      <c r="G2" t="inlineStr">
        <is>
          <t>051-972-8055</t>
        </is>
      </c>
      <c r="H2" t="inlineStr">
        <is>
          <t>2026</t>
        </is>
      </c>
      <c r="I2" s="15" t="n">
        <v>1</v>
      </c>
      <c r="J2" s="15" t="n">
        <v>7</v>
      </c>
      <c r="K2" s="15" t="n">
        <v>1</v>
      </c>
      <c r="L2" s="15" t="n">
        <v>2</v>
      </c>
      <c r="M2" s="15" t="n">
        <v>3</v>
      </c>
      <c r="N2" s="15" t="n">
        <v>2</v>
      </c>
      <c r="O2" s="15" t="n">
        <v>3</v>
      </c>
      <c r="P2" s="15" t="n">
        <v>0</v>
      </c>
      <c r="Q2" s="14">
        <f>IF(COUNT(I2:P2)=0,"",SUM(I2:P2))</f>
        <v/>
      </c>
      <c r="R2" t="inlineStr"/>
    </row>
    <row r="3">
      <c r="A3" t="inlineStr">
        <is>
          <t>강서초등학교</t>
        </is>
      </c>
      <c r="B3" t="inlineStr">
        <is>
          <t>초등학교</t>
        </is>
      </c>
      <c r="C3" t="inlineStr">
        <is>
          <t>공립</t>
        </is>
      </c>
      <c r="D3" t="inlineStr">
        <is>
          <t>강서구</t>
        </is>
      </c>
      <c r="E3" t="inlineStr">
        <is>
          <t>부산광역시 강서구 에코델타2로 94</t>
        </is>
      </c>
      <c r="F3" s="11" t="inlineStr">
        <is>
          <t>http://gangseoe.es.kr</t>
        </is>
      </c>
      <c r="G3" t="inlineStr">
        <is>
          <t>051-366-1900</t>
        </is>
      </c>
      <c r="H3" t="inlineStr">
        <is>
          <t>2026</t>
        </is>
      </c>
      <c r="I3" s="15" t="n">
        <v>111</v>
      </c>
      <c r="J3" s="15" t="n">
        <v>74</v>
      </c>
      <c r="K3" s="15" t="n">
        <v>93</v>
      </c>
      <c r="L3" s="15" t="n">
        <v>59</v>
      </c>
      <c r="M3" s="15" t="n">
        <v>58</v>
      </c>
      <c r="N3" s="15" t="n">
        <v>44</v>
      </c>
      <c r="O3" s="15" t="n">
        <v>7</v>
      </c>
      <c r="P3" s="15" t="n">
        <v>0</v>
      </c>
      <c r="Q3" s="14">
        <f>IF(COUNT(I3:P3)=0,"",SUM(I3:P3))</f>
        <v/>
      </c>
      <c r="R3" t="inlineStr"/>
    </row>
    <row r="4">
      <c r="A4" t="inlineStr">
        <is>
          <t>남명초등학교</t>
        </is>
      </c>
      <c r="B4" t="inlineStr">
        <is>
          <t>초등학교</t>
        </is>
      </c>
      <c r="C4" t="inlineStr">
        <is>
          <t>공립</t>
        </is>
      </c>
      <c r="D4" t="inlineStr">
        <is>
          <t>강서구</t>
        </is>
      </c>
      <c r="E4" t="inlineStr">
        <is>
          <t>부산광역시 강서구 명지오션시티11로 132</t>
        </is>
      </c>
      <c r="F4" s="11" t="inlineStr">
        <is>
          <t>http://nam-myeong.es.kr/</t>
        </is>
      </c>
      <c r="G4" t="inlineStr">
        <is>
          <t>051-2600-200</t>
        </is>
      </c>
      <c r="H4" t="inlineStr">
        <is>
          <t>2026</t>
        </is>
      </c>
      <c r="I4" s="15" t="n">
        <v>83</v>
      </c>
      <c r="J4" s="15" t="n">
        <v>108</v>
      </c>
      <c r="K4" s="15" t="n">
        <v>101</v>
      </c>
      <c r="L4" s="15" t="n">
        <v>120</v>
      </c>
      <c r="M4" s="15" t="n">
        <v>158</v>
      </c>
      <c r="N4" s="15" t="n">
        <v>136</v>
      </c>
      <c r="O4" s="15" t="n">
        <v>7</v>
      </c>
      <c r="P4" s="15" t="n">
        <v>0</v>
      </c>
      <c r="Q4" s="14">
        <f>IF(COUNT(I4:P4)=0,"",SUM(I4:P4))</f>
        <v/>
      </c>
      <c r="R4" t="inlineStr"/>
    </row>
    <row r="5">
      <c r="A5" t="inlineStr">
        <is>
          <t>녹명초등학교</t>
        </is>
      </c>
      <c r="B5" t="inlineStr">
        <is>
          <t>초등학교</t>
        </is>
      </c>
      <c r="C5" t="inlineStr">
        <is>
          <t>공립</t>
        </is>
      </c>
      <c r="D5" t="inlineStr">
        <is>
          <t>강서구</t>
        </is>
      </c>
      <c r="E5" t="inlineStr">
        <is>
          <t>부산광역시 강서구 낙동남로 617</t>
        </is>
      </c>
      <c r="F5" s="11" t="inlineStr">
        <is>
          <t>http://nokmng.es.kr</t>
        </is>
      </c>
      <c r="G5" t="inlineStr">
        <is>
          <t>051-971-5144</t>
        </is>
      </c>
      <c r="H5" t="inlineStr">
        <is>
          <t>2026</t>
        </is>
      </c>
      <c r="I5" s="15" t="n">
        <v>16</v>
      </c>
      <c r="J5" s="15" t="n">
        <v>12</v>
      </c>
      <c r="K5" s="15" t="n">
        <v>19</v>
      </c>
      <c r="L5" s="15" t="n">
        <v>13</v>
      </c>
      <c r="M5" s="15" t="n">
        <v>18</v>
      </c>
      <c r="N5" s="15" t="n">
        <v>12</v>
      </c>
      <c r="O5" s="15" t="n">
        <v>5</v>
      </c>
      <c r="P5" s="15" t="n">
        <v>0</v>
      </c>
      <c r="Q5" s="14">
        <f>IF(COUNT(I5:P5)=0,"",SUM(I5:P5))</f>
        <v/>
      </c>
      <c r="R5" t="inlineStr"/>
    </row>
    <row r="6">
      <c r="A6" t="inlineStr">
        <is>
          <t>녹산초등학교</t>
        </is>
      </c>
      <c r="B6" t="inlineStr">
        <is>
          <t>초등학교</t>
        </is>
      </c>
      <c r="C6" t="inlineStr">
        <is>
          <t>공립</t>
        </is>
      </c>
      <c r="D6" t="inlineStr">
        <is>
          <t>강서구</t>
        </is>
      </c>
      <c r="E6" t="inlineStr">
        <is>
          <t>부산광역시 강서구 과학산단2로20번길 55</t>
        </is>
      </c>
      <c r="F6" s="11" t="inlineStr">
        <is>
          <t>http://noksan.es.kr/</t>
        </is>
      </c>
      <c r="G6" t="inlineStr">
        <is>
          <t>051-979-1000</t>
        </is>
      </c>
      <c r="H6" t="inlineStr">
        <is>
          <t>2026</t>
        </is>
      </c>
      <c r="I6" s="15" t="n">
        <v>128</v>
      </c>
      <c r="J6" s="15" t="n">
        <v>143</v>
      </c>
      <c r="K6" s="15" t="n">
        <v>142</v>
      </c>
      <c r="L6" s="15" t="n">
        <v>171</v>
      </c>
      <c r="M6" s="15" t="n">
        <v>171</v>
      </c>
      <c r="N6" s="15" t="n">
        <v>170</v>
      </c>
      <c r="O6" s="15" t="n">
        <v>7</v>
      </c>
      <c r="P6" s="15" t="n">
        <v>0</v>
      </c>
      <c r="Q6" s="14">
        <f>IF(COUNT(I6:P6)=0,"",SUM(I6:P6))</f>
        <v/>
      </c>
      <c r="R6" t="inlineStr"/>
    </row>
    <row r="7">
      <c r="A7" t="inlineStr">
        <is>
          <t>대사초등학교</t>
        </is>
      </c>
      <c r="B7" t="inlineStr">
        <is>
          <t>초등학교</t>
        </is>
      </c>
      <c r="C7" t="inlineStr">
        <is>
          <t>공립</t>
        </is>
      </c>
      <c r="D7" t="inlineStr">
        <is>
          <t>강서구</t>
        </is>
      </c>
      <c r="E7" t="inlineStr">
        <is>
          <t>부산광역시 강서구 낙동북로 73</t>
        </is>
      </c>
      <c r="F7" s="11" t="inlineStr">
        <is>
          <t>http://psdaesa.es.kr</t>
        </is>
      </c>
      <c r="G7" t="inlineStr">
        <is>
          <t>051-970-0300</t>
        </is>
      </c>
      <c r="H7" t="inlineStr">
        <is>
          <t>2026</t>
        </is>
      </c>
      <c r="I7" s="15" t="n">
        <v>0</v>
      </c>
      <c r="J7" s="15" t="n">
        <v>1</v>
      </c>
      <c r="K7" s="15" t="n">
        <v>1</v>
      </c>
      <c r="L7" s="15" t="n">
        <v>0</v>
      </c>
      <c r="M7" s="15" t="n">
        <v>1</v>
      </c>
      <c r="N7" s="15" t="n">
        <v>0</v>
      </c>
      <c r="O7" s="15" t="n">
        <v>1</v>
      </c>
      <c r="P7" s="15" t="n">
        <v>0</v>
      </c>
      <c r="Q7" s="14">
        <f>IF(COUNT(I7:P7)=0,"",SUM(I7:P7))</f>
        <v/>
      </c>
      <c r="R7" t="inlineStr"/>
    </row>
    <row r="8">
      <c r="A8" t="inlineStr">
        <is>
          <t>대상초등학교</t>
        </is>
      </c>
      <c r="B8" t="inlineStr">
        <is>
          <t>초등학교</t>
        </is>
      </c>
      <c r="C8" t="inlineStr">
        <is>
          <t>공립</t>
        </is>
      </c>
      <c r="D8" t="inlineStr">
        <is>
          <t>강서구</t>
        </is>
      </c>
      <c r="E8" t="inlineStr">
        <is>
          <t>부산광역시 강서구 대저로 249</t>
        </is>
      </c>
      <c r="F8" s="11" t="inlineStr">
        <is>
          <t>http://daesang.es.kr</t>
        </is>
      </c>
      <c r="G8" t="inlineStr">
        <is>
          <t>051-971-6311</t>
        </is>
      </c>
      <c r="H8" t="inlineStr">
        <is>
          <t>2026</t>
        </is>
      </c>
      <c r="I8" s="15" t="n">
        <v>6</v>
      </c>
      <c r="J8" s="15" t="n">
        <v>3</v>
      </c>
      <c r="K8" s="15" t="n">
        <v>7</v>
      </c>
      <c r="L8" s="15" t="n">
        <v>2</v>
      </c>
      <c r="M8" s="15" t="n">
        <v>8</v>
      </c>
      <c r="N8" s="15" t="n">
        <v>1</v>
      </c>
      <c r="O8" s="15" t="n">
        <v>5</v>
      </c>
      <c r="P8" s="15" t="n">
        <v>0</v>
      </c>
      <c r="Q8" s="14">
        <f>IF(COUNT(I8:P8)=0,"",SUM(I8:P8))</f>
        <v/>
      </c>
      <c r="R8" t="inlineStr"/>
    </row>
    <row r="9">
      <c r="A9" t="inlineStr">
        <is>
          <t>대저중앙초등학교</t>
        </is>
      </c>
      <c r="B9" t="inlineStr">
        <is>
          <t>초등학교</t>
        </is>
      </c>
      <c r="C9" t="inlineStr">
        <is>
          <t>공립</t>
        </is>
      </c>
      <c r="D9" t="inlineStr">
        <is>
          <t>강서구</t>
        </is>
      </c>
      <c r="E9" t="inlineStr">
        <is>
          <t>부산광역시 강서구 에코델타2로 23</t>
        </is>
      </c>
      <c r="F9" s="11" t="inlineStr">
        <is>
          <t>http://school.busanedu.net/dj-joongang-e/main.do</t>
        </is>
      </c>
      <c r="G9" t="inlineStr">
        <is>
          <t>051-605-1000</t>
        </is>
      </c>
      <c r="H9" t="inlineStr">
        <is>
          <t>2026</t>
        </is>
      </c>
      <c r="I9" s="15" t="n">
        <v>250</v>
      </c>
      <c r="J9" s="15" t="n">
        <v>226</v>
      </c>
      <c r="K9" s="15" t="n">
        <v>201</v>
      </c>
      <c r="L9" s="15" t="n">
        <v>191</v>
      </c>
      <c r="M9" s="15" t="n">
        <v>184</v>
      </c>
      <c r="N9" s="15" t="n">
        <v>147</v>
      </c>
      <c r="O9" s="15" t="n">
        <v>6</v>
      </c>
      <c r="P9" s="15" t="n">
        <v>0</v>
      </c>
      <c r="Q9" s="14">
        <f>IF(COUNT(I9:P9)=0,"",SUM(I9:P9))</f>
        <v/>
      </c>
      <c r="R9" t="inlineStr"/>
    </row>
    <row r="10">
      <c r="A10" t="inlineStr">
        <is>
          <t>대저초등학교</t>
        </is>
      </c>
      <c r="B10" t="inlineStr">
        <is>
          <t>초등학교</t>
        </is>
      </c>
      <c r="C10" t="inlineStr">
        <is>
          <t>공립</t>
        </is>
      </c>
      <c r="D10" t="inlineStr">
        <is>
          <t>강서구</t>
        </is>
      </c>
      <c r="E10" t="inlineStr">
        <is>
          <t>부산광역시 강서구 대저로29번길 27</t>
        </is>
      </c>
      <c r="F10" s="11" t="inlineStr">
        <is>
          <t>http://daejeo.es.kr</t>
        </is>
      </c>
      <c r="G10" t="inlineStr">
        <is>
          <t>051-970-0200</t>
        </is>
      </c>
      <c r="H10" t="inlineStr">
        <is>
          <t>2026</t>
        </is>
      </c>
      <c r="I10" s="15" t="n">
        <v>4</v>
      </c>
      <c r="J10" s="15" t="n">
        <v>0</v>
      </c>
      <c r="K10" s="15" t="n">
        <v>6</v>
      </c>
      <c r="L10" s="15" t="n">
        <v>2</v>
      </c>
      <c r="M10" s="15" t="n">
        <v>3</v>
      </c>
      <c r="N10" s="15" t="n">
        <v>4</v>
      </c>
      <c r="O10" s="15" t="n">
        <v>1</v>
      </c>
      <c r="P10" s="15" t="n">
        <v>0</v>
      </c>
      <c r="Q10" s="14">
        <f>IF(COUNT(I10:P10)=0,"",SUM(I10:P10))</f>
        <v/>
      </c>
      <c r="R10" t="inlineStr"/>
    </row>
    <row r="11">
      <c r="A11" t="inlineStr">
        <is>
          <t>덕두초등학교</t>
        </is>
      </c>
      <c r="B11" t="inlineStr">
        <is>
          <t>초등학교</t>
        </is>
      </c>
      <c r="C11" t="inlineStr">
        <is>
          <t>공립</t>
        </is>
      </c>
      <c r="D11" t="inlineStr">
        <is>
          <t>강서구</t>
        </is>
      </c>
      <c r="E11" t="inlineStr">
        <is>
          <t>부산광역시 강서구 공항로791번길 68</t>
        </is>
      </c>
      <c r="F11" s="11" t="inlineStr">
        <is>
          <t>http://www.deokdu.es.kr/</t>
        </is>
      </c>
      <c r="G11" t="inlineStr">
        <is>
          <t>051-711-5120</t>
        </is>
      </c>
      <c r="H11" t="inlineStr">
        <is>
          <t>2026</t>
        </is>
      </c>
      <c r="I11" s="15" t="n">
        <v>20</v>
      </c>
      <c r="J11" s="15" t="n">
        <v>33</v>
      </c>
      <c r="K11" s="15" t="n">
        <v>25</v>
      </c>
      <c r="L11" s="15" t="n">
        <v>31</v>
      </c>
      <c r="M11" s="15" t="n">
        <v>24</v>
      </c>
      <c r="N11" s="15" t="n">
        <v>28</v>
      </c>
      <c r="O11" s="15" t="n">
        <v>1</v>
      </c>
      <c r="P11" s="15" t="n">
        <v>0</v>
      </c>
      <c r="Q11" s="14">
        <f>IF(COUNT(I11:P11)=0,"",SUM(I11:P11))</f>
        <v/>
      </c>
      <c r="R11" t="inlineStr"/>
    </row>
    <row r="12">
      <c r="A12" t="inlineStr">
        <is>
          <t>명문초등학교</t>
        </is>
      </c>
      <c r="B12" t="inlineStr">
        <is>
          <t>초등학교</t>
        </is>
      </c>
      <c r="C12" t="inlineStr">
        <is>
          <t>공립</t>
        </is>
      </c>
      <c r="D12" t="inlineStr">
        <is>
          <t>강서구</t>
        </is>
      </c>
      <c r="E12" t="inlineStr">
        <is>
          <t>부산광역시 강서구 명지국제8로 195</t>
        </is>
      </c>
      <c r="F12" s="11" t="inlineStr">
        <is>
          <t>http://myeongmun.es.kr</t>
        </is>
      </c>
      <c r="G12" t="inlineStr">
        <is>
          <t>051-710-2114</t>
        </is>
      </c>
      <c r="H12" t="inlineStr">
        <is>
          <t>2026</t>
        </is>
      </c>
      <c r="I12" s="15" t="n">
        <v>173</v>
      </c>
      <c r="J12" s="15" t="n">
        <v>199</v>
      </c>
      <c r="K12" s="15" t="n">
        <v>225</v>
      </c>
      <c r="L12" s="15" t="n">
        <v>219</v>
      </c>
      <c r="M12" s="15" t="n">
        <v>193</v>
      </c>
      <c r="N12" s="15" t="n">
        <v>156</v>
      </c>
      <c r="O12" s="15" t="n">
        <v>9</v>
      </c>
      <c r="P12" s="15" t="n">
        <v>0</v>
      </c>
      <c r="Q12" s="14">
        <f>IF(COUNT(I12:P12)=0,"",SUM(I12:P12))</f>
        <v/>
      </c>
      <c r="R12" t="inlineStr"/>
    </row>
    <row r="13">
      <c r="A13" t="inlineStr">
        <is>
          <t>명원초등학교</t>
        </is>
      </c>
      <c r="B13" t="inlineStr">
        <is>
          <t>초등학교</t>
        </is>
      </c>
      <c r="C13" t="inlineStr">
        <is>
          <t>공립</t>
        </is>
      </c>
      <c r="D13" t="inlineStr">
        <is>
          <t>강서구</t>
        </is>
      </c>
      <c r="E13" t="inlineStr">
        <is>
          <t>부산광역시 강서구 명지국제6로 147</t>
        </is>
      </c>
      <c r="F13" s="11" t="inlineStr">
        <is>
          <t>http://school.busanedu.net/myoungwon-e/main.do</t>
        </is>
      </c>
      <c r="G13" t="inlineStr">
        <is>
          <t>051-250-3300</t>
        </is>
      </c>
      <c r="H13" t="inlineStr">
        <is>
          <t>2026</t>
        </is>
      </c>
      <c r="I13" s="15" t="n">
        <v>127</v>
      </c>
      <c r="J13" s="15" t="n">
        <v>175</v>
      </c>
      <c r="K13" s="15" t="n">
        <v>222</v>
      </c>
      <c r="L13" s="15" t="n">
        <v>193</v>
      </c>
      <c r="M13" s="15" t="n">
        <v>237</v>
      </c>
      <c r="N13" s="15" t="n">
        <v>230</v>
      </c>
      <c r="O13" s="15" t="n">
        <v>11</v>
      </c>
      <c r="P13" s="15" t="n">
        <v>0</v>
      </c>
      <c r="Q13" s="14">
        <f>IF(COUNT(I13:P13)=0,"",SUM(I13:P13))</f>
        <v/>
      </c>
      <c r="R13" t="inlineStr"/>
    </row>
    <row r="14">
      <c r="A14" t="inlineStr">
        <is>
          <t>명일초등학교</t>
        </is>
      </c>
      <c r="B14" t="inlineStr">
        <is>
          <t>초등학교</t>
        </is>
      </c>
      <c r="C14" t="inlineStr">
        <is>
          <t>공립</t>
        </is>
      </c>
      <c r="D14" t="inlineStr">
        <is>
          <t>강서구</t>
        </is>
      </c>
      <c r="E14" t="inlineStr">
        <is>
          <t>부산광역시 강서구 명지국제5로 170-5</t>
        </is>
      </c>
      <c r="F14" s="11" t="inlineStr">
        <is>
          <t>http://myeong1.es.kr</t>
        </is>
      </c>
      <c r="G14" t="inlineStr">
        <is>
          <t>051-290-1500</t>
        </is>
      </c>
      <c r="H14" t="inlineStr">
        <is>
          <t>2026</t>
        </is>
      </c>
      <c r="I14" s="15" t="n">
        <v>114</v>
      </c>
      <c r="J14" s="15" t="n">
        <v>128</v>
      </c>
      <c r="K14" s="15" t="n">
        <v>140</v>
      </c>
      <c r="L14" s="15" t="n">
        <v>144</v>
      </c>
      <c r="M14" s="15" t="n">
        <v>126</v>
      </c>
      <c r="N14" s="15" t="n">
        <v>143</v>
      </c>
      <c r="O14" s="15" t="n">
        <v>10</v>
      </c>
      <c r="P14" s="15" t="n">
        <v>0</v>
      </c>
      <c r="Q14" s="14">
        <f>IF(COUNT(I14:P14)=0,"",SUM(I14:P14))</f>
        <v/>
      </c>
      <c r="R14" t="inlineStr"/>
    </row>
    <row r="15">
      <c r="A15" t="inlineStr">
        <is>
          <t>명지초등학교</t>
        </is>
      </c>
      <c r="B15" t="inlineStr">
        <is>
          <t>초등학교</t>
        </is>
      </c>
      <c r="C15" t="inlineStr">
        <is>
          <t>공립</t>
        </is>
      </c>
      <c r="D15" t="inlineStr">
        <is>
          <t>강서구</t>
        </is>
      </c>
      <c r="E15" t="inlineStr">
        <is>
          <t>부산광역시 강서구 명지국제6로 296</t>
        </is>
      </c>
      <c r="F15" s="11" t="inlineStr">
        <is>
          <t>http://www.myungji.es.kr</t>
        </is>
      </c>
      <c r="G15" t="inlineStr">
        <is>
          <t>051-602-1200</t>
        </is>
      </c>
      <c r="H15" t="inlineStr">
        <is>
          <t>2026</t>
        </is>
      </c>
      <c r="I15" s="15" t="n">
        <v>191</v>
      </c>
      <c r="J15" s="15" t="n">
        <v>180</v>
      </c>
      <c r="K15" s="15" t="n">
        <v>214</v>
      </c>
      <c r="L15" s="15" t="n">
        <v>248</v>
      </c>
      <c r="M15" s="15" t="n">
        <v>232</v>
      </c>
      <c r="N15" s="15" t="n">
        <v>259</v>
      </c>
      <c r="O15" s="15" t="n">
        <v>11</v>
      </c>
      <c r="P15" s="15" t="n">
        <v>0</v>
      </c>
      <c r="Q15" s="14">
        <f>IF(COUNT(I15:P15)=0,"",SUM(I15:P15))</f>
        <v/>
      </c>
      <c r="R15" t="inlineStr"/>
    </row>
    <row r="16">
      <c r="A16" t="inlineStr">
        <is>
          <t>명호초등학교</t>
        </is>
      </c>
      <c r="B16" t="inlineStr">
        <is>
          <t>초등학교</t>
        </is>
      </c>
      <c r="C16" t="inlineStr">
        <is>
          <t>공립</t>
        </is>
      </c>
      <c r="D16" t="inlineStr">
        <is>
          <t>강서구</t>
        </is>
      </c>
      <c r="E16" t="inlineStr">
        <is>
          <t>부산광역시 강서구 명지오션시티2로 41</t>
        </is>
      </c>
      <c r="F16" s="11" t="inlineStr">
        <is>
          <t>http://school.busanedu.net/myungho-e</t>
        </is>
      </c>
      <c r="G16" t="inlineStr">
        <is>
          <t>051-220-1100</t>
        </is>
      </c>
      <c r="H16" t="inlineStr">
        <is>
          <t>2026</t>
        </is>
      </c>
      <c r="I16" s="15" t="n">
        <v>156</v>
      </c>
      <c r="J16" s="15" t="n">
        <v>161</v>
      </c>
      <c r="K16" s="15" t="n">
        <v>178</v>
      </c>
      <c r="L16" s="15" t="n">
        <v>234</v>
      </c>
      <c r="M16" s="15" t="n">
        <v>261</v>
      </c>
      <c r="N16" s="15" t="n">
        <v>263</v>
      </c>
      <c r="O16" s="15" t="n">
        <v>10</v>
      </c>
      <c r="P16" s="15" t="n">
        <v>0</v>
      </c>
      <c r="Q16" s="14">
        <f>IF(COUNT(I16:P16)=0,"",SUM(I16:P16))</f>
        <v/>
      </c>
      <c r="R16" t="inlineStr"/>
    </row>
    <row r="17">
      <c r="A17" t="inlineStr">
        <is>
          <t>배영초등학교</t>
        </is>
      </c>
      <c r="B17" t="inlineStr">
        <is>
          <t>초등학교</t>
        </is>
      </c>
      <c r="C17" t="inlineStr">
        <is>
          <t>공립</t>
        </is>
      </c>
      <c r="D17" t="inlineStr">
        <is>
          <t>강서구</t>
        </is>
      </c>
      <c r="E17" t="inlineStr">
        <is>
          <t>부산광역시 강서구 공항로339번길 260</t>
        </is>
      </c>
      <c r="F17" s="11" t="inlineStr">
        <is>
          <t>http://baeyeong.es.kr</t>
        </is>
      </c>
      <c r="G17" t="inlineStr">
        <is>
          <t>051-971-4428</t>
        </is>
      </c>
      <c r="H17" t="inlineStr">
        <is>
          <t>2026</t>
        </is>
      </c>
      <c r="I17" s="15" t="n">
        <v>4</v>
      </c>
      <c r="J17" s="15" t="n">
        <v>2</v>
      </c>
      <c r="K17" s="15" t="n">
        <v>2</v>
      </c>
      <c r="L17" s="15" t="n">
        <v>7</v>
      </c>
      <c r="M17" s="15" t="n">
        <v>3</v>
      </c>
      <c r="N17" s="15" t="n">
        <v>9</v>
      </c>
      <c r="O17" s="15" t="n">
        <v>6</v>
      </c>
      <c r="P17" s="15" t="n">
        <v>0</v>
      </c>
      <c r="Q17" s="14">
        <f>IF(COUNT(I17:P17)=0,"",SUM(I17:P17))</f>
        <v/>
      </c>
      <c r="R17" t="inlineStr"/>
    </row>
    <row r="18">
      <c r="A18" t="inlineStr">
        <is>
          <t>송정초등학교</t>
        </is>
      </c>
      <c r="B18" t="inlineStr">
        <is>
          <t>초등학교</t>
        </is>
      </c>
      <c r="C18" t="inlineStr">
        <is>
          <t>공립</t>
        </is>
      </c>
      <c r="D18" t="inlineStr">
        <is>
          <t>강서구</t>
        </is>
      </c>
      <c r="E18" t="inlineStr">
        <is>
          <t>부산광역시 강서구 신호산단4로 10</t>
        </is>
      </c>
      <c r="F18" s="11" t="inlineStr">
        <is>
          <t>http://pssongjung.es.kr/</t>
        </is>
      </c>
      <c r="G18" t="inlineStr">
        <is>
          <t>051-979-6300</t>
        </is>
      </c>
      <c r="H18" t="inlineStr">
        <is>
          <t>2026</t>
        </is>
      </c>
      <c r="I18" s="15" t="n">
        <v>56</v>
      </c>
      <c r="J18" s="15" t="n">
        <v>87</v>
      </c>
      <c r="K18" s="15" t="n">
        <v>100</v>
      </c>
      <c r="L18" s="15" t="n">
        <v>109</v>
      </c>
      <c r="M18" s="15" t="n">
        <v>131</v>
      </c>
      <c r="N18" s="15" t="n">
        <v>119</v>
      </c>
      <c r="O18" s="15" t="n">
        <v>9</v>
      </c>
      <c r="P18" s="15" t="n">
        <v>0</v>
      </c>
      <c r="Q18" s="14">
        <f>IF(COUNT(I18:P18)=0,"",SUM(I18:P18))</f>
        <v/>
      </c>
      <c r="R18" t="inlineStr"/>
    </row>
    <row r="19">
      <c r="A19" t="inlineStr">
        <is>
          <t>신명초등학교</t>
        </is>
      </c>
      <c r="B19" t="inlineStr">
        <is>
          <t>초등학교</t>
        </is>
      </c>
      <c r="C19" t="inlineStr">
        <is>
          <t>공립</t>
        </is>
      </c>
      <c r="D19" t="inlineStr">
        <is>
          <t>강서구</t>
        </is>
      </c>
      <c r="E19" t="inlineStr">
        <is>
          <t>부산광역시 강서구 명지국제7로 178</t>
        </is>
      </c>
      <c r="F19" s="11" t="inlineStr">
        <is>
          <t>http://bssm.es.kr</t>
        </is>
      </c>
      <c r="G19" t="inlineStr">
        <is>
          <t>051-792-1200</t>
        </is>
      </c>
      <c r="H19" t="inlineStr">
        <is>
          <t>2026</t>
        </is>
      </c>
      <c r="I19" s="15" t="n">
        <v>119</v>
      </c>
      <c r="J19" s="15" t="n">
        <v>156</v>
      </c>
      <c r="K19" s="15" t="n">
        <v>146</v>
      </c>
      <c r="L19" s="15" t="n">
        <v>178</v>
      </c>
      <c r="M19" s="15" t="n">
        <v>191</v>
      </c>
      <c r="N19" s="15" t="n">
        <v>184</v>
      </c>
      <c r="O19" s="15" t="n">
        <v>12</v>
      </c>
      <c r="P19" s="15" t="n">
        <v>0</v>
      </c>
      <c r="Q19" s="14">
        <f>IF(COUNT(I19:P19)=0,"",SUM(I19:P19))</f>
        <v/>
      </c>
      <c r="R19" t="inlineStr"/>
    </row>
    <row r="20">
      <c r="A20" t="inlineStr">
        <is>
          <t>신호초등학교</t>
        </is>
      </c>
      <c r="B20" t="inlineStr">
        <is>
          <t>초등학교</t>
        </is>
      </c>
      <c r="C20" t="inlineStr">
        <is>
          <t>공립</t>
        </is>
      </c>
      <c r="D20" t="inlineStr">
        <is>
          <t>강서구</t>
        </is>
      </c>
      <c r="E20" t="inlineStr">
        <is>
          <t>부산광역시 강서구 신호이로75번길 12</t>
        </is>
      </c>
      <c r="F20" s="11" t="inlineStr">
        <is>
          <t>http://www.shinho.es.kr</t>
        </is>
      </c>
      <c r="G20" t="inlineStr">
        <is>
          <t>051-9746-800</t>
        </is>
      </c>
      <c r="H20" t="inlineStr">
        <is>
          <t>2026</t>
        </is>
      </c>
      <c r="I20" s="15" t="n">
        <v>41</v>
      </c>
      <c r="J20" s="15" t="n">
        <v>45</v>
      </c>
      <c r="K20" s="15" t="n">
        <v>53</v>
      </c>
      <c r="L20" s="15" t="n">
        <v>69</v>
      </c>
      <c r="M20" s="15" t="n">
        <v>66</v>
      </c>
      <c r="N20" s="15" t="n">
        <v>82</v>
      </c>
      <c r="O20" s="15" t="n">
        <v>4</v>
      </c>
      <c r="P20" s="15" t="n">
        <v>0</v>
      </c>
      <c r="Q20" s="14">
        <f>IF(COUNT(I20:P20)=0,"",SUM(I20:P20))</f>
        <v/>
      </c>
      <c r="R20" t="inlineStr"/>
    </row>
    <row r="21">
      <c r="A21" t="inlineStr">
        <is>
          <t>오션초등학교</t>
        </is>
      </c>
      <c r="B21" t="inlineStr">
        <is>
          <t>초등학교</t>
        </is>
      </c>
      <c r="C21" t="inlineStr">
        <is>
          <t>공립</t>
        </is>
      </c>
      <c r="D21" t="inlineStr">
        <is>
          <t>강서구</t>
        </is>
      </c>
      <c r="E21" t="inlineStr">
        <is>
          <t>부산광역시 강서구 명지오션시티6로 72</t>
        </is>
      </c>
      <c r="F21" s="11" t="inlineStr">
        <is>
          <t>http://ocean.es.kr</t>
        </is>
      </c>
      <c r="G21" t="inlineStr">
        <is>
          <t>051-220-7200</t>
        </is>
      </c>
      <c r="H21" t="inlineStr">
        <is>
          <t>2026</t>
        </is>
      </c>
      <c r="I21" s="15" t="n">
        <v>80</v>
      </c>
      <c r="J21" s="15" t="n">
        <v>127</v>
      </c>
      <c r="K21" s="15" t="n">
        <v>126</v>
      </c>
      <c r="L21" s="15" t="n">
        <v>160</v>
      </c>
      <c r="M21" s="15" t="n">
        <v>196</v>
      </c>
      <c r="N21" s="15" t="n">
        <v>184</v>
      </c>
      <c r="O21" s="15" t="n">
        <v>10</v>
      </c>
      <c r="P21" s="15" t="n">
        <v>0</v>
      </c>
      <c r="Q21" s="14">
        <f>IF(COUNT(I21:P21)=0,"",SUM(I21:P21))</f>
        <v/>
      </c>
      <c r="R21" t="inlineStr"/>
    </row>
    <row r="22">
      <c r="A22" t="inlineStr">
        <is>
          <t>천가초등학교</t>
        </is>
      </c>
      <c r="B22" t="inlineStr">
        <is>
          <t>초등학교</t>
        </is>
      </c>
      <c r="C22" t="inlineStr">
        <is>
          <t>공립</t>
        </is>
      </c>
      <c r="D22" t="inlineStr">
        <is>
          <t>강서구</t>
        </is>
      </c>
      <c r="E22" t="inlineStr">
        <is>
          <t>부산광역시 강서구 동선길 135</t>
        </is>
      </c>
      <c r="F22" s="11" t="inlineStr">
        <is>
          <t>http://www.chunga.es.kr</t>
        </is>
      </c>
      <c r="G22" t="inlineStr">
        <is>
          <t>051-972-7008</t>
        </is>
      </c>
      <c r="H22" t="inlineStr">
        <is>
          <t>2026</t>
        </is>
      </c>
      <c r="I22" s="15" t="n">
        <v>2</v>
      </c>
      <c r="J22" s="15" t="n">
        <v>5</v>
      </c>
      <c r="K22" s="15" t="n">
        <v>5</v>
      </c>
      <c r="L22" s="15" t="n">
        <v>9</v>
      </c>
      <c r="M22" s="15" t="n">
        <v>8</v>
      </c>
      <c r="N22" s="15" t="n">
        <v>11</v>
      </c>
      <c r="O22" s="15" t="n">
        <v>2</v>
      </c>
      <c r="P22" s="15" t="n">
        <v>0</v>
      </c>
      <c r="Q22" s="14">
        <f>IF(COUNT(I22:P22)=0,"",SUM(I22:P22))</f>
        <v/>
      </c>
      <c r="R22" t="inlineStr"/>
    </row>
    <row r="23">
      <c r="A23" t="inlineStr">
        <is>
          <t>공덕초등학교</t>
        </is>
      </c>
      <c r="B23" t="inlineStr">
        <is>
          <t>초등학교</t>
        </is>
      </c>
      <c r="C23" t="inlineStr">
        <is>
          <t>공립</t>
        </is>
      </c>
      <c r="D23" t="inlineStr">
        <is>
          <t>금정구</t>
        </is>
      </c>
      <c r="E23" t="inlineStr">
        <is>
          <t>부산광역시 금정구 대두로 2</t>
        </is>
      </c>
      <c r="F23" s="11" t="inlineStr">
        <is>
          <t>http://www.kongduk.es.kr</t>
        </is>
      </c>
      <c r="G23" t="inlineStr">
        <is>
          <t>051-508-2362</t>
        </is>
      </c>
      <c r="H23" t="inlineStr">
        <is>
          <t>2026</t>
        </is>
      </c>
      <c r="I23" s="15" t="n">
        <v>6</v>
      </c>
      <c r="J23" s="15" t="n">
        <v>3</v>
      </c>
      <c r="K23" s="15" t="n">
        <v>5</v>
      </c>
      <c r="L23" s="15" t="n">
        <v>6</v>
      </c>
      <c r="M23" s="15" t="n">
        <v>13</v>
      </c>
      <c r="N23" s="15" t="n">
        <v>5</v>
      </c>
      <c r="O23" s="15" t="n">
        <v>2</v>
      </c>
      <c r="P23" s="15" t="n">
        <v>0</v>
      </c>
      <c r="Q23" s="14">
        <f>IF(COUNT(I23:P23)=0,"",SUM(I23:P23))</f>
        <v/>
      </c>
      <c r="R23" t="inlineStr"/>
    </row>
    <row r="24">
      <c r="A24" t="inlineStr">
        <is>
          <t>구서초등학교</t>
        </is>
      </c>
      <c r="B24" t="inlineStr">
        <is>
          <t>초등학교</t>
        </is>
      </c>
      <c r="C24" t="inlineStr">
        <is>
          <t>공립</t>
        </is>
      </c>
      <c r="D24" t="inlineStr">
        <is>
          <t>금정구</t>
        </is>
      </c>
      <c r="E24" t="inlineStr">
        <is>
          <t>부산광역시 금정구 구서중앙로 35</t>
        </is>
      </c>
      <c r="F24" s="11" t="inlineStr">
        <is>
          <t>http://www.kuseo.es.kr</t>
        </is>
      </c>
      <c r="G24" t="inlineStr">
        <is>
          <t>051-516-2994</t>
        </is>
      </c>
      <c r="H24" t="inlineStr">
        <is>
          <t>2026</t>
        </is>
      </c>
      <c r="I24" s="15" t="n">
        <v>46</v>
      </c>
      <c r="J24" s="15" t="n">
        <v>43</v>
      </c>
      <c r="K24" s="15" t="n">
        <v>55</v>
      </c>
      <c r="L24" s="15" t="n">
        <v>68</v>
      </c>
      <c r="M24" s="15" t="n">
        <v>106</v>
      </c>
      <c r="N24" s="15" t="n">
        <v>90</v>
      </c>
      <c r="O24" s="15" t="n">
        <v>6</v>
      </c>
      <c r="P24" s="15" t="n">
        <v>0</v>
      </c>
      <c r="Q24" s="14">
        <f>IF(COUNT(I24:P24)=0,"",SUM(I24:P24))</f>
        <v/>
      </c>
      <c r="R24" t="inlineStr"/>
    </row>
    <row r="25">
      <c r="A25" t="inlineStr">
        <is>
          <t>금빛초등학교</t>
        </is>
      </c>
      <c r="B25" t="inlineStr">
        <is>
          <t>초등학교</t>
        </is>
      </c>
      <c r="C25" t="inlineStr">
        <is>
          <t>공립</t>
        </is>
      </c>
      <c r="D25" t="inlineStr">
        <is>
          <t>금정구</t>
        </is>
      </c>
      <c r="E25" t="inlineStr">
        <is>
          <t>부산광역시 금정구 소정로 31</t>
        </is>
      </c>
      <c r="F25" s="11" t="inlineStr">
        <is>
          <t>http://www.gbit.es.kr</t>
        </is>
      </c>
      <c r="G25" t="inlineStr">
        <is>
          <t>051-719-8300</t>
        </is>
      </c>
      <c r="H25" t="inlineStr">
        <is>
          <t>2026</t>
        </is>
      </c>
      <c r="I25" s="15" t="n">
        <v>77</v>
      </c>
      <c r="J25" s="15" t="n">
        <v>97</v>
      </c>
      <c r="K25" s="15" t="n">
        <v>116</v>
      </c>
      <c r="L25" s="15" t="n">
        <v>106</v>
      </c>
      <c r="M25" s="15" t="n">
        <v>131</v>
      </c>
      <c r="N25" s="15" t="n">
        <v>111</v>
      </c>
      <c r="O25" s="15" t="n">
        <v>14</v>
      </c>
      <c r="P25" s="15" t="n">
        <v>0</v>
      </c>
      <c r="Q25" s="14">
        <f>IF(COUNT(I25:P25)=0,"",SUM(I25:P25))</f>
        <v/>
      </c>
      <c r="R25" t="inlineStr"/>
    </row>
    <row r="26">
      <c r="A26" t="inlineStr">
        <is>
          <t>금사초등학교</t>
        </is>
      </c>
      <c r="B26" t="inlineStr">
        <is>
          <t>초등학교</t>
        </is>
      </c>
      <c r="C26" t="inlineStr">
        <is>
          <t>공립</t>
        </is>
      </c>
      <c r="D26" t="inlineStr">
        <is>
          <t>금정구</t>
        </is>
      </c>
      <c r="E26" t="inlineStr">
        <is>
          <t>부산광역시 금정구 금사로57번길 24</t>
        </is>
      </c>
      <c r="F26" s="11" t="inlineStr">
        <is>
          <t>http://www.kumsa.es.kr</t>
        </is>
      </c>
      <c r="G26" t="inlineStr">
        <is>
          <t>051-531-3594</t>
        </is>
      </c>
      <c r="H26" t="inlineStr">
        <is>
          <t>2026</t>
        </is>
      </c>
      <c r="I26" s="15" t="n">
        <v>33</v>
      </c>
      <c r="J26" s="15" t="n">
        <v>35</v>
      </c>
      <c r="K26" s="15" t="n">
        <v>36</v>
      </c>
      <c r="L26" s="15" t="n">
        <v>35</v>
      </c>
      <c r="M26" s="15" t="n">
        <v>57</v>
      </c>
      <c r="N26" s="15" t="n">
        <v>37</v>
      </c>
      <c r="O26" s="15" t="n">
        <v>9</v>
      </c>
      <c r="P26" s="15" t="n">
        <v>0</v>
      </c>
      <c r="Q26" s="14">
        <f>IF(COUNT(I26:P26)=0,"",SUM(I26:P26))</f>
        <v/>
      </c>
      <c r="R26" t="inlineStr"/>
    </row>
    <row r="27">
      <c r="A27" t="inlineStr">
        <is>
          <t>금샘초등학교</t>
        </is>
      </c>
      <c r="B27" t="inlineStr">
        <is>
          <t>초등학교</t>
        </is>
      </c>
      <c r="C27" t="inlineStr">
        <is>
          <t>공립</t>
        </is>
      </c>
      <c r="D27" t="inlineStr">
        <is>
          <t>금정구</t>
        </is>
      </c>
      <c r="E27" t="inlineStr">
        <is>
          <t>부산광역시 금정구 금샘로 525</t>
        </is>
      </c>
      <c r="F27" s="11" t="inlineStr">
        <is>
          <t>http://www.geumsaem.es.kr</t>
        </is>
      </c>
      <c r="G27" t="inlineStr">
        <is>
          <t>051-519-0800</t>
        </is>
      </c>
      <c r="H27" t="inlineStr">
        <is>
          <t>2026</t>
        </is>
      </c>
      <c r="I27" s="15" t="n">
        <v>11</v>
      </c>
      <c r="J27" s="15" t="n">
        <v>18</v>
      </c>
      <c r="K27" s="15" t="n">
        <v>19</v>
      </c>
      <c r="L27" s="15" t="n">
        <v>26</v>
      </c>
      <c r="M27" s="15" t="n">
        <v>30</v>
      </c>
      <c r="N27" s="15" t="n">
        <v>20</v>
      </c>
      <c r="O27" s="15" t="n">
        <v>9</v>
      </c>
      <c r="P27" s="15" t="n">
        <v>0</v>
      </c>
      <c r="Q27" s="14">
        <f>IF(COUNT(I27:P27)=0,"",SUM(I27:P27))</f>
        <v/>
      </c>
      <c r="R27" t="inlineStr"/>
    </row>
    <row r="28">
      <c r="A28" t="inlineStr">
        <is>
          <t>금성초등학교</t>
        </is>
      </c>
      <c r="B28" t="inlineStr">
        <is>
          <t>초등학교</t>
        </is>
      </c>
      <c r="C28" t="inlineStr">
        <is>
          <t>공립</t>
        </is>
      </c>
      <c r="D28" t="inlineStr">
        <is>
          <t>금정구</t>
        </is>
      </c>
      <c r="E28" t="inlineStr">
        <is>
          <t>부산광역시 금정구 중리1길 15</t>
        </is>
      </c>
      <c r="F28" s="11" t="inlineStr">
        <is>
          <t>http://school.busanedu.net/gumseang-e</t>
        </is>
      </c>
      <c r="G28" t="inlineStr">
        <is>
          <t>051-517-5400</t>
        </is>
      </c>
      <c r="H28" t="inlineStr">
        <is>
          <t>2026</t>
        </is>
      </c>
      <c r="I28" s="15" t="n">
        <v>14</v>
      </c>
      <c r="J28" s="15" t="n">
        <v>3</v>
      </c>
      <c r="K28" s="15" t="n">
        <v>9</v>
      </c>
      <c r="L28" s="15" t="n">
        <v>3</v>
      </c>
      <c r="M28" s="15" t="n">
        <v>13</v>
      </c>
      <c r="N28" s="15" t="n">
        <v>4</v>
      </c>
      <c r="O28" s="15" t="n">
        <v>2</v>
      </c>
      <c r="P28" s="15" t="n">
        <v>0</v>
      </c>
      <c r="Q28" s="14">
        <f>IF(COUNT(I28:P28)=0,"",SUM(I28:P28))</f>
        <v/>
      </c>
      <c r="R28" t="inlineStr"/>
    </row>
    <row r="29">
      <c r="A29" t="inlineStr">
        <is>
          <t>금양초등학교</t>
        </is>
      </c>
      <c r="B29" t="inlineStr">
        <is>
          <t>초등학교</t>
        </is>
      </c>
      <c r="C29" t="inlineStr">
        <is>
          <t>공립</t>
        </is>
      </c>
      <c r="D29" t="inlineStr">
        <is>
          <t>금정구</t>
        </is>
      </c>
      <c r="E29" t="inlineStr">
        <is>
          <t>부산광역시 금정구 중앙대로 1755</t>
        </is>
      </c>
      <c r="F29" s="11" t="inlineStr">
        <is>
          <t>http://www.kumyang.es.kr</t>
        </is>
      </c>
      <c r="G29" t="inlineStr">
        <is>
          <t>051-550-0400</t>
        </is>
      </c>
      <c r="H29" t="inlineStr">
        <is>
          <t>2026</t>
        </is>
      </c>
      <c r="I29" s="15" t="n">
        <v>73</v>
      </c>
      <c r="J29" s="15" t="n">
        <v>78</v>
      </c>
      <c r="K29" s="15" t="n">
        <v>86</v>
      </c>
      <c r="L29" s="15" t="n">
        <v>98</v>
      </c>
      <c r="M29" s="15" t="n">
        <v>105</v>
      </c>
      <c r="N29" s="15" t="n">
        <v>130</v>
      </c>
      <c r="O29" s="15" t="n">
        <v>13</v>
      </c>
      <c r="P29" s="15" t="n">
        <v>0</v>
      </c>
      <c r="Q29" s="14">
        <f>IF(COUNT(I29:P29)=0,"",SUM(I29:P29))</f>
        <v/>
      </c>
      <c r="R29" t="inlineStr"/>
    </row>
    <row r="30">
      <c r="A30" t="inlineStr">
        <is>
          <t>금정초등학교</t>
        </is>
      </c>
      <c r="B30" t="inlineStr">
        <is>
          <t>초등학교</t>
        </is>
      </c>
      <c r="C30" t="inlineStr">
        <is>
          <t>공립</t>
        </is>
      </c>
      <c r="D30" t="inlineStr">
        <is>
          <t>금정구</t>
        </is>
      </c>
      <c r="E30" t="inlineStr">
        <is>
          <t>부산광역시 금정구 식물원로44번길 46</t>
        </is>
      </c>
      <c r="F30" s="11" t="inlineStr">
        <is>
          <t>http://www.gumjeong.es.kr</t>
        </is>
      </c>
      <c r="G30" t="inlineStr">
        <is>
          <t>051-719-5400</t>
        </is>
      </c>
      <c r="H30" t="inlineStr">
        <is>
          <t>2026</t>
        </is>
      </c>
      <c r="I30" s="15" t="n">
        <v>214</v>
      </c>
      <c r="J30" s="15" t="n">
        <v>221</v>
      </c>
      <c r="K30" s="15" t="n">
        <v>209</v>
      </c>
      <c r="L30" s="15" t="n">
        <v>209</v>
      </c>
      <c r="M30" s="15" t="n">
        <v>246</v>
      </c>
      <c r="N30" s="15" t="n">
        <v>212</v>
      </c>
      <c r="O30" s="15" t="n">
        <v>14</v>
      </c>
      <c r="P30" s="15" t="n">
        <v>0</v>
      </c>
      <c r="Q30" s="14">
        <f>IF(COUNT(I30:P30)=0,"",SUM(I30:P30))</f>
        <v/>
      </c>
      <c r="R30" t="inlineStr"/>
    </row>
    <row r="31">
      <c r="A31" t="inlineStr">
        <is>
          <t>남산초등학교</t>
        </is>
      </c>
      <c r="B31" t="inlineStr">
        <is>
          <t>초등학교</t>
        </is>
      </c>
      <c r="C31" t="inlineStr">
        <is>
          <t>공립</t>
        </is>
      </c>
      <c r="D31" t="inlineStr">
        <is>
          <t>금정구</t>
        </is>
      </c>
      <c r="E31" t="inlineStr">
        <is>
          <t>부산광역시 금정구 금강로 614</t>
        </is>
      </c>
      <c r="F31" s="11" t="inlineStr">
        <is>
          <t>http://www.pusannamsan.es.kr</t>
        </is>
      </c>
      <c r="G31" t="inlineStr">
        <is>
          <t>051-550-5100</t>
        </is>
      </c>
      <c r="H31" t="inlineStr">
        <is>
          <t>2026</t>
        </is>
      </c>
      <c r="I31" s="15" t="n">
        <v>33</v>
      </c>
      <c r="J31" s="15" t="n">
        <v>35</v>
      </c>
      <c r="K31" s="15" t="n">
        <v>46</v>
      </c>
      <c r="L31" s="15" t="n">
        <v>57</v>
      </c>
      <c r="M31" s="15" t="n">
        <v>61</v>
      </c>
      <c r="N31" s="15" t="n">
        <v>85</v>
      </c>
      <c r="O31" s="15" t="n">
        <v>7</v>
      </c>
      <c r="P31" s="15" t="n">
        <v>0</v>
      </c>
      <c r="Q31" s="14">
        <f>IF(COUNT(I31:P31)=0,"",SUM(I31:P31))</f>
        <v/>
      </c>
      <c r="R31" t="inlineStr"/>
    </row>
    <row r="32">
      <c r="A32" t="inlineStr">
        <is>
          <t>동래초등학교</t>
        </is>
      </c>
      <c r="B32" t="inlineStr">
        <is>
          <t>초등학교</t>
        </is>
      </c>
      <c r="C32" t="inlineStr">
        <is>
          <t>사립</t>
        </is>
      </c>
      <c r="D32" t="inlineStr">
        <is>
          <t>금정구</t>
        </is>
      </c>
      <c r="E32" t="inlineStr">
        <is>
          <t>부산광역시 금정구 체육공원로44번길 26</t>
        </is>
      </c>
      <c r="F32" s="11" t="inlineStr">
        <is>
          <t>http://www.dongrae.es.kr/</t>
        </is>
      </c>
      <c r="G32" t="inlineStr">
        <is>
          <t>051-581-0901</t>
        </is>
      </c>
      <c r="H32" t="inlineStr">
        <is>
          <t>2026</t>
        </is>
      </c>
      <c r="I32" s="15" t="n">
        <v>112</v>
      </c>
      <c r="J32" s="15" t="n">
        <v>109</v>
      </c>
      <c r="K32" s="15" t="n">
        <v>109</v>
      </c>
      <c r="L32" s="15" t="n">
        <v>101</v>
      </c>
      <c r="M32" s="15" t="n">
        <v>97</v>
      </c>
      <c r="N32" s="15" t="n">
        <v>89</v>
      </c>
      <c r="O32" s="15" t="n">
        <v>0</v>
      </c>
      <c r="P32" s="15" t="n">
        <v>0</v>
      </c>
      <c r="Q32" s="14">
        <f>IF(COUNT(I32:P32)=0,"",SUM(I32:P32))</f>
        <v/>
      </c>
      <c r="R32" t="inlineStr"/>
    </row>
    <row r="33">
      <c r="A33" t="inlineStr">
        <is>
          <t>동상초등학교</t>
        </is>
      </c>
      <c r="B33" t="inlineStr">
        <is>
          <t>초등학교</t>
        </is>
      </c>
      <c r="C33" t="inlineStr">
        <is>
          <t>공립</t>
        </is>
      </c>
      <c r="D33" t="inlineStr">
        <is>
          <t>금정구</t>
        </is>
      </c>
      <c r="E33" t="inlineStr">
        <is>
          <t>부산광역시 금정구 옥봉로 5</t>
        </is>
      </c>
      <c r="F33" s="11" t="inlineStr">
        <is>
          <t>http://dongsang.es.kr</t>
        </is>
      </c>
      <c r="G33" t="inlineStr">
        <is>
          <t>051-923-6500</t>
        </is>
      </c>
      <c r="H33" t="inlineStr">
        <is>
          <t>2026</t>
        </is>
      </c>
      <c r="I33" s="15" t="n">
        <v>10</v>
      </c>
      <c r="J33" s="15" t="n">
        <v>10</v>
      </c>
      <c r="K33" s="15" t="n">
        <v>14</v>
      </c>
      <c r="L33" s="15" t="n">
        <v>12</v>
      </c>
      <c r="M33" s="15" t="n">
        <v>21</v>
      </c>
      <c r="N33" s="15" t="n">
        <v>21</v>
      </c>
      <c r="O33" s="15" t="n">
        <v>3</v>
      </c>
      <c r="P33" s="15" t="n">
        <v>0</v>
      </c>
      <c r="Q33" s="14">
        <f>IF(COUNT(I33:P33)=0,"",SUM(I33:P33))</f>
        <v/>
      </c>
      <c r="R33" t="inlineStr"/>
    </row>
    <row r="34">
      <c r="A34" t="inlineStr">
        <is>
          <t>동현초등학교</t>
        </is>
      </c>
      <c r="B34" t="inlineStr">
        <is>
          <t>초등학교</t>
        </is>
      </c>
      <c r="C34" t="inlineStr">
        <is>
          <t>공립</t>
        </is>
      </c>
      <c r="D34" t="inlineStr">
        <is>
          <t>금정구</t>
        </is>
      </c>
      <c r="E34" t="inlineStr">
        <is>
          <t>부산광역시 금정구 동현로 36</t>
        </is>
      </c>
      <c r="F34" s="11" t="inlineStr">
        <is>
          <t>http://bs-donghyun.es.kr</t>
        </is>
      </c>
      <c r="G34" t="inlineStr">
        <is>
          <t>051-960-5700</t>
        </is>
      </c>
      <c r="H34" t="inlineStr">
        <is>
          <t>2026</t>
        </is>
      </c>
      <c r="I34" s="15" t="n">
        <v>23</v>
      </c>
      <c r="J34" s="15" t="n">
        <v>38</v>
      </c>
      <c r="K34" s="15" t="n">
        <v>41</v>
      </c>
      <c r="L34" s="15" t="n">
        <v>55</v>
      </c>
      <c r="M34" s="15" t="n">
        <v>37</v>
      </c>
      <c r="N34" s="15" t="n">
        <v>57</v>
      </c>
      <c r="O34" s="15" t="n">
        <v>6</v>
      </c>
      <c r="P34" s="15" t="n">
        <v>0</v>
      </c>
      <c r="Q34" s="14">
        <f>IF(COUNT(I34:P34)=0,"",SUM(I34:P34))</f>
        <v/>
      </c>
      <c r="R34" t="inlineStr"/>
    </row>
    <row r="35">
      <c r="A35" t="inlineStr">
        <is>
          <t>두실초등학교</t>
        </is>
      </c>
      <c r="B35" t="inlineStr">
        <is>
          <t>초등학교</t>
        </is>
      </c>
      <c r="C35" t="inlineStr">
        <is>
          <t>공립</t>
        </is>
      </c>
      <c r="D35" t="inlineStr">
        <is>
          <t>금정구</t>
        </is>
      </c>
      <c r="E35" t="inlineStr">
        <is>
          <t>부산광역시 금정구 중앙대로1893번길 33</t>
        </is>
      </c>
      <c r="F35" s="11" t="inlineStr">
        <is>
          <t>http://www.dusil.es.kr</t>
        </is>
      </c>
      <c r="G35" t="inlineStr">
        <is>
          <t>051-580-0400</t>
        </is>
      </c>
      <c r="H35" t="inlineStr">
        <is>
          <t>2026</t>
        </is>
      </c>
      <c r="I35" s="15" t="n">
        <v>88</v>
      </c>
      <c r="J35" s="15" t="n">
        <v>90</v>
      </c>
      <c r="K35" s="15" t="n">
        <v>128</v>
      </c>
      <c r="L35" s="15" t="n">
        <v>130</v>
      </c>
      <c r="M35" s="15" t="n">
        <v>127</v>
      </c>
      <c r="N35" s="15" t="n">
        <v>126</v>
      </c>
      <c r="O35" s="15" t="n">
        <v>5</v>
      </c>
      <c r="P35" s="15" t="n">
        <v>0</v>
      </c>
      <c r="Q35" s="14">
        <f>IF(COUNT(I35:P35)=0,"",SUM(I35:P35))</f>
        <v/>
      </c>
      <c r="R35" t="inlineStr"/>
    </row>
    <row r="36">
      <c r="A36" t="inlineStr">
        <is>
          <t>부곡초등학교</t>
        </is>
      </c>
      <c r="B36" t="inlineStr">
        <is>
          <t>초등학교</t>
        </is>
      </c>
      <c r="C36" t="inlineStr">
        <is>
          <t>공립</t>
        </is>
      </c>
      <c r="D36" t="inlineStr">
        <is>
          <t>금정구</t>
        </is>
      </c>
      <c r="E36" t="inlineStr">
        <is>
          <t>부산광역시 금정구 기찰로22번길 15</t>
        </is>
      </c>
      <c r="F36" s="11" t="inlineStr">
        <is>
          <t>http://www.pugok.es.kr</t>
        </is>
      </c>
      <c r="G36" t="inlineStr">
        <is>
          <t>051-580-4800</t>
        </is>
      </c>
      <c r="H36" t="inlineStr">
        <is>
          <t>2026</t>
        </is>
      </c>
      <c r="I36" s="15" t="n">
        <v>53</v>
      </c>
      <c r="J36" s="15" t="n">
        <v>65</v>
      </c>
      <c r="K36" s="15" t="n">
        <v>69</v>
      </c>
      <c r="L36" s="15" t="n">
        <v>73</v>
      </c>
      <c r="M36" s="15" t="n">
        <v>82</v>
      </c>
      <c r="N36" s="15" t="n">
        <v>72</v>
      </c>
      <c r="O36" s="15" t="n">
        <v>7</v>
      </c>
      <c r="P36" s="15" t="n">
        <v>0</v>
      </c>
      <c r="Q36" s="14">
        <f>IF(COUNT(I36:P36)=0,"",SUM(I36:P36))</f>
        <v/>
      </c>
      <c r="R36" t="inlineStr"/>
    </row>
    <row r="37">
      <c r="A37" t="inlineStr">
        <is>
          <t>부산삼육초등학교</t>
        </is>
      </c>
      <c r="B37" t="inlineStr">
        <is>
          <t>초등학교</t>
        </is>
      </c>
      <c r="C37" t="inlineStr">
        <is>
          <t>사립</t>
        </is>
      </c>
      <c r="D37" t="inlineStr">
        <is>
          <t>금정구</t>
        </is>
      </c>
      <c r="E37" t="inlineStr">
        <is>
          <t>부산광역시 금정구 금정도서관로 17</t>
        </is>
      </c>
      <c r="F37" s="11" t="inlineStr">
        <is>
          <t>https://school.busanedu.net/bs36-e/main.do</t>
        </is>
      </c>
      <c r="G37" t="inlineStr">
        <is>
          <t>051-442-3691</t>
        </is>
      </c>
      <c r="H37" t="inlineStr">
        <is>
          <t>2026</t>
        </is>
      </c>
      <c r="I37" s="15" t="n">
        <v>60</v>
      </c>
      <c r="J37" s="15" t="n">
        <v>60</v>
      </c>
      <c r="K37" s="15" t="n">
        <v>60</v>
      </c>
      <c r="L37" s="15" t="n">
        <v>60</v>
      </c>
      <c r="M37" s="15" t="n">
        <v>53</v>
      </c>
      <c r="N37" s="15" t="n">
        <v>58</v>
      </c>
      <c r="O37" s="15" t="n">
        <v>0</v>
      </c>
      <c r="P37" s="15" t="n">
        <v>0</v>
      </c>
      <c r="Q37" s="14">
        <f>IF(COUNT(I37:P37)=0,"",SUM(I37:P37))</f>
        <v/>
      </c>
      <c r="R37" t="inlineStr"/>
    </row>
    <row r="38">
      <c r="A38" t="inlineStr">
        <is>
          <t>서동초등학교</t>
        </is>
      </c>
      <c r="B38" t="inlineStr">
        <is>
          <t>초등학교</t>
        </is>
      </c>
      <c r="C38" t="inlineStr">
        <is>
          <t>공립</t>
        </is>
      </c>
      <c r="D38" t="inlineStr">
        <is>
          <t>금정구</t>
        </is>
      </c>
      <c r="E38" t="inlineStr">
        <is>
          <t>부산광역시 금정구 동현로 147</t>
        </is>
      </c>
      <c r="F38" s="11" t="inlineStr">
        <is>
          <t>http://www.seodong.es.kr</t>
        </is>
      </c>
      <c r="G38" t="inlineStr">
        <is>
          <t>051-985-3200</t>
        </is>
      </c>
      <c r="H38" t="inlineStr">
        <is>
          <t>2026</t>
        </is>
      </c>
      <c r="I38" s="15" t="n">
        <v>5</v>
      </c>
      <c r="J38" s="15" t="n">
        <v>8</v>
      </c>
      <c r="K38" s="15" t="n">
        <v>15</v>
      </c>
      <c r="L38" s="15" t="n">
        <v>6</v>
      </c>
      <c r="M38" s="15" t="n">
        <v>11</v>
      </c>
      <c r="N38" s="15" t="n">
        <v>16</v>
      </c>
      <c r="O38" s="15" t="n">
        <v>1</v>
      </c>
      <c r="P38" s="15" t="n">
        <v>0</v>
      </c>
      <c r="Q38" s="14">
        <f>IF(COUNT(I38:P38)=0,"",SUM(I38:P38))</f>
        <v/>
      </c>
      <c r="R38" t="inlineStr"/>
    </row>
    <row r="39">
      <c r="A39" t="inlineStr">
        <is>
          <t>서명초등학교</t>
        </is>
      </c>
      <c r="B39" t="inlineStr">
        <is>
          <t>초등학교</t>
        </is>
      </c>
      <c r="C39" t="inlineStr">
        <is>
          <t>공립</t>
        </is>
      </c>
      <c r="D39" t="inlineStr">
        <is>
          <t>금정구</t>
        </is>
      </c>
      <c r="E39" t="inlineStr">
        <is>
          <t>부산광역시 금정구 명서로 48</t>
        </is>
      </c>
      <c r="F39" s="11" t="inlineStr">
        <is>
          <t>http://www.seomyeong.es.kr</t>
        </is>
      </c>
      <c r="G39" t="inlineStr">
        <is>
          <t>051-520-5300</t>
        </is>
      </c>
      <c r="H39" t="inlineStr">
        <is>
          <t>2026</t>
        </is>
      </c>
      <c r="I39" s="15" t="n">
        <v>2</v>
      </c>
      <c r="J39" s="15" t="n">
        <v>3</v>
      </c>
      <c r="K39" s="15" t="n">
        <v>4</v>
      </c>
      <c r="L39" s="15" t="n">
        <v>2</v>
      </c>
      <c r="M39" s="15" t="n">
        <v>9</v>
      </c>
      <c r="N39" s="15" t="n">
        <v>2</v>
      </c>
      <c r="O39" s="15" t="n">
        <v>5</v>
      </c>
      <c r="P39" s="15" t="n">
        <v>0</v>
      </c>
      <c r="Q39" s="14">
        <f>IF(COUNT(I39:P39)=0,"",SUM(I39:P39))</f>
        <v/>
      </c>
      <c r="R39" t="inlineStr"/>
    </row>
    <row r="40">
      <c r="A40" t="inlineStr">
        <is>
          <t>장서초등학교</t>
        </is>
      </c>
      <c r="B40" t="inlineStr">
        <is>
          <t>초등학교</t>
        </is>
      </c>
      <c r="C40" t="inlineStr">
        <is>
          <t>공립</t>
        </is>
      </c>
      <c r="D40" t="inlineStr">
        <is>
          <t>금정구</t>
        </is>
      </c>
      <c r="E40" t="inlineStr">
        <is>
          <t>부산광역시 금정구 금강로 453</t>
        </is>
      </c>
      <c r="F40" s="11" t="inlineStr">
        <is>
          <t>http://www.jangseo.es.kr/</t>
        </is>
      </c>
      <c r="G40" t="inlineStr">
        <is>
          <t>051-515-3606</t>
        </is>
      </c>
      <c r="H40" t="inlineStr">
        <is>
          <t>2026</t>
        </is>
      </c>
      <c r="I40" s="15" t="n">
        <v>76</v>
      </c>
      <c r="J40" s="15" t="n">
        <v>66</v>
      </c>
      <c r="K40" s="15" t="n">
        <v>88</v>
      </c>
      <c r="L40" s="15" t="n">
        <v>87</v>
      </c>
      <c r="M40" s="15" t="n">
        <v>113</v>
      </c>
      <c r="N40" s="15" t="n">
        <v>115</v>
      </c>
      <c r="O40" s="15" t="n">
        <v>11</v>
      </c>
      <c r="P40" s="15" t="n">
        <v>0</v>
      </c>
      <c r="Q40" s="14">
        <f>IF(COUNT(I40:P40)=0,"",SUM(I40:P40))</f>
        <v/>
      </c>
      <c r="R40" t="inlineStr"/>
    </row>
    <row r="41">
      <c r="A41" t="inlineStr">
        <is>
          <t>장전초등학교</t>
        </is>
      </c>
      <c r="B41" t="inlineStr">
        <is>
          <t>초등학교</t>
        </is>
      </c>
      <c r="C41" t="inlineStr">
        <is>
          <t>공립</t>
        </is>
      </c>
      <c r="D41" t="inlineStr">
        <is>
          <t>금정구</t>
        </is>
      </c>
      <c r="E41" t="inlineStr">
        <is>
          <t>부산광역시 금정구 수림로 90</t>
        </is>
      </c>
      <c r="F41" s="11" t="inlineStr">
        <is>
          <t>http://www.jangjeon.es.kr</t>
        </is>
      </c>
      <c r="G41" t="inlineStr">
        <is>
          <t>051-797-9200</t>
        </is>
      </c>
      <c r="H41" t="inlineStr">
        <is>
          <t>2026</t>
        </is>
      </c>
      <c r="I41" s="15" t="n">
        <v>54</v>
      </c>
      <c r="J41" s="15" t="n">
        <v>44</v>
      </c>
      <c r="K41" s="15" t="n">
        <v>52</v>
      </c>
      <c r="L41" s="15" t="n">
        <v>66</v>
      </c>
      <c r="M41" s="15" t="n">
        <v>87</v>
      </c>
      <c r="N41" s="15" t="n">
        <v>73</v>
      </c>
      <c r="O41" s="15" t="n">
        <v>7</v>
      </c>
      <c r="P41" s="15" t="n">
        <v>0</v>
      </c>
      <c r="Q41" s="14">
        <f>IF(COUNT(I41:P41)=0,"",SUM(I41:P41))</f>
        <v/>
      </c>
      <c r="R41" t="inlineStr"/>
    </row>
    <row r="42">
      <c r="A42" t="inlineStr">
        <is>
          <t>청룡초등학교</t>
        </is>
      </c>
      <c r="B42" t="inlineStr">
        <is>
          <t>초등학교</t>
        </is>
      </c>
      <c r="C42" t="inlineStr">
        <is>
          <t>공립</t>
        </is>
      </c>
      <c r="D42" t="inlineStr">
        <is>
          <t>금정구</t>
        </is>
      </c>
      <c r="E42" t="inlineStr">
        <is>
          <t>부산광역시 금정구 팔송로 6</t>
        </is>
      </c>
      <c r="F42" s="11" t="inlineStr">
        <is>
          <t>http://www.cheongryong.es.kr/</t>
        </is>
      </c>
      <c r="G42" t="inlineStr">
        <is>
          <t>051-580-9303</t>
        </is>
      </c>
      <c r="H42" t="inlineStr">
        <is>
          <t>2026</t>
        </is>
      </c>
      <c r="I42" s="15" t="n">
        <v>28</v>
      </c>
      <c r="J42" s="15" t="n">
        <v>40</v>
      </c>
      <c r="K42" s="15" t="n">
        <v>52</v>
      </c>
      <c r="L42" s="15" t="n">
        <v>54</v>
      </c>
      <c r="M42" s="15" t="n">
        <v>76</v>
      </c>
      <c r="N42" s="15" t="n">
        <v>73</v>
      </c>
      <c r="O42" s="15" t="n">
        <v>12</v>
      </c>
      <c r="P42" s="15" t="n">
        <v>0</v>
      </c>
      <c r="Q42" s="14">
        <f>IF(COUNT(I42:P42)=0,"",SUM(I42:P42))</f>
        <v/>
      </c>
      <c r="R42" t="inlineStr"/>
    </row>
    <row r="43">
      <c r="A43" t="inlineStr">
        <is>
          <t>현곡초등학교</t>
        </is>
      </c>
      <c r="B43" t="inlineStr">
        <is>
          <t>초등학교</t>
        </is>
      </c>
      <c r="C43" t="inlineStr">
        <is>
          <t>공립</t>
        </is>
      </c>
      <c r="D43" t="inlineStr">
        <is>
          <t>금정구</t>
        </is>
      </c>
      <c r="E43" t="inlineStr">
        <is>
          <t>부산광역시 금정구 동부곡로27번라길 20</t>
        </is>
      </c>
      <c r="F43" s="11" t="inlineStr">
        <is>
          <t>https://school.busanedu.net/hyungok-e</t>
        </is>
      </c>
      <c r="G43" t="inlineStr">
        <is>
          <t>051-512-0710∼1</t>
        </is>
      </c>
      <c r="H43" t="inlineStr">
        <is>
          <t>2026</t>
        </is>
      </c>
      <c r="I43" s="15" t="n">
        <v>4</v>
      </c>
      <c r="J43" s="15" t="n">
        <v>10</v>
      </c>
      <c r="K43" s="15" t="n">
        <v>10</v>
      </c>
      <c r="L43" s="15" t="n">
        <v>16</v>
      </c>
      <c r="M43" s="15" t="n">
        <v>18</v>
      </c>
      <c r="N43" s="15" t="n">
        <v>13</v>
      </c>
      <c r="O43" s="15" t="n">
        <v>7</v>
      </c>
      <c r="P43" s="15" t="n">
        <v>0</v>
      </c>
      <c r="Q43" s="14">
        <f>IF(COUNT(I43:P43)=0,"",SUM(I43:P43))</f>
        <v/>
      </c>
      <c r="R43" t="inlineStr"/>
    </row>
    <row r="44">
      <c r="A44" t="inlineStr">
        <is>
          <t>가동초등학교</t>
        </is>
      </c>
      <c r="B44" t="inlineStr">
        <is>
          <t>초등학교</t>
        </is>
      </c>
      <c r="C44" t="inlineStr">
        <is>
          <t>공립</t>
        </is>
      </c>
      <c r="D44" t="inlineStr">
        <is>
          <t>기장군</t>
        </is>
      </c>
      <c r="E44" t="inlineStr">
        <is>
          <t>부산광역시 기장군 정관읍 정관5로 100</t>
        </is>
      </c>
      <c r="F44" s="11" t="inlineStr">
        <is>
          <t>http://ga-dong.es.kr</t>
        </is>
      </c>
      <c r="G44" t="inlineStr">
        <is>
          <t>051-780-3700</t>
        </is>
      </c>
      <c r="H44" t="inlineStr">
        <is>
          <t>2026</t>
        </is>
      </c>
      <c r="I44" s="15" t="n">
        <v>110</v>
      </c>
      <c r="J44" s="15" t="n">
        <v>105</v>
      </c>
      <c r="K44" s="15" t="n">
        <v>127</v>
      </c>
      <c r="L44" s="15" t="n">
        <v>136</v>
      </c>
      <c r="M44" s="15" t="n">
        <v>169</v>
      </c>
      <c r="N44" s="15" t="n">
        <v>184</v>
      </c>
      <c r="O44" s="15" t="n">
        <v>12</v>
      </c>
      <c r="P44" s="15" t="n">
        <v>0</v>
      </c>
      <c r="Q44" s="14">
        <f>IF(COUNT(I44:P44)=0,"",SUM(I44:P44))</f>
        <v/>
      </c>
      <c r="R44" t="inlineStr"/>
    </row>
    <row r="45">
      <c r="A45" t="inlineStr">
        <is>
          <t>교리초등학교</t>
        </is>
      </c>
      <c r="B45" t="inlineStr">
        <is>
          <t>초등학교</t>
        </is>
      </c>
      <c r="C45" t="inlineStr">
        <is>
          <t>공립</t>
        </is>
      </c>
      <c r="D45" t="inlineStr">
        <is>
          <t>기장군</t>
        </is>
      </c>
      <c r="E45" t="inlineStr">
        <is>
          <t>부산광역시 기장군 기장읍 차성로 427</t>
        </is>
      </c>
      <c r="F45" s="11" t="inlineStr">
        <is>
          <t>http://gyori.es.kr</t>
        </is>
      </c>
      <c r="G45" t="inlineStr">
        <is>
          <t>051-720-0503</t>
        </is>
      </c>
      <c r="H45" t="inlineStr">
        <is>
          <t>2026</t>
        </is>
      </c>
      <c r="I45" s="15" t="n">
        <v>51</v>
      </c>
      <c r="J45" s="15" t="n">
        <v>68</v>
      </c>
      <c r="K45" s="15" t="n">
        <v>80</v>
      </c>
      <c r="L45" s="15" t="n">
        <v>87</v>
      </c>
      <c r="M45" s="15" t="n">
        <v>86</v>
      </c>
      <c r="N45" s="15" t="n">
        <v>107</v>
      </c>
      <c r="O45" s="15" t="n">
        <v>4</v>
      </c>
      <c r="P45" s="15" t="n">
        <v>0</v>
      </c>
      <c r="Q45" s="14">
        <f>IF(COUNT(I45:P45)=0,"",SUM(I45:P45))</f>
        <v/>
      </c>
      <c r="R45" t="inlineStr"/>
    </row>
    <row r="46">
      <c r="A46" t="inlineStr">
        <is>
          <t>기장초등학교</t>
        </is>
      </c>
      <c r="B46" t="inlineStr">
        <is>
          <t>초등학교</t>
        </is>
      </c>
      <c r="C46" t="inlineStr">
        <is>
          <t>공립</t>
        </is>
      </c>
      <c r="D46" t="inlineStr">
        <is>
          <t>기장군</t>
        </is>
      </c>
      <c r="E46" t="inlineStr">
        <is>
          <t>부산광역시 기장군 기장읍 읍내로 69</t>
        </is>
      </c>
      <c r="F46" s="11" t="inlineStr">
        <is>
          <t>http://gijang.es.kr/</t>
        </is>
      </c>
      <c r="G46" t="inlineStr">
        <is>
          <t>051-720-8600</t>
        </is>
      </c>
      <c r="H46" t="inlineStr">
        <is>
          <t>2026</t>
        </is>
      </c>
      <c r="I46" s="15" t="n">
        <v>52</v>
      </c>
      <c r="J46" s="15" t="n">
        <v>63</v>
      </c>
      <c r="K46" s="15" t="n">
        <v>63</v>
      </c>
      <c r="L46" s="15" t="n">
        <v>79</v>
      </c>
      <c r="M46" s="15" t="n">
        <v>87</v>
      </c>
      <c r="N46" s="15" t="n">
        <v>75</v>
      </c>
      <c r="O46" s="15" t="n">
        <v>4</v>
      </c>
      <c r="P46" s="15" t="n">
        <v>0</v>
      </c>
      <c r="Q46" s="14">
        <f>IF(COUNT(I46:P46)=0,"",SUM(I46:P46))</f>
        <v/>
      </c>
      <c r="R46" t="inlineStr"/>
    </row>
    <row r="47">
      <c r="A47" t="inlineStr">
        <is>
          <t>내리초등학교</t>
        </is>
      </c>
      <c r="B47" t="inlineStr">
        <is>
          <t>초등학교</t>
        </is>
      </c>
      <c r="C47" t="inlineStr">
        <is>
          <t>공립</t>
        </is>
      </c>
      <c r="D47" t="inlineStr">
        <is>
          <t>기장군</t>
        </is>
      </c>
      <c r="E47" t="inlineStr">
        <is>
          <t>부산광역시 기장군 기장읍 소정안길 50</t>
        </is>
      </c>
      <c r="F47" s="11" t="inlineStr">
        <is>
          <t>http://naeri.es.kr</t>
        </is>
      </c>
      <c r="G47" t="inlineStr">
        <is>
          <t>051-745-3100</t>
        </is>
      </c>
      <c r="H47" t="inlineStr">
        <is>
          <t>2026</t>
        </is>
      </c>
      <c r="I47" s="15" t="n">
        <v>17</v>
      </c>
      <c r="J47" s="15" t="n">
        <v>14</v>
      </c>
      <c r="K47" s="15" t="n">
        <v>19</v>
      </c>
      <c r="L47" s="15" t="n">
        <v>25</v>
      </c>
      <c r="M47" s="15" t="n">
        <v>19</v>
      </c>
      <c r="N47" s="15" t="n">
        <v>24</v>
      </c>
      <c r="O47" s="15" t="n">
        <v>1</v>
      </c>
      <c r="P47" s="15" t="n">
        <v>0</v>
      </c>
      <c r="Q47" s="14">
        <f>IF(COUNT(I47:P47)=0,"",SUM(I47:P47))</f>
        <v/>
      </c>
      <c r="R47" t="inlineStr"/>
    </row>
    <row r="48">
      <c r="A48" t="inlineStr">
        <is>
          <t>달산초등학교</t>
        </is>
      </c>
      <c r="B48" t="inlineStr">
        <is>
          <t>초등학교</t>
        </is>
      </c>
      <c r="C48" t="inlineStr">
        <is>
          <t>공립</t>
        </is>
      </c>
      <c r="D48" t="inlineStr">
        <is>
          <t>기장군</t>
        </is>
      </c>
      <c r="E48" t="inlineStr">
        <is>
          <t>부산광역시 기장군 정관읍 정관로 674</t>
        </is>
      </c>
      <c r="F48" s="11" t="inlineStr">
        <is>
          <t>http://bsdalsan.es.kr</t>
        </is>
      </c>
      <c r="G48" t="inlineStr">
        <is>
          <t>051-750-9900</t>
        </is>
      </c>
      <c r="H48" t="inlineStr">
        <is>
          <t>2026</t>
        </is>
      </c>
      <c r="I48" s="15" t="n">
        <v>44</v>
      </c>
      <c r="J48" s="15" t="n">
        <v>57</v>
      </c>
      <c r="K48" s="15" t="n">
        <v>80</v>
      </c>
      <c r="L48" s="15" t="n">
        <v>101</v>
      </c>
      <c r="M48" s="15" t="n">
        <v>96</v>
      </c>
      <c r="N48" s="15" t="n">
        <v>102</v>
      </c>
      <c r="O48" s="15" t="n">
        <v>6</v>
      </c>
      <c r="P48" s="15" t="n">
        <v>0</v>
      </c>
      <c r="Q48" s="14">
        <f>IF(COUNT(I48:P48)=0,"",SUM(I48:P48))</f>
        <v/>
      </c>
      <c r="R48" t="inlineStr"/>
    </row>
    <row r="49">
      <c r="A49" t="inlineStr">
        <is>
          <t>대청초등학교</t>
        </is>
      </c>
      <c r="B49" t="inlineStr">
        <is>
          <t>초등학교</t>
        </is>
      </c>
      <c r="C49" t="inlineStr">
        <is>
          <t>공립</t>
        </is>
      </c>
      <c r="D49" t="inlineStr">
        <is>
          <t>기장군</t>
        </is>
      </c>
      <c r="E49" t="inlineStr">
        <is>
          <t>부산광역시 기장군 기장읍 차성서로 31</t>
        </is>
      </c>
      <c r="F49" s="11" t="inlineStr">
        <is>
          <t>http://www.daechung.es.kr/</t>
        </is>
      </c>
      <c r="G49" t="inlineStr">
        <is>
          <t>051-723-0923</t>
        </is>
      </c>
      <c r="H49" t="inlineStr">
        <is>
          <t>2026</t>
        </is>
      </c>
      <c r="I49" s="15" t="n">
        <v>68</v>
      </c>
      <c r="J49" s="15" t="n">
        <v>80</v>
      </c>
      <c r="K49" s="15" t="n">
        <v>67</v>
      </c>
      <c r="L49" s="15" t="n">
        <v>75</v>
      </c>
      <c r="M49" s="15" t="n">
        <v>76</v>
      </c>
      <c r="N49" s="15" t="n">
        <v>81</v>
      </c>
      <c r="O49" s="15" t="n">
        <v>7</v>
      </c>
      <c r="P49" s="15" t="n">
        <v>0</v>
      </c>
      <c r="Q49" s="14">
        <f>IF(COUNT(I49:P49)=0,"",SUM(I49:P49))</f>
        <v/>
      </c>
      <c r="R49" t="inlineStr"/>
    </row>
    <row r="50">
      <c r="A50" t="inlineStr">
        <is>
          <t>모전초등학교</t>
        </is>
      </c>
      <c r="B50" t="inlineStr">
        <is>
          <t>초등학교</t>
        </is>
      </c>
      <c r="C50" t="inlineStr">
        <is>
          <t>공립</t>
        </is>
      </c>
      <c r="D50" t="inlineStr">
        <is>
          <t>기장군</t>
        </is>
      </c>
      <c r="E50" t="inlineStr">
        <is>
          <t>부산광역시 기장군 정관읍 정관1로 17</t>
        </is>
      </c>
      <c r="F50" s="11" t="inlineStr">
        <is>
          <t>http://bsmojeon.es.kr</t>
        </is>
      </c>
      <c r="G50" t="inlineStr">
        <is>
          <t>051-720-6701</t>
        </is>
      </c>
      <c r="H50" t="inlineStr">
        <is>
          <t>2026</t>
        </is>
      </c>
      <c r="I50" s="15" t="n">
        <v>136</v>
      </c>
      <c r="J50" s="15" t="n">
        <v>167</v>
      </c>
      <c r="K50" s="15" t="n">
        <v>199</v>
      </c>
      <c r="L50" s="15" t="n">
        <v>264</v>
      </c>
      <c r="M50" s="15" t="n">
        <v>262</v>
      </c>
      <c r="N50" s="15" t="n">
        <v>292</v>
      </c>
      <c r="O50" s="15" t="n">
        <v>0</v>
      </c>
      <c r="P50" s="15" t="n">
        <v>0</v>
      </c>
      <c r="Q50" s="14">
        <f>IF(COUNT(I50:P50)=0,"",SUM(I50:P50))</f>
        <v/>
      </c>
      <c r="R50" t="inlineStr"/>
    </row>
    <row r="51">
      <c r="A51" t="inlineStr">
        <is>
          <t>방곡초등학교</t>
        </is>
      </c>
      <c r="B51" t="inlineStr">
        <is>
          <t>초등학교</t>
        </is>
      </c>
      <c r="C51" t="inlineStr">
        <is>
          <t>공립</t>
        </is>
      </c>
      <c r="D51" t="inlineStr">
        <is>
          <t>기장군</t>
        </is>
      </c>
      <c r="E51" t="inlineStr">
        <is>
          <t>부산광역시 기장군 정관면 정관덕산길 61</t>
        </is>
      </c>
      <c r="F51" s="11" t="inlineStr">
        <is>
          <t>http://banggok.es.kr</t>
        </is>
      </c>
      <c r="G51" t="inlineStr">
        <is>
          <t>051-780-7600</t>
        </is>
      </c>
      <c r="H51" t="inlineStr">
        <is>
          <t>2026</t>
        </is>
      </c>
      <c r="I51" s="15" t="n">
        <v>97</v>
      </c>
      <c r="J51" s="15" t="n">
        <v>109</v>
      </c>
      <c r="K51" s="15" t="n">
        <v>135</v>
      </c>
      <c r="L51" s="15" t="n">
        <v>150</v>
      </c>
      <c r="M51" s="15" t="n">
        <v>190</v>
      </c>
      <c r="N51" s="15" t="n">
        <v>190</v>
      </c>
      <c r="O51" s="15" t="n">
        <v>8</v>
      </c>
      <c r="P51" s="15" t="n">
        <v>0</v>
      </c>
      <c r="Q51" s="14">
        <f>IF(COUNT(I51:P51)=0,"",SUM(I51:P51))</f>
        <v/>
      </c>
      <c r="R51" t="inlineStr"/>
    </row>
    <row r="52">
      <c r="A52" t="inlineStr">
        <is>
          <t>신정초등학교</t>
        </is>
      </c>
      <c r="B52" t="inlineStr">
        <is>
          <t>초등학교</t>
        </is>
      </c>
      <c r="C52" t="inlineStr">
        <is>
          <t>공립</t>
        </is>
      </c>
      <c r="D52" t="inlineStr">
        <is>
          <t>기장군</t>
        </is>
      </c>
      <c r="E52" t="inlineStr">
        <is>
          <t>부산광역시 기장군 정관읍 정관로 460</t>
        </is>
      </c>
      <c r="F52" s="11" t="inlineStr">
        <is>
          <t>http://sinjeong.kr</t>
        </is>
      </c>
      <c r="G52" t="inlineStr">
        <is>
          <t>051-745-3500</t>
        </is>
      </c>
      <c r="H52" t="inlineStr">
        <is>
          <t>2026</t>
        </is>
      </c>
      <c r="I52" s="15" t="n">
        <v>58</v>
      </c>
      <c r="J52" s="15" t="n">
        <v>75</v>
      </c>
      <c r="K52" s="15" t="n">
        <v>84</v>
      </c>
      <c r="L52" s="15" t="n">
        <v>107</v>
      </c>
      <c r="M52" s="15" t="n">
        <v>138</v>
      </c>
      <c r="N52" s="15" t="n">
        <v>128</v>
      </c>
      <c r="O52" s="15" t="n">
        <v>13</v>
      </c>
      <c r="P52" s="15" t="n">
        <v>0</v>
      </c>
      <c r="Q52" s="14">
        <f>IF(COUNT(I52:P52)=0,"",SUM(I52:P52))</f>
        <v/>
      </c>
      <c r="R52" t="inlineStr"/>
    </row>
    <row r="53">
      <c r="A53" t="inlineStr">
        <is>
          <t>신진초등학교</t>
        </is>
      </c>
      <c r="B53" t="inlineStr">
        <is>
          <t>초등학교</t>
        </is>
      </c>
      <c r="C53" t="inlineStr">
        <is>
          <t>공립</t>
        </is>
      </c>
      <c r="D53" t="inlineStr">
        <is>
          <t>기장군</t>
        </is>
      </c>
      <c r="E53" t="inlineStr">
        <is>
          <t>부산광역시 기장군 철마면 고촌로28번길 10</t>
        </is>
      </c>
      <c r="F53" s="11" t="inlineStr">
        <is>
          <t>http://school.busanedu.net/sinjin-e/main.do</t>
        </is>
      </c>
      <c r="G53" t="inlineStr">
        <is>
          <t>051-720-8500</t>
        </is>
      </c>
      <c r="H53" t="inlineStr">
        <is>
          <t>2026</t>
        </is>
      </c>
      <c r="I53" s="15" t="n">
        <v>8</v>
      </c>
      <c r="J53" s="15" t="n">
        <v>14</v>
      </c>
      <c r="K53" s="15" t="n">
        <v>19</v>
      </c>
      <c r="L53" s="15" t="n">
        <v>24</v>
      </c>
      <c r="M53" s="15" t="n">
        <v>24</v>
      </c>
      <c r="N53" s="15" t="n">
        <v>29</v>
      </c>
      <c r="O53" s="15" t="n">
        <v>4</v>
      </c>
      <c r="P53" s="15" t="n">
        <v>0</v>
      </c>
      <c r="Q53" s="14">
        <f>IF(COUNT(I53:P53)=0,"",SUM(I53:P53))</f>
        <v/>
      </c>
      <c r="R53" t="inlineStr"/>
    </row>
    <row r="54">
      <c r="A54" t="inlineStr">
        <is>
          <t>용암초등학교</t>
        </is>
      </c>
      <c r="B54" t="inlineStr">
        <is>
          <t>초등학교</t>
        </is>
      </c>
      <c r="C54" t="inlineStr">
        <is>
          <t>공립</t>
        </is>
      </c>
      <c r="D54" t="inlineStr">
        <is>
          <t>기장군</t>
        </is>
      </c>
      <c r="E54" t="inlineStr">
        <is>
          <t>부산광역시 기장군 기장읍 기장해안로 577</t>
        </is>
      </c>
      <c r="F54" s="11" t="inlineStr">
        <is>
          <t>http://www.yongam.es.kr</t>
        </is>
      </c>
      <c r="G54" t="inlineStr">
        <is>
          <t>051-721-1302</t>
        </is>
      </c>
      <c r="H54" t="inlineStr">
        <is>
          <t>2026</t>
        </is>
      </c>
      <c r="I54" s="15" t="n">
        <v>8</v>
      </c>
      <c r="J54" s="15" t="n">
        <v>5</v>
      </c>
      <c r="K54" s="15" t="n">
        <v>16</v>
      </c>
      <c r="L54" s="15" t="n">
        <v>11</v>
      </c>
      <c r="M54" s="15" t="n">
        <v>6</v>
      </c>
      <c r="N54" s="15" t="n">
        <v>10</v>
      </c>
      <c r="O54" s="15" t="n">
        <v>6</v>
      </c>
      <c r="P54" s="15" t="n">
        <v>0</v>
      </c>
      <c r="Q54" s="14">
        <f>IF(COUNT(I54:P54)=0,"",SUM(I54:P54))</f>
        <v/>
      </c>
      <c r="R54" t="inlineStr"/>
    </row>
    <row r="55">
      <c r="A55" t="inlineStr">
        <is>
          <t>월내초등학교</t>
        </is>
      </c>
      <c r="B55" t="inlineStr">
        <is>
          <t>초등학교</t>
        </is>
      </c>
      <c r="C55" t="inlineStr">
        <is>
          <t>공립</t>
        </is>
      </c>
      <c r="D55" t="inlineStr">
        <is>
          <t>기장군</t>
        </is>
      </c>
      <c r="E55" t="inlineStr">
        <is>
          <t>부산광역시 기장군 장안읍 길천2길 25</t>
        </is>
      </c>
      <c r="F55" s="11" t="inlineStr">
        <is>
          <t>http://www.wollae.es.kr</t>
        </is>
      </c>
      <c r="G55" t="inlineStr">
        <is>
          <t>051-719-9700</t>
        </is>
      </c>
      <c r="H55" t="inlineStr">
        <is>
          <t>2026</t>
        </is>
      </c>
      <c r="I55" s="15" t="n">
        <v>26</v>
      </c>
      <c r="J55" s="15" t="n">
        <v>16</v>
      </c>
      <c r="K55" s="15" t="n">
        <v>20</v>
      </c>
      <c r="L55" s="15" t="n">
        <v>21</v>
      </c>
      <c r="M55" s="15" t="n">
        <v>28</v>
      </c>
      <c r="N55" s="15" t="n">
        <v>21</v>
      </c>
      <c r="O55" s="15" t="n">
        <v>3</v>
      </c>
      <c r="P55" s="15" t="n">
        <v>0</v>
      </c>
      <c r="Q55" s="14">
        <f>IF(COUNT(I55:P55)=0,"",SUM(I55:P55))</f>
        <v/>
      </c>
      <c r="R55" t="inlineStr"/>
    </row>
    <row r="56">
      <c r="A56" t="inlineStr">
        <is>
          <t>월평초등학교</t>
        </is>
      </c>
      <c r="B56" t="inlineStr">
        <is>
          <t>초등학교</t>
        </is>
      </c>
      <c r="C56" t="inlineStr">
        <is>
          <t>공립</t>
        </is>
      </c>
      <c r="D56" t="inlineStr">
        <is>
          <t>기장군</t>
        </is>
      </c>
      <c r="E56" t="inlineStr">
        <is>
          <t>부산광역시 기장군 정관읍 월평1길 21</t>
        </is>
      </c>
      <c r="F56" s="11" t="inlineStr">
        <is>
          <t>http://www.bswp.es.kr</t>
        </is>
      </c>
      <c r="G56" t="inlineStr">
        <is>
          <t>051-508-8352</t>
        </is>
      </c>
      <c r="H56" t="inlineStr">
        <is>
          <t>2026</t>
        </is>
      </c>
      <c r="I56" s="15" t="n">
        <v>6</v>
      </c>
      <c r="J56" s="15" t="n">
        <v>3</v>
      </c>
      <c r="K56" s="15" t="n">
        <v>9</v>
      </c>
      <c r="L56" s="15" t="n">
        <v>7</v>
      </c>
      <c r="M56" s="15" t="n">
        <v>8</v>
      </c>
      <c r="N56" s="15" t="n">
        <v>7</v>
      </c>
      <c r="O56" s="15" t="n">
        <v>5</v>
      </c>
      <c r="P56" s="15" t="n">
        <v>0</v>
      </c>
      <c r="Q56" s="14">
        <f>IF(COUNT(I56:P56)=0,"",SUM(I56:P56))</f>
        <v/>
      </c>
      <c r="R56" t="inlineStr"/>
    </row>
    <row r="57">
      <c r="A57" t="inlineStr">
        <is>
          <t>일광초등학교</t>
        </is>
      </c>
      <c r="B57" t="inlineStr">
        <is>
          <t>초등학교</t>
        </is>
      </c>
      <c r="C57" t="inlineStr">
        <is>
          <t>공립</t>
        </is>
      </c>
      <c r="D57" t="inlineStr">
        <is>
          <t>기장군</t>
        </is>
      </c>
      <c r="E57" t="inlineStr">
        <is>
          <t>부산광역시 기장군 일광읍 해빛로 46</t>
        </is>
      </c>
      <c r="F57" s="11" t="inlineStr">
        <is>
          <t>http://school.busanedu.net/ilgwang-e/main.do</t>
        </is>
      </c>
      <c r="G57" t="inlineStr">
        <is>
          <t>051-930-7770</t>
        </is>
      </c>
      <c r="H57" t="inlineStr">
        <is>
          <t>2026</t>
        </is>
      </c>
      <c r="I57" s="15" t="n">
        <v>141</v>
      </c>
      <c r="J57" s="15" t="n">
        <v>145</v>
      </c>
      <c r="K57" s="15" t="n">
        <v>187</v>
      </c>
      <c r="L57" s="15" t="n">
        <v>194</v>
      </c>
      <c r="M57" s="15" t="n">
        <v>181</v>
      </c>
      <c r="N57" s="15" t="n">
        <v>176</v>
      </c>
      <c r="O57" s="15" t="n">
        <v>11</v>
      </c>
      <c r="P57" s="15" t="n">
        <v>0</v>
      </c>
      <c r="Q57" s="14">
        <f>IF(COUNT(I57:P57)=0,"",SUM(I57:P57))</f>
        <v/>
      </c>
      <c r="R57" t="inlineStr"/>
    </row>
    <row r="58">
      <c r="A58" t="inlineStr">
        <is>
          <t>장안초등학교</t>
        </is>
      </c>
      <c r="B58" t="inlineStr">
        <is>
          <t>초등학교</t>
        </is>
      </c>
      <c r="C58" t="inlineStr">
        <is>
          <t>공립</t>
        </is>
      </c>
      <c r="D58" t="inlineStr">
        <is>
          <t>기장군</t>
        </is>
      </c>
      <c r="E58" t="inlineStr">
        <is>
          <t>부산광역시 기장군 장안읍 장안로 67-4</t>
        </is>
      </c>
      <c r="F58" s="11" t="inlineStr">
        <is>
          <t>http://www.jangancho.es.kr</t>
        </is>
      </c>
      <c r="G58" t="inlineStr">
        <is>
          <t>051-720-1000</t>
        </is>
      </c>
      <c r="H58" t="inlineStr">
        <is>
          <t>2026</t>
        </is>
      </c>
      <c r="I58" s="15" t="n">
        <v>14</v>
      </c>
      <c r="J58" s="15" t="n">
        <v>4</v>
      </c>
      <c r="K58" s="15" t="n">
        <v>11</v>
      </c>
      <c r="L58" s="15" t="n">
        <v>12</v>
      </c>
      <c r="M58" s="15" t="n">
        <v>8</v>
      </c>
      <c r="N58" s="15" t="n">
        <v>10</v>
      </c>
      <c r="O58" s="15" t="n">
        <v>0</v>
      </c>
      <c r="P58" s="15" t="n">
        <v>0</v>
      </c>
      <c r="Q58" s="14">
        <f>IF(COUNT(I58:P58)=0,"",SUM(I58:P58))</f>
        <v/>
      </c>
      <c r="R58" t="inlineStr"/>
    </row>
    <row r="59">
      <c r="A59" t="inlineStr">
        <is>
          <t>정관초등학교</t>
        </is>
      </c>
      <c r="B59" t="inlineStr">
        <is>
          <t>초등학교</t>
        </is>
      </c>
      <c r="C59" t="inlineStr">
        <is>
          <t>공립</t>
        </is>
      </c>
      <c r="D59" t="inlineStr">
        <is>
          <t>기장군</t>
        </is>
      </c>
      <c r="E59" t="inlineStr">
        <is>
          <t>부산광역시 기장군 정관읍 정관로 530</t>
        </is>
      </c>
      <c r="F59" s="11" t="inlineStr">
        <is>
          <t>http://www.jungkwan.es.kr/</t>
        </is>
      </c>
      <c r="G59" t="inlineStr">
        <is>
          <t>051-720-1500</t>
        </is>
      </c>
      <c r="H59" t="inlineStr">
        <is>
          <t>2026</t>
        </is>
      </c>
      <c r="I59" s="15" t="n">
        <v>115</v>
      </c>
      <c r="J59" s="15" t="n">
        <v>158</v>
      </c>
      <c r="K59" s="15" t="n">
        <v>171</v>
      </c>
      <c r="L59" s="15" t="n">
        <v>233</v>
      </c>
      <c r="M59" s="15" t="n">
        <v>215</v>
      </c>
      <c r="N59" s="15" t="n">
        <v>240</v>
      </c>
      <c r="O59" s="15" t="n">
        <v>8</v>
      </c>
      <c r="P59" s="15" t="n">
        <v>0</v>
      </c>
      <c r="Q59" s="14">
        <f>IF(COUNT(I59:P59)=0,"",SUM(I59:P59))</f>
        <v/>
      </c>
      <c r="R59" t="inlineStr"/>
    </row>
    <row r="60">
      <c r="A60" t="inlineStr">
        <is>
          <t>정원초등학교</t>
        </is>
      </c>
      <c r="B60" t="inlineStr">
        <is>
          <t>초등학교</t>
        </is>
      </c>
      <c r="C60" t="inlineStr">
        <is>
          <t>공립</t>
        </is>
      </c>
      <c r="D60" t="inlineStr">
        <is>
          <t>기장군</t>
        </is>
      </c>
      <c r="E60" t="inlineStr">
        <is>
          <t>부산광역시 기장군 정관읍 정관로 423</t>
        </is>
      </c>
      <c r="F60" s="11" t="inlineStr">
        <is>
          <t>http://jeongwon.es.kr</t>
        </is>
      </c>
      <c r="G60" t="inlineStr">
        <is>
          <t>051-750-9100</t>
        </is>
      </c>
      <c r="H60" t="inlineStr">
        <is>
          <t>2026</t>
        </is>
      </c>
      <c r="I60" s="15" t="n">
        <v>97</v>
      </c>
      <c r="J60" s="15" t="n">
        <v>113</v>
      </c>
      <c r="K60" s="15" t="n">
        <v>124</v>
      </c>
      <c r="L60" s="15" t="n">
        <v>164</v>
      </c>
      <c r="M60" s="15" t="n">
        <v>189</v>
      </c>
      <c r="N60" s="15" t="n">
        <v>191</v>
      </c>
      <c r="O60" s="15" t="n">
        <v>13</v>
      </c>
      <c r="P60" s="15" t="n">
        <v>0</v>
      </c>
      <c r="Q60" s="14">
        <f>IF(COUNT(I60:P60)=0,"",SUM(I60:P60))</f>
        <v/>
      </c>
      <c r="R60" t="inlineStr"/>
    </row>
    <row r="61">
      <c r="A61" t="inlineStr">
        <is>
          <t>좌천초등학교</t>
        </is>
      </c>
      <c r="B61" t="inlineStr">
        <is>
          <t>초등학교</t>
        </is>
      </c>
      <c r="C61" t="inlineStr">
        <is>
          <t>공립</t>
        </is>
      </c>
      <c r="D61" t="inlineStr">
        <is>
          <t>기장군</t>
        </is>
      </c>
      <c r="E61" t="inlineStr">
        <is>
          <t>부산광역시 기장군 장안읍 좌천로 13-66</t>
        </is>
      </c>
      <c r="F61" s="11" t="inlineStr">
        <is>
          <t>http://www.jwacheon.es.kr</t>
        </is>
      </c>
      <c r="G61" t="inlineStr">
        <is>
          <t>051-720-4101</t>
        </is>
      </c>
      <c r="H61" t="inlineStr">
        <is>
          <t>2026</t>
        </is>
      </c>
      <c r="I61" s="15" t="n">
        <v>4</v>
      </c>
      <c r="J61" s="15" t="n">
        <v>0</v>
      </c>
      <c r="K61" s="15" t="n">
        <v>3</v>
      </c>
      <c r="L61" s="15" t="n">
        <v>8</v>
      </c>
      <c r="M61" s="15" t="n">
        <v>6</v>
      </c>
      <c r="N61" s="15" t="n">
        <v>9</v>
      </c>
      <c r="O61" s="15" t="n">
        <v>4</v>
      </c>
      <c r="P61" s="15" t="n">
        <v>0</v>
      </c>
      <c r="Q61" s="14">
        <f>IF(COUNT(I61:P61)=0,"",SUM(I61:P61))</f>
        <v/>
      </c>
      <c r="R61" t="inlineStr"/>
    </row>
    <row r="62">
      <c r="A62" t="inlineStr">
        <is>
          <t>죽성초등학교</t>
        </is>
      </c>
      <c r="B62" t="inlineStr">
        <is>
          <t>초등학교</t>
        </is>
      </c>
      <c r="C62" t="inlineStr">
        <is>
          <t>공립</t>
        </is>
      </c>
      <c r="D62" t="inlineStr">
        <is>
          <t>기장군</t>
        </is>
      </c>
      <c r="E62" t="inlineStr">
        <is>
          <t>부산광역시 기장군 기장읍 죽성로 270</t>
        </is>
      </c>
      <c r="F62" s="11" t="inlineStr">
        <is>
          <t>http://www.jukseong.es.kr</t>
        </is>
      </c>
      <c r="G62" t="inlineStr">
        <is>
          <t>051-721-2768</t>
        </is>
      </c>
      <c r="H62" t="inlineStr">
        <is>
          <t>2026</t>
        </is>
      </c>
      <c r="I62" s="15" t="n">
        <v>9</v>
      </c>
      <c r="J62" s="15" t="n">
        <v>9</v>
      </c>
      <c r="K62" s="15" t="n">
        <v>12</v>
      </c>
      <c r="L62" s="15" t="n">
        <v>13</v>
      </c>
      <c r="M62" s="15" t="n">
        <v>9</v>
      </c>
      <c r="N62" s="15" t="n">
        <v>16</v>
      </c>
      <c r="O62" s="15" t="n">
        <v>5</v>
      </c>
      <c r="P62" s="15" t="n">
        <v>0</v>
      </c>
      <c r="Q62" s="14">
        <f>IF(COUNT(I62:P62)=0,"",SUM(I62:P62))</f>
        <v/>
      </c>
      <c r="R62" t="inlineStr"/>
    </row>
    <row r="63">
      <c r="A63" t="inlineStr">
        <is>
          <t>철마초등학교</t>
        </is>
      </c>
      <c r="B63" t="inlineStr">
        <is>
          <t>초등학교</t>
        </is>
      </c>
      <c r="C63" t="inlineStr">
        <is>
          <t>공립</t>
        </is>
      </c>
      <c r="D63" t="inlineStr">
        <is>
          <t>기장군</t>
        </is>
      </c>
      <c r="E63" t="inlineStr">
        <is>
          <t>부산광역시 기장군 철마면 철마로 493</t>
        </is>
      </c>
      <c r="F63" s="11" t="inlineStr">
        <is>
          <t>http://chulma.es.kr/</t>
        </is>
      </c>
      <c r="G63" t="inlineStr">
        <is>
          <t>051-780-7500</t>
        </is>
      </c>
      <c r="H63" t="inlineStr">
        <is>
          <t>2026</t>
        </is>
      </c>
      <c r="I63" s="15" t="n">
        <v>15</v>
      </c>
      <c r="J63" s="15" t="n">
        <v>10</v>
      </c>
      <c r="K63" s="15" t="n">
        <v>13</v>
      </c>
      <c r="L63" s="15" t="n">
        <v>15</v>
      </c>
      <c r="M63" s="15" t="n">
        <v>13</v>
      </c>
      <c r="N63" s="15" t="n">
        <v>15</v>
      </c>
      <c r="O63" s="15" t="n">
        <v>0</v>
      </c>
      <c r="P63" s="15" t="n">
        <v>0</v>
      </c>
      <c r="Q63" s="14">
        <f>IF(COUNT(I63:P63)=0,"",SUM(I63:P63))</f>
        <v/>
      </c>
      <c r="R63" t="inlineStr"/>
    </row>
    <row r="64">
      <c r="A64" t="inlineStr">
        <is>
          <t>칠암초등학교</t>
        </is>
      </c>
      <c r="B64" t="inlineStr">
        <is>
          <t>초등학교</t>
        </is>
      </c>
      <c r="C64" t="inlineStr">
        <is>
          <t>공립</t>
        </is>
      </c>
      <c r="D64" t="inlineStr">
        <is>
          <t>기장군</t>
        </is>
      </c>
      <c r="E64" t="inlineStr">
        <is>
          <t>부산광역시 기장군 일광읍 박영준길 19</t>
        </is>
      </c>
      <c r="F64" s="11" t="inlineStr">
        <is>
          <t>http://www.chilam.es.kr</t>
        </is>
      </c>
      <c r="G64" t="inlineStr">
        <is>
          <t>051-727-0526</t>
        </is>
      </c>
      <c r="H64" t="inlineStr">
        <is>
          <t>2026</t>
        </is>
      </c>
      <c r="I64" s="15" t="n">
        <v>7</v>
      </c>
      <c r="J64" s="15" t="n">
        <v>6</v>
      </c>
      <c r="K64" s="15" t="n">
        <v>8</v>
      </c>
      <c r="L64" s="15" t="n">
        <v>9</v>
      </c>
      <c r="M64" s="15" t="n">
        <v>9</v>
      </c>
      <c r="N64" s="15" t="n">
        <v>10</v>
      </c>
      <c r="O64" s="15" t="n">
        <v>4</v>
      </c>
      <c r="P64" s="15" t="n">
        <v>0</v>
      </c>
      <c r="Q64" s="14">
        <f>IF(COUNT(I64:P64)=0,"",SUM(I64:P64))</f>
        <v/>
      </c>
      <c r="R64" t="inlineStr"/>
    </row>
    <row r="65">
      <c r="A65" t="inlineStr">
        <is>
          <t>해빛초등학교</t>
        </is>
      </c>
      <c r="B65" t="inlineStr">
        <is>
          <t>초등학교</t>
        </is>
      </c>
      <c r="C65" t="inlineStr">
        <is>
          <t>공립</t>
        </is>
      </c>
      <c r="D65" t="inlineStr">
        <is>
          <t>기장군</t>
        </is>
      </c>
      <c r="E65" t="inlineStr">
        <is>
          <t>부산광역시 기장군 일광면 해빛6로 9</t>
        </is>
      </c>
      <c r="F65" s="11" t="inlineStr">
        <is>
          <t>http://haebit.es.kr</t>
        </is>
      </c>
      <c r="G65" t="inlineStr">
        <is>
          <t>051-790-8300</t>
        </is>
      </c>
      <c r="H65" t="inlineStr">
        <is>
          <t>2026</t>
        </is>
      </c>
      <c r="I65" s="15" t="n">
        <v>186</v>
      </c>
      <c r="J65" s="15" t="n">
        <v>179</v>
      </c>
      <c r="K65" s="15" t="n">
        <v>163</v>
      </c>
      <c r="L65" s="15" t="n">
        <v>203</v>
      </c>
      <c r="M65" s="15" t="n">
        <v>191</v>
      </c>
      <c r="N65" s="15" t="n">
        <v>178</v>
      </c>
      <c r="O65" s="15" t="n">
        <v>12</v>
      </c>
      <c r="P65" s="15" t="n">
        <v>0</v>
      </c>
      <c r="Q65" s="14">
        <f>IF(COUNT(I65:P65)=0,"",SUM(I65:P65))</f>
        <v/>
      </c>
      <c r="R65" t="inlineStr"/>
    </row>
    <row r="66">
      <c r="A66" t="inlineStr">
        <is>
          <t>대남초등학교</t>
        </is>
      </c>
      <c r="B66" t="inlineStr">
        <is>
          <t>초등학교</t>
        </is>
      </c>
      <c r="C66" t="inlineStr">
        <is>
          <t>공립</t>
        </is>
      </c>
      <c r="D66" t="inlineStr">
        <is>
          <t>남구</t>
        </is>
      </c>
      <c r="E66" t="inlineStr">
        <is>
          <t>부산광역시 남구 황령대로 343번길 9-55</t>
        </is>
      </c>
      <c r="F66" s="11" t="inlineStr">
        <is>
          <t>http://daenam.es.kr/</t>
        </is>
      </c>
      <c r="G66" t="inlineStr">
        <is>
          <t>051-622-9434</t>
        </is>
      </c>
      <c r="H66" t="inlineStr">
        <is>
          <t>2026</t>
        </is>
      </c>
      <c r="I66" s="15" t="n">
        <v>29</v>
      </c>
      <c r="J66" s="15" t="n">
        <v>45</v>
      </c>
      <c r="K66" s="15" t="n">
        <v>59</v>
      </c>
      <c r="L66" s="15" t="n">
        <v>35</v>
      </c>
      <c r="M66" s="15" t="n">
        <v>63</v>
      </c>
      <c r="N66" s="15" t="n">
        <v>42</v>
      </c>
      <c r="O66" s="15" t="n">
        <v>5</v>
      </c>
      <c r="P66" s="15" t="n">
        <v>0</v>
      </c>
      <c r="Q66" s="14">
        <f>IF(COUNT(I66:P66)=0,"",SUM(I66:P66))</f>
        <v/>
      </c>
      <c r="R66" t="inlineStr"/>
    </row>
    <row r="67">
      <c r="A67" t="inlineStr">
        <is>
          <t>대연초등학교</t>
        </is>
      </c>
      <c r="B67" t="inlineStr">
        <is>
          <t>초등학교</t>
        </is>
      </c>
      <c r="C67" t="inlineStr">
        <is>
          <t>공립</t>
        </is>
      </c>
      <c r="D67" t="inlineStr">
        <is>
          <t>남구</t>
        </is>
      </c>
      <c r="E67" t="inlineStr">
        <is>
          <t>부산광역시 남구 진남로18번길 11</t>
        </is>
      </c>
      <c r="F67" s="11" t="inlineStr">
        <is>
          <t>http://www.daeyeon.es.kr</t>
        </is>
      </c>
      <c r="G67" t="inlineStr">
        <is>
          <t>051-610-7600</t>
        </is>
      </c>
      <c r="H67" t="inlineStr">
        <is>
          <t>2026</t>
        </is>
      </c>
      <c r="I67" s="15" t="n">
        <v>72</v>
      </c>
      <c r="J67" s="15" t="n">
        <v>86</v>
      </c>
      <c r="K67" s="15" t="n">
        <v>106</v>
      </c>
      <c r="L67" s="15" t="n">
        <v>125</v>
      </c>
      <c r="M67" s="15" t="n">
        <v>141</v>
      </c>
      <c r="N67" s="15" t="n">
        <v>163</v>
      </c>
      <c r="O67" s="15" t="n">
        <v>10</v>
      </c>
      <c r="P67" s="15" t="n">
        <v>0</v>
      </c>
      <c r="Q67" s="14">
        <f>IF(COUNT(I67:P67)=0,"",SUM(I67:P67))</f>
        <v/>
      </c>
      <c r="R67" t="inlineStr"/>
    </row>
    <row r="68">
      <c r="A68" t="inlineStr">
        <is>
          <t>대천초등학교</t>
        </is>
      </c>
      <c r="B68" t="inlineStr">
        <is>
          <t>초등학교</t>
        </is>
      </c>
      <c r="C68" t="inlineStr">
        <is>
          <t>공립</t>
        </is>
      </c>
      <c r="D68" t="inlineStr">
        <is>
          <t>남구</t>
        </is>
      </c>
      <c r="E68" t="inlineStr">
        <is>
          <t>부산광역시 남구 조각공원로 19</t>
        </is>
      </c>
      <c r="F68" s="11" t="inlineStr">
        <is>
          <t>http://www.daechon.es.kr</t>
        </is>
      </c>
      <c r="G68" t="inlineStr">
        <is>
          <t>051-622-3101</t>
        </is>
      </c>
      <c r="H68" t="inlineStr">
        <is>
          <t>2026</t>
        </is>
      </c>
      <c r="I68" s="15" t="n">
        <v>57</v>
      </c>
      <c r="J68" s="15" t="n">
        <v>50</v>
      </c>
      <c r="K68" s="15" t="n">
        <v>73</v>
      </c>
      <c r="L68" s="15" t="n">
        <v>89</v>
      </c>
      <c r="M68" s="15" t="n">
        <v>104</v>
      </c>
      <c r="N68" s="15" t="n">
        <v>87</v>
      </c>
      <c r="O68" s="15" t="n">
        <v>7</v>
      </c>
      <c r="P68" s="15" t="n">
        <v>0</v>
      </c>
      <c r="Q68" s="14">
        <f>IF(COUNT(I68:P68)=0,"",SUM(I68:P68))</f>
        <v/>
      </c>
      <c r="R68" t="inlineStr"/>
    </row>
    <row r="69">
      <c r="A69" t="inlineStr">
        <is>
          <t>동천초등학교</t>
        </is>
      </c>
      <c r="B69" t="inlineStr">
        <is>
          <t>초등학교</t>
        </is>
      </c>
      <c r="C69" t="inlineStr">
        <is>
          <t>공립</t>
        </is>
      </c>
      <c r="D69" t="inlineStr">
        <is>
          <t>남구</t>
        </is>
      </c>
      <c r="E69" t="inlineStr">
        <is>
          <t>부산광역시 남구 석포로26번길 22</t>
        </is>
      </c>
      <c r="F69" s="11" t="inlineStr">
        <is>
          <t>https://school.busanedu.net/dong-cheon-e/main.do</t>
        </is>
      </c>
      <c r="G69" t="inlineStr">
        <is>
          <t>051-644-2853</t>
        </is>
      </c>
      <c r="H69" t="inlineStr">
        <is>
          <t>2026</t>
        </is>
      </c>
      <c r="I69" s="15" t="n">
        <v>25</v>
      </c>
      <c r="J69" s="15" t="n">
        <v>22</v>
      </c>
      <c r="K69" s="15" t="n">
        <v>32</v>
      </c>
      <c r="L69" s="15" t="n">
        <v>46</v>
      </c>
      <c r="M69" s="15" t="n">
        <v>51</v>
      </c>
      <c r="N69" s="15" t="n">
        <v>44</v>
      </c>
      <c r="O69" s="15" t="n">
        <v>3</v>
      </c>
      <c r="P69" s="15" t="n">
        <v>0</v>
      </c>
      <c r="Q69" s="14">
        <f>IF(COUNT(I69:P69)=0,"",SUM(I69:P69))</f>
        <v/>
      </c>
      <c r="R69" t="inlineStr"/>
    </row>
    <row r="70">
      <c r="A70" t="inlineStr">
        <is>
          <t>동항초등학교</t>
        </is>
      </c>
      <c r="B70" t="inlineStr">
        <is>
          <t>초등학교</t>
        </is>
      </c>
      <c r="C70" t="inlineStr">
        <is>
          <t>공립</t>
        </is>
      </c>
      <c r="D70" t="inlineStr">
        <is>
          <t>남구</t>
        </is>
      </c>
      <c r="E70" t="inlineStr">
        <is>
          <t>부산광역시 남구 우암로 42</t>
        </is>
      </c>
      <c r="F70" s="11" t="inlineStr">
        <is>
          <t>http://donghang.es.kr</t>
        </is>
      </c>
      <c r="G70" t="inlineStr">
        <is>
          <t>051-643-8236</t>
        </is>
      </c>
      <c r="H70" t="inlineStr">
        <is>
          <t>2026</t>
        </is>
      </c>
      <c r="I70" s="15" t="n">
        <v>7</v>
      </c>
      <c r="J70" s="15" t="n">
        <v>11</v>
      </c>
      <c r="K70" s="15" t="n">
        <v>20</v>
      </c>
      <c r="L70" s="15" t="n">
        <v>8</v>
      </c>
      <c r="M70" s="15" t="n">
        <v>30</v>
      </c>
      <c r="N70" s="15" t="n">
        <v>17</v>
      </c>
      <c r="O70" s="15" t="n">
        <v>4</v>
      </c>
      <c r="P70" s="15" t="n">
        <v>0</v>
      </c>
      <c r="Q70" s="14">
        <f>IF(COUNT(I70:P70)=0,"",SUM(I70:P70))</f>
        <v/>
      </c>
      <c r="R70" t="inlineStr"/>
    </row>
    <row r="71">
      <c r="A71" t="inlineStr">
        <is>
          <t>문현초등학교</t>
        </is>
      </c>
      <c r="B71" t="inlineStr">
        <is>
          <t>초등학교</t>
        </is>
      </c>
      <c r="C71" t="inlineStr">
        <is>
          <t>공립</t>
        </is>
      </c>
      <c r="D71" t="inlineStr">
        <is>
          <t>남구</t>
        </is>
      </c>
      <c r="E71" t="inlineStr">
        <is>
          <t>부산광역시 남구 고동골로 86-13</t>
        </is>
      </c>
      <c r="F71" s="11" t="inlineStr">
        <is>
          <t>https://school.busanedu.net/moonhyun-e</t>
        </is>
      </c>
      <c r="G71" t="inlineStr">
        <is>
          <t>051-646-8565</t>
        </is>
      </c>
      <c r="H71" t="inlineStr">
        <is>
          <t>2026</t>
        </is>
      </c>
      <c r="I71" s="15" t="n">
        <v>52</v>
      </c>
      <c r="J71" s="15" t="n">
        <v>60</v>
      </c>
      <c r="K71" s="15" t="n">
        <v>76</v>
      </c>
      <c r="L71" s="15" t="n">
        <v>75</v>
      </c>
      <c r="M71" s="15" t="n">
        <v>88</v>
      </c>
      <c r="N71" s="15" t="n">
        <v>91</v>
      </c>
      <c r="O71" s="15" t="n">
        <v>7</v>
      </c>
      <c r="P71" s="15" t="n">
        <v>0</v>
      </c>
      <c r="Q71" s="14">
        <f>IF(COUNT(I71:P71)=0,"",SUM(I71:P71))</f>
        <v/>
      </c>
      <c r="R71" t="inlineStr"/>
    </row>
    <row r="72">
      <c r="A72" t="inlineStr">
        <is>
          <t>백운초등학교</t>
        </is>
      </c>
      <c r="B72" t="inlineStr">
        <is>
          <t>초등학교</t>
        </is>
      </c>
      <c r="C72" t="inlineStr">
        <is>
          <t>공립</t>
        </is>
      </c>
      <c r="D72" t="inlineStr">
        <is>
          <t>남구</t>
        </is>
      </c>
      <c r="E72" t="inlineStr">
        <is>
          <t>부산광역시 남구 동명로 76</t>
        </is>
      </c>
      <c r="F72" s="11" t="inlineStr">
        <is>
          <t>https://school.busanedu.net/baekwoon-e</t>
        </is>
      </c>
      <c r="G72" t="inlineStr">
        <is>
          <t>051-7908-700</t>
        </is>
      </c>
      <c r="H72" t="inlineStr">
        <is>
          <t>2026</t>
        </is>
      </c>
      <c r="I72" s="15" t="n">
        <v>14</v>
      </c>
      <c r="J72" s="15" t="n">
        <v>9</v>
      </c>
      <c r="K72" s="15" t="n">
        <v>18</v>
      </c>
      <c r="L72" s="15" t="n">
        <v>25</v>
      </c>
      <c r="M72" s="15" t="n">
        <v>18</v>
      </c>
      <c r="N72" s="15" t="n">
        <v>30</v>
      </c>
      <c r="O72" s="15" t="n">
        <v>8</v>
      </c>
      <c r="P72" s="15" t="n">
        <v>0</v>
      </c>
      <c r="Q72" s="14">
        <f>IF(COUNT(I72:P72)=0,"",SUM(I72:P72))</f>
        <v/>
      </c>
      <c r="R72" t="inlineStr"/>
    </row>
    <row r="73">
      <c r="A73" t="inlineStr">
        <is>
          <t>분포초등학교</t>
        </is>
      </c>
      <c r="B73" t="inlineStr">
        <is>
          <t>초등학교</t>
        </is>
      </c>
      <c r="C73" t="inlineStr">
        <is>
          <t>공립</t>
        </is>
      </c>
      <c r="D73" t="inlineStr">
        <is>
          <t>남구</t>
        </is>
      </c>
      <c r="E73" t="inlineStr">
        <is>
          <t>부산광역시 남구 분포로 41</t>
        </is>
      </c>
      <c r="F73" s="11" t="inlineStr">
        <is>
          <t>http://www.bunpo.es.kr</t>
        </is>
      </c>
      <c r="G73" t="inlineStr">
        <is>
          <t>051-626-4251</t>
        </is>
      </c>
      <c r="H73" t="inlineStr">
        <is>
          <t>2026</t>
        </is>
      </c>
      <c r="I73" s="15" t="n">
        <v>116</v>
      </c>
      <c r="J73" s="15" t="n">
        <v>116</v>
      </c>
      <c r="K73" s="15" t="n">
        <v>139</v>
      </c>
      <c r="L73" s="15" t="n">
        <v>163</v>
      </c>
      <c r="M73" s="15" t="n">
        <v>181</v>
      </c>
      <c r="N73" s="15" t="n">
        <v>197</v>
      </c>
      <c r="O73" s="15" t="n">
        <v>5</v>
      </c>
      <c r="P73" s="15" t="n">
        <v>0</v>
      </c>
      <c r="Q73" s="14">
        <f>IF(COUNT(I73:P73)=0,"",SUM(I73:P73))</f>
        <v/>
      </c>
      <c r="R73" t="inlineStr"/>
    </row>
    <row r="74">
      <c r="A74" t="inlineStr">
        <is>
          <t>석포초등학교</t>
        </is>
      </c>
      <c r="B74" t="inlineStr">
        <is>
          <t>초등학교</t>
        </is>
      </c>
      <c r="C74" t="inlineStr">
        <is>
          <t>공립</t>
        </is>
      </c>
      <c r="D74" t="inlineStr">
        <is>
          <t>남구</t>
        </is>
      </c>
      <c r="E74" t="inlineStr">
        <is>
          <t>부산광역시 남구 석포로86번길 76</t>
        </is>
      </c>
      <c r="F74" s="11" t="inlineStr">
        <is>
          <t>http://www.sukpo.es.kr</t>
        </is>
      </c>
      <c r="G74" t="inlineStr">
        <is>
          <t>051-629-9200</t>
        </is>
      </c>
      <c r="H74" t="inlineStr">
        <is>
          <t>2026</t>
        </is>
      </c>
      <c r="I74" s="15" t="n">
        <v>94</v>
      </c>
      <c r="J74" s="15" t="n">
        <v>110</v>
      </c>
      <c r="K74" s="15" t="n">
        <v>107</v>
      </c>
      <c r="L74" s="15" t="n">
        <v>89</v>
      </c>
      <c r="M74" s="15" t="n">
        <v>116</v>
      </c>
      <c r="N74" s="15" t="n">
        <v>113</v>
      </c>
      <c r="O74" s="15" t="n">
        <v>9</v>
      </c>
      <c r="P74" s="15" t="n">
        <v>0</v>
      </c>
      <c r="Q74" s="14">
        <f>IF(COUNT(I74:P74)=0,"",SUM(I74:P74))</f>
        <v/>
      </c>
      <c r="R74" t="inlineStr"/>
    </row>
    <row r="75">
      <c r="A75" t="inlineStr">
        <is>
          <t>성동초등학교</t>
        </is>
      </c>
      <c r="B75" t="inlineStr">
        <is>
          <t>초등학교</t>
        </is>
      </c>
      <c r="C75" t="inlineStr">
        <is>
          <t>공립</t>
        </is>
      </c>
      <c r="D75" t="inlineStr">
        <is>
          <t>남구</t>
        </is>
      </c>
      <c r="E75" t="inlineStr">
        <is>
          <t>부산광역시 남구 전포대로68번길 27</t>
        </is>
      </c>
      <c r="F75" s="11" t="inlineStr">
        <is>
          <t>http://www.esungdong.es.kr</t>
        </is>
      </c>
      <c r="G75" t="inlineStr">
        <is>
          <t>051-950-1000</t>
        </is>
      </c>
      <c r="H75" t="inlineStr">
        <is>
          <t>2026</t>
        </is>
      </c>
      <c r="I75" s="15" t="n">
        <v>76</v>
      </c>
      <c r="J75" s="15" t="n">
        <v>83</v>
      </c>
      <c r="K75" s="15" t="n">
        <v>111</v>
      </c>
      <c r="L75" s="15" t="n">
        <v>140</v>
      </c>
      <c r="M75" s="15" t="n">
        <v>129</v>
      </c>
      <c r="N75" s="15" t="n">
        <v>130</v>
      </c>
      <c r="O75" s="15" t="n">
        <v>9</v>
      </c>
      <c r="P75" s="15" t="n">
        <v>0</v>
      </c>
      <c r="Q75" s="14">
        <f>IF(COUNT(I75:P75)=0,"",SUM(I75:P75))</f>
        <v/>
      </c>
      <c r="R75" t="inlineStr"/>
    </row>
    <row r="76">
      <c r="A76" t="inlineStr">
        <is>
          <t>성천초등학교</t>
        </is>
      </c>
      <c r="B76" t="inlineStr">
        <is>
          <t>초등학교</t>
        </is>
      </c>
      <c r="C76" t="inlineStr">
        <is>
          <t>공립</t>
        </is>
      </c>
      <c r="D76" t="inlineStr">
        <is>
          <t>남구</t>
        </is>
      </c>
      <c r="E76" t="inlineStr">
        <is>
          <t>부산광역시 남구 장고개로 64-41</t>
        </is>
      </c>
      <c r="F76" s="11" t="inlineStr">
        <is>
          <t>http://www.sungchun.es.kr</t>
        </is>
      </c>
      <c r="G76" t="inlineStr">
        <is>
          <t>051-645-8097</t>
        </is>
      </c>
      <c r="H76" t="inlineStr">
        <is>
          <t>2026</t>
        </is>
      </c>
      <c r="I76" s="15" t="n">
        <v>9</v>
      </c>
      <c r="J76" s="15" t="n">
        <v>16</v>
      </c>
      <c r="K76" s="15" t="n">
        <v>21</v>
      </c>
      <c r="L76" s="15" t="n">
        <v>22</v>
      </c>
      <c r="M76" s="15" t="n">
        <v>20</v>
      </c>
      <c r="N76" s="15" t="n">
        <v>10</v>
      </c>
      <c r="O76" s="15" t="n">
        <v>4</v>
      </c>
      <c r="P76" s="15" t="n">
        <v>0</v>
      </c>
      <c r="Q76" s="14">
        <f>IF(COUNT(I76:P76)=0,"",SUM(I76:P76))</f>
        <v/>
      </c>
      <c r="R76" t="inlineStr"/>
    </row>
    <row r="77">
      <c r="A77" t="inlineStr">
        <is>
          <t>신연초등학교</t>
        </is>
      </c>
      <c r="B77" t="inlineStr">
        <is>
          <t>초등학교</t>
        </is>
      </c>
      <c r="C77" t="inlineStr">
        <is>
          <t>공립</t>
        </is>
      </c>
      <c r="D77" t="inlineStr">
        <is>
          <t>남구</t>
        </is>
      </c>
      <c r="E77" t="inlineStr">
        <is>
          <t>부산광역시 남구 유엔로35번길 46</t>
        </is>
      </c>
      <c r="F77" s="11" t="inlineStr">
        <is>
          <t>http://www.sinyeon.es.kr/</t>
        </is>
      </c>
      <c r="G77" t="inlineStr">
        <is>
          <t>051-260-8620</t>
        </is>
      </c>
      <c r="H77" t="inlineStr">
        <is>
          <t>2026</t>
        </is>
      </c>
      <c r="I77" s="15" t="n">
        <v>26</v>
      </c>
      <c r="J77" s="15" t="n">
        <v>28</v>
      </c>
      <c r="K77" s="15" t="n">
        <v>36</v>
      </c>
      <c r="L77" s="15" t="n">
        <v>12</v>
      </c>
      <c r="M77" s="15" t="n">
        <v>33</v>
      </c>
      <c r="N77" s="15" t="n">
        <v>24</v>
      </c>
      <c r="O77" s="15" t="n">
        <v>3</v>
      </c>
      <c r="P77" s="15" t="n">
        <v>0</v>
      </c>
      <c r="Q77" s="14">
        <f>IF(COUNT(I77:P77)=0,"",SUM(I77:P77))</f>
        <v/>
      </c>
      <c r="R77" t="inlineStr"/>
    </row>
    <row r="78">
      <c r="A78" t="inlineStr">
        <is>
          <t>연포초등학교</t>
        </is>
      </c>
      <c r="B78" t="inlineStr">
        <is>
          <t>초등학교</t>
        </is>
      </c>
      <c r="C78" t="inlineStr">
        <is>
          <t>공립</t>
        </is>
      </c>
      <c r="D78" t="inlineStr">
        <is>
          <t>남구</t>
        </is>
      </c>
      <c r="E78" t="inlineStr">
        <is>
          <t>부산광역시 남구 못골로 17</t>
        </is>
      </c>
      <c r="F78" s="11" t="inlineStr">
        <is>
          <t>http://yeonpo.es.kr</t>
        </is>
      </c>
      <c r="G78" t="inlineStr">
        <is>
          <t>051-630-1000</t>
        </is>
      </c>
      <c r="H78" t="inlineStr">
        <is>
          <t>2026</t>
        </is>
      </c>
      <c r="I78" s="15" t="n">
        <v>176</v>
      </c>
      <c r="J78" s="15" t="n">
        <v>165</v>
      </c>
      <c r="K78" s="15" t="n">
        <v>191</v>
      </c>
      <c r="L78" s="15" t="n">
        <v>218</v>
      </c>
      <c r="M78" s="15" t="n">
        <v>215</v>
      </c>
      <c r="N78" s="15" t="n">
        <v>218</v>
      </c>
      <c r="O78" s="15" t="n">
        <v>7</v>
      </c>
      <c r="P78" s="15" t="n">
        <v>0</v>
      </c>
      <c r="Q78" s="14">
        <f>IF(COUNT(I78:P78)=0,"",SUM(I78:P78))</f>
        <v/>
      </c>
      <c r="R78" t="inlineStr"/>
    </row>
    <row r="79">
      <c r="A79" t="inlineStr">
        <is>
          <t>오륙도초등학교</t>
        </is>
      </c>
      <c r="B79" t="inlineStr">
        <is>
          <t>초등학교</t>
        </is>
      </c>
      <c r="C79" t="inlineStr">
        <is>
          <t>공립</t>
        </is>
      </c>
      <c r="D79" t="inlineStr">
        <is>
          <t>남구</t>
        </is>
      </c>
      <c r="E79" t="inlineStr">
        <is>
          <t>부산광역시 남구 오륙도로 57</t>
        </is>
      </c>
      <c r="F79" s="11" t="inlineStr">
        <is>
          <t>http://www.oryukdo.es.kr/</t>
        </is>
      </c>
      <c r="G79" t="inlineStr">
        <is>
          <t>051-610-6805</t>
        </is>
      </c>
      <c r="H79" t="inlineStr">
        <is>
          <t>2026</t>
        </is>
      </c>
      <c r="I79" s="15" t="n">
        <v>62</v>
      </c>
      <c r="J79" s="15" t="n">
        <v>61</v>
      </c>
      <c r="K79" s="15" t="n">
        <v>70</v>
      </c>
      <c r="L79" s="15" t="n">
        <v>86</v>
      </c>
      <c r="M79" s="15" t="n">
        <v>87</v>
      </c>
      <c r="N79" s="15" t="n">
        <v>81</v>
      </c>
      <c r="O79" s="15" t="n">
        <v>0</v>
      </c>
      <c r="P79" s="15" t="n">
        <v>0</v>
      </c>
      <c r="Q79" s="14">
        <f>IF(COUNT(I79:P79)=0,"",SUM(I79:P79))</f>
        <v/>
      </c>
      <c r="R79" t="inlineStr"/>
    </row>
    <row r="80">
      <c r="A80" t="inlineStr">
        <is>
          <t>용당초등학교</t>
        </is>
      </c>
      <c r="B80" t="inlineStr">
        <is>
          <t>초등학교</t>
        </is>
      </c>
      <c r="C80" t="inlineStr">
        <is>
          <t>공립</t>
        </is>
      </c>
      <c r="D80" t="inlineStr">
        <is>
          <t>남구</t>
        </is>
      </c>
      <c r="E80" t="inlineStr">
        <is>
          <t>부산광역시 남구 신선로 341</t>
        </is>
      </c>
      <c r="F80" s="11" t="inlineStr">
        <is>
          <t>http://yongdang.es.kr/</t>
        </is>
      </c>
      <c r="G80" t="inlineStr">
        <is>
          <t>051-624-4013</t>
        </is>
      </c>
      <c r="H80" t="inlineStr">
        <is>
          <t>2026</t>
        </is>
      </c>
      <c r="I80" s="15" t="n">
        <v>7</v>
      </c>
      <c r="J80" s="15" t="n">
        <v>3</v>
      </c>
      <c r="K80" s="15" t="n">
        <v>8</v>
      </c>
      <c r="L80" s="15" t="n">
        <v>13</v>
      </c>
      <c r="M80" s="15" t="n">
        <v>20</v>
      </c>
      <c r="N80" s="15" t="n">
        <v>10</v>
      </c>
      <c r="O80" s="15" t="n">
        <v>6</v>
      </c>
      <c r="P80" s="15" t="n">
        <v>0</v>
      </c>
      <c r="Q80" s="14">
        <f>IF(COUNT(I80:P80)=0,"",SUM(I80:P80))</f>
        <v/>
      </c>
      <c r="R80" t="inlineStr"/>
    </row>
    <row r="81">
      <c r="A81" t="inlineStr">
        <is>
          <t>용문초등학교</t>
        </is>
      </c>
      <c r="B81" t="inlineStr">
        <is>
          <t>초등학교</t>
        </is>
      </c>
      <c r="C81" t="inlineStr">
        <is>
          <t>공립</t>
        </is>
      </c>
      <c r="D81" t="inlineStr">
        <is>
          <t>남구</t>
        </is>
      </c>
      <c r="E81" t="inlineStr">
        <is>
          <t>부산광역시 남구 신선로 542</t>
        </is>
      </c>
      <c r="F81" s="11" t="inlineStr">
        <is>
          <t>http://yong-mun.es.kr/</t>
        </is>
      </c>
      <c r="G81" t="inlineStr">
        <is>
          <t>051-623-4864</t>
        </is>
      </c>
      <c r="H81" t="inlineStr">
        <is>
          <t>2026</t>
        </is>
      </c>
      <c r="I81" s="15" t="n">
        <v>97</v>
      </c>
      <c r="J81" s="15" t="n">
        <v>113</v>
      </c>
      <c r="K81" s="15" t="n">
        <v>120</v>
      </c>
      <c r="L81" s="15" t="n">
        <v>148</v>
      </c>
      <c r="M81" s="15" t="n">
        <v>171</v>
      </c>
      <c r="N81" s="15" t="n">
        <v>150</v>
      </c>
      <c r="O81" s="15" t="n">
        <v>0</v>
      </c>
      <c r="P81" s="15" t="n">
        <v>0</v>
      </c>
      <c r="Q81" s="14">
        <f>IF(COUNT(I81:P81)=0,"",SUM(I81:P81))</f>
        <v/>
      </c>
      <c r="R81" t="inlineStr"/>
    </row>
    <row r="82">
      <c r="A82" t="inlineStr">
        <is>
          <t>용산초등학교</t>
        </is>
      </c>
      <c r="B82" t="inlineStr">
        <is>
          <t>초등학교</t>
        </is>
      </c>
      <c r="C82" t="inlineStr">
        <is>
          <t>공립</t>
        </is>
      </c>
      <c r="D82" t="inlineStr">
        <is>
          <t>남구</t>
        </is>
      </c>
      <c r="E82" t="inlineStr">
        <is>
          <t>부산광역시 남구 동명로 176번길 55</t>
        </is>
      </c>
      <c r="F82" s="11" t="inlineStr">
        <is>
          <t>http://school.busanedu.net/yong-san-e/main.do</t>
        </is>
      </c>
      <c r="G82" t="inlineStr">
        <is>
          <t>051-610-7300</t>
        </is>
      </c>
      <c r="H82" t="inlineStr">
        <is>
          <t>2026</t>
        </is>
      </c>
      <c r="I82" s="15" t="n">
        <v>15</v>
      </c>
      <c r="J82" s="15" t="n">
        <v>26</v>
      </c>
      <c r="K82" s="15" t="n">
        <v>38</v>
      </c>
      <c r="L82" s="15" t="n">
        <v>41</v>
      </c>
      <c r="M82" s="15" t="n">
        <v>56</v>
      </c>
      <c r="N82" s="15" t="n">
        <v>49</v>
      </c>
      <c r="O82" s="15" t="n">
        <v>6</v>
      </c>
      <c r="P82" s="15" t="n">
        <v>0</v>
      </c>
      <c r="Q82" s="14">
        <f>IF(COUNT(I82:P82)=0,"",SUM(I82:P82))</f>
        <v/>
      </c>
      <c r="R82" t="inlineStr"/>
    </row>
    <row r="83">
      <c r="A83" t="inlineStr">
        <is>
          <t>용소초등학교</t>
        </is>
      </c>
      <c r="B83" t="inlineStr">
        <is>
          <t>초등학교</t>
        </is>
      </c>
      <c r="C83" t="inlineStr">
        <is>
          <t>공립</t>
        </is>
      </c>
      <c r="D83" t="inlineStr">
        <is>
          <t>남구</t>
        </is>
      </c>
      <c r="E83" t="inlineStr">
        <is>
          <t>부산광역시 남구 수영로325번길 114</t>
        </is>
      </c>
      <c r="F83" s="11" t="inlineStr">
        <is>
          <t>http://yong-so.es.kr/</t>
        </is>
      </c>
      <c r="G83" t="inlineStr">
        <is>
          <t>051-750-9700</t>
        </is>
      </c>
      <c r="H83" t="inlineStr">
        <is>
          <t>2026</t>
        </is>
      </c>
      <c r="I83" s="15" t="n">
        <v>114</v>
      </c>
      <c r="J83" s="15" t="n">
        <v>143</v>
      </c>
      <c r="K83" s="15" t="n">
        <v>157</v>
      </c>
      <c r="L83" s="15" t="n">
        <v>193</v>
      </c>
      <c r="M83" s="15" t="n">
        <v>182</v>
      </c>
      <c r="N83" s="15" t="n">
        <v>213</v>
      </c>
      <c r="O83" s="15" t="n">
        <v>7</v>
      </c>
      <c r="P83" s="15" t="n">
        <v>0</v>
      </c>
      <c r="Q83" s="14">
        <f>IF(COUNT(I83:P83)=0,"",SUM(I83:P83))</f>
        <v/>
      </c>
      <c r="R83" t="inlineStr"/>
    </row>
    <row r="84">
      <c r="A84" t="inlineStr">
        <is>
          <t>용호초등학교</t>
        </is>
      </c>
      <c r="B84" t="inlineStr">
        <is>
          <t>초등학교</t>
        </is>
      </c>
      <c r="C84" t="inlineStr">
        <is>
          <t>공립</t>
        </is>
      </c>
      <c r="D84" t="inlineStr">
        <is>
          <t>남구</t>
        </is>
      </c>
      <c r="E84" t="inlineStr">
        <is>
          <t>부산광역시 남구 용호로42번길 94</t>
        </is>
      </c>
      <c r="F84" s="11" t="inlineStr">
        <is>
          <t>http://yh.es.kr/</t>
        </is>
      </c>
      <c r="G84" t="inlineStr">
        <is>
          <t>051-718-2204</t>
        </is>
      </c>
      <c r="H84" t="inlineStr">
        <is>
          <t>2026</t>
        </is>
      </c>
      <c r="I84" s="15" t="n">
        <v>32</v>
      </c>
      <c r="J84" s="15" t="n">
        <v>45</v>
      </c>
      <c r="K84" s="15" t="n">
        <v>50</v>
      </c>
      <c r="L84" s="15" t="n">
        <v>65</v>
      </c>
      <c r="M84" s="15" t="n">
        <v>73</v>
      </c>
      <c r="N84" s="15" t="n">
        <v>74</v>
      </c>
      <c r="O84" s="15" t="n">
        <v>10</v>
      </c>
      <c r="P84" s="15" t="n">
        <v>0</v>
      </c>
      <c r="Q84" s="14">
        <f>IF(COUNT(I84:P84)=0,"",SUM(I84:P84))</f>
        <v/>
      </c>
      <c r="R84" t="inlineStr"/>
    </row>
    <row r="85">
      <c r="A85" t="inlineStr">
        <is>
          <t>우암초등학교</t>
        </is>
      </c>
      <c r="B85" t="inlineStr">
        <is>
          <t>초등학교</t>
        </is>
      </c>
      <c r="C85" t="inlineStr">
        <is>
          <t>공립</t>
        </is>
      </c>
      <c r="D85" t="inlineStr">
        <is>
          <t>남구</t>
        </is>
      </c>
      <c r="E85" t="inlineStr">
        <is>
          <t>부산광역시 남구 우암로 190-19</t>
        </is>
      </c>
      <c r="F85" s="11" t="inlineStr">
        <is>
          <t>http://www.uambusan.es.kr/</t>
        </is>
      </c>
      <c r="G85" t="inlineStr">
        <is>
          <t>070-8709-2103</t>
        </is>
      </c>
      <c r="H85" t="inlineStr">
        <is>
          <t>2026</t>
        </is>
      </c>
      <c r="I85" s="15" t="n">
        <v>33</v>
      </c>
      <c r="J85" s="15" t="n">
        <v>38</v>
      </c>
      <c r="K85" s="15" t="n">
        <v>42</v>
      </c>
      <c r="L85" s="15" t="n">
        <v>40</v>
      </c>
      <c r="M85" s="15" t="n">
        <v>50</v>
      </c>
      <c r="N85" s="15" t="n">
        <v>56</v>
      </c>
      <c r="O85" s="15" t="n">
        <v>5</v>
      </c>
      <c r="P85" s="15" t="n">
        <v>0</v>
      </c>
      <c r="Q85" s="14">
        <f>IF(COUNT(I85:P85)=0,"",SUM(I85:P85))</f>
        <v/>
      </c>
      <c r="R85" t="inlineStr"/>
    </row>
    <row r="86">
      <c r="A86" t="inlineStr">
        <is>
          <t>운산초등학교</t>
        </is>
      </c>
      <c r="B86" t="inlineStr">
        <is>
          <t>초등학교</t>
        </is>
      </c>
      <c r="C86" t="inlineStr">
        <is>
          <t>공립</t>
        </is>
      </c>
      <c r="D86" t="inlineStr">
        <is>
          <t>남구</t>
        </is>
      </c>
      <c r="E86" t="inlineStr">
        <is>
          <t>부산광역시 남구 용호로269번길 89</t>
        </is>
      </c>
      <c r="F86" s="11" t="inlineStr">
        <is>
          <t>http://www.unsan.es.kr</t>
        </is>
      </c>
      <c r="G86" t="inlineStr">
        <is>
          <t>051-626-1202</t>
        </is>
      </c>
      <c r="H86" t="inlineStr">
        <is>
          <t>2026</t>
        </is>
      </c>
      <c r="I86" s="15" t="n">
        <v>61</v>
      </c>
      <c r="J86" s="15" t="n">
        <v>63</v>
      </c>
      <c r="K86" s="15" t="n">
        <v>85</v>
      </c>
      <c r="L86" s="15" t="n">
        <v>78</v>
      </c>
      <c r="M86" s="15" t="n">
        <v>71</v>
      </c>
      <c r="N86" s="15" t="n">
        <v>73</v>
      </c>
      <c r="O86" s="15" t="n">
        <v>9</v>
      </c>
      <c r="P86" s="15" t="n">
        <v>0</v>
      </c>
      <c r="Q86" s="14">
        <f>IF(COUNT(I86:P86)=0,"",SUM(I86:P86))</f>
        <v/>
      </c>
      <c r="R86" t="inlineStr"/>
    </row>
    <row r="87">
      <c r="A87" t="inlineStr">
        <is>
          <t>동일중앙초등학교</t>
        </is>
      </c>
      <c r="B87" t="inlineStr">
        <is>
          <t>초등학교</t>
        </is>
      </c>
      <c r="C87" t="inlineStr">
        <is>
          <t>공립</t>
        </is>
      </c>
      <c r="D87" t="inlineStr">
        <is>
          <t>동구</t>
        </is>
      </c>
      <c r="E87" t="inlineStr">
        <is>
          <t>부산광역시 동구 구봉로 46</t>
        </is>
      </c>
      <c r="F87" s="11" t="inlineStr">
        <is>
          <t>http://dongiljungang.es.kr/</t>
        </is>
      </c>
      <c r="G87" t="inlineStr">
        <is>
          <t>051-460-0100</t>
        </is>
      </c>
      <c r="H87" t="inlineStr">
        <is>
          <t>2026</t>
        </is>
      </c>
      <c r="I87" s="15" t="n">
        <v>126</v>
      </c>
      <c r="J87" s="15" t="n">
        <v>105</v>
      </c>
      <c r="K87" s="15" t="n">
        <v>142</v>
      </c>
      <c r="L87" s="15" t="n">
        <v>150</v>
      </c>
      <c r="M87" s="15" t="n">
        <v>179</v>
      </c>
      <c r="N87" s="15" t="n">
        <v>141</v>
      </c>
      <c r="O87" s="15" t="n">
        <v>14</v>
      </c>
      <c r="P87" s="15" t="n">
        <v>0</v>
      </c>
      <c r="Q87" s="14">
        <f>IF(COUNT(I87:P87)=0,"",SUM(I87:P87))</f>
        <v/>
      </c>
      <c r="R87" t="inlineStr"/>
    </row>
    <row r="88">
      <c r="A88" t="inlineStr">
        <is>
          <t>범일초등학교</t>
        </is>
      </c>
      <c r="B88" t="inlineStr">
        <is>
          <t>초등학교</t>
        </is>
      </c>
      <c r="C88" t="inlineStr">
        <is>
          <t>공립</t>
        </is>
      </c>
      <c r="D88" t="inlineStr">
        <is>
          <t>동구</t>
        </is>
      </c>
      <c r="E88" t="inlineStr">
        <is>
          <t>부산광역시 동구 증산서로 55</t>
        </is>
      </c>
      <c r="F88" s="11" t="inlineStr">
        <is>
          <t>http://beom-il.es.kr</t>
        </is>
      </c>
      <c r="G88" t="inlineStr">
        <is>
          <t>051-630-6000</t>
        </is>
      </c>
      <c r="H88" t="inlineStr">
        <is>
          <t>2026</t>
        </is>
      </c>
      <c r="I88" s="15" t="n">
        <v>24</v>
      </c>
      <c r="J88" s="15" t="n">
        <v>16</v>
      </c>
      <c r="K88" s="15" t="n">
        <v>27</v>
      </c>
      <c r="L88" s="15" t="n">
        <v>26</v>
      </c>
      <c r="M88" s="15" t="n">
        <v>32</v>
      </c>
      <c r="N88" s="15" t="n">
        <v>30</v>
      </c>
      <c r="O88" s="15" t="n">
        <v>8</v>
      </c>
      <c r="P88" s="15" t="n">
        <v>0</v>
      </c>
      <c r="Q88" s="14">
        <f>IF(COUNT(I88:P88)=0,"",SUM(I88:P88))</f>
        <v/>
      </c>
      <c r="R88" t="inlineStr"/>
    </row>
    <row r="89">
      <c r="A89" t="inlineStr">
        <is>
          <t>성남초등학교</t>
        </is>
      </c>
      <c r="B89" t="inlineStr">
        <is>
          <t>초등학교</t>
        </is>
      </c>
      <c r="C89" t="inlineStr">
        <is>
          <t>공립</t>
        </is>
      </c>
      <c r="D89" t="inlineStr">
        <is>
          <t>동구</t>
        </is>
      </c>
      <c r="E89" t="inlineStr">
        <is>
          <t>부산광역시 동구 범일로53번길 14</t>
        </is>
      </c>
      <c r="F89" s="11" t="inlineStr">
        <is>
          <t>https://school.busanedu.net/pusansungnam-e</t>
        </is>
      </c>
      <c r="G89" t="inlineStr">
        <is>
          <t>051-646-9637</t>
        </is>
      </c>
      <c r="H89" t="inlineStr">
        <is>
          <t>2026</t>
        </is>
      </c>
      <c r="I89" s="15" t="n">
        <v>91</v>
      </c>
      <c r="J89" s="15" t="n">
        <v>94</v>
      </c>
      <c r="K89" s="15" t="n">
        <v>95</v>
      </c>
      <c r="L89" s="15" t="n">
        <v>99</v>
      </c>
      <c r="M89" s="15" t="n">
        <v>90</v>
      </c>
      <c r="N89" s="15" t="n">
        <v>99</v>
      </c>
      <c r="O89" s="15" t="n">
        <v>5</v>
      </c>
      <c r="P89" s="15" t="n">
        <v>0</v>
      </c>
      <c r="Q89" s="14">
        <f>IF(COUNT(I89:P89)=0,"",SUM(I89:P89))</f>
        <v/>
      </c>
      <c r="R89" t="inlineStr"/>
    </row>
    <row r="90">
      <c r="A90" t="inlineStr">
        <is>
          <t>수성초등학교</t>
        </is>
      </c>
      <c r="B90" t="inlineStr">
        <is>
          <t>초등학교</t>
        </is>
      </c>
      <c r="C90" t="inlineStr">
        <is>
          <t>공립</t>
        </is>
      </c>
      <c r="D90" t="inlineStr">
        <is>
          <t>동구</t>
        </is>
      </c>
      <c r="E90" t="inlineStr">
        <is>
          <t>부산광역시 동구 망양로 807</t>
        </is>
      </c>
      <c r="F90" s="11" t="inlineStr">
        <is>
          <t>http://suseong.es.kr</t>
        </is>
      </c>
      <c r="G90" t="inlineStr">
        <is>
          <t>051-466-1837</t>
        </is>
      </c>
      <c r="H90" t="inlineStr">
        <is>
          <t>2026</t>
        </is>
      </c>
      <c r="I90" s="15" t="n">
        <v>11</v>
      </c>
      <c r="J90" s="15" t="n">
        <v>14</v>
      </c>
      <c r="K90" s="15" t="n">
        <v>14</v>
      </c>
      <c r="L90" s="15" t="n">
        <v>22</v>
      </c>
      <c r="M90" s="15" t="n">
        <v>14</v>
      </c>
      <c r="N90" s="15" t="n">
        <v>26</v>
      </c>
      <c r="O90" s="15" t="n">
        <v>3</v>
      </c>
      <c r="P90" s="15" t="n">
        <v>0</v>
      </c>
      <c r="Q90" s="14">
        <f>IF(COUNT(I90:P90)=0,"",SUM(I90:P90))</f>
        <v/>
      </c>
      <c r="R90" t="inlineStr"/>
    </row>
    <row r="91">
      <c r="A91" t="inlineStr">
        <is>
          <t>수정초등학교</t>
        </is>
      </c>
      <c r="B91" t="inlineStr">
        <is>
          <t>초등학교</t>
        </is>
      </c>
      <c r="C91" t="inlineStr">
        <is>
          <t>공립</t>
        </is>
      </c>
      <c r="D91" t="inlineStr">
        <is>
          <t>동구</t>
        </is>
      </c>
      <c r="E91" t="inlineStr">
        <is>
          <t>부산광역시 동구 진성로 29</t>
        </is>
      </c>
      <c r="F91" s="11" t="inlineStr">
        <is>
          <t>http://www.bsujeong.es.kr/</t>
        </is>
      </c>
      <c r="G91" t="inlineStr">
        <is>
          <t>051-719-1800</t>
        </is>
      </c>
      <c r="H91" t="inlineStr">
        <is>
          <t>2026</t>
        </is>
      </c>
      <c r="I91" s="15" t="n">
        <v>36</v>
      </c>
      <c r="J91" s="15" t="n">
        <v>23</v>
      </c>
      <c r="K91" s="15" t="n">
        <v>56</v>
      </c>
      <c r="L91" s="15" t="n">
        <v>52</v>
      </c>
      <c r="M91" s="15" t="n">
        <v>63</v>
      </c>
      <c r="N91" s="15" t="n">
        <v>44</v>
      </c>
      <c r="O91" s="15" t="n">
        <v>7</v>
      </c>
      <c r="P91" s="15" t="n">
        <v>0</v>
      </c>
      <c r="Q91" s="14">
        <f>IF(COUNT(I91:P91)=0,"",SUM(I91:P91))</f>
        <v/>
      </c>
      <c r="R91" t="inlineStr"/>
    </row>
    <row r="92">
      <c r="A92" t="inlineStr">
        <is>
          <t>초량초등학교</t>
        </is>
      </c>
      <c r="B92" t="inlineStr">
        <is>
          <t>초등학교</t>
        </is>
      </c>
      <c r="C92" t="inlineStr">
        <is>
          <t>공립</t>
        </is>
      </c>
      <c r="D92" t="inlineStr">
        <is>
          <t>동구</t>
        </is>
      </c>
      <c r="E92" t="inlineStr">
        <is>
          <t>부산광역시 동구 초량상로 49</t>
        </is>
      </c>
      <c r="F92" s="11" t="inlineStr">
        <is>
          <t>https://school.busanedu.net/chogyo-e</t>
        </is>
      </c>
      <c r="G92" t="inlineStr">
        <is>
          <t>051-468-5115</t>
        </is>
      </c>
      <c r="H92" t="inlineStr">
        <is>
          <t>2026</t>
        </is>
      </c>
      <c r="I92" s="15" t="n">
        <v>16</v>
      </c>
      <c r="J92" s="15" t="n">
        <v>20</v>
      </c>
      <c r="K92" s="15" t="n">
        <v>20</v>
      </c>
      <c r="L92" s="15" t="n">
        <v>31</v>
      </c>
      <c r="M92" s="15" t="n">
        <v>34</v>
      </c>
      <c r="N92" s="15" t="n">
        <v>45</v>
      </c>
      <c r="O92" s="15" t="n">
        <v>3</v>
      </c>
      <c r="P92" s="15" t="n">
        <v>0</v>
      </c>
      <c r="Q92" s="14">
        <f>IF(COUNT(I92:P92)=0,"",SUM(I92:P92))</f>
        <v/>
      </c>
      <c r="R92" t="inlineStr"/>
    </row>
    <row r="93">
      <c r="A93" t="inlineStr">
        <is>
          <t>교동초등학교</t>
        </is>
      </c>
      <c r="B93" t="inlineStr">
        <is>
          <t>초등학교</t>
        </is>
      </c>
      <c r="C93" t="inlineStr">
        <is>
          <t>공립</t>
        </is>
      </c>
      <c r="D93" t="inlineStr">
        <is>
          <t>동래구</t>
        </is>
      </c>
      <c r="E93" t="inlineStr">
        <is>
          <t>부산광역시 동래구 시실로 73-13</t>
        </is>
      </c>
      <c r="F93" s="11" t="inlineStr">
        <is>
          <t>http://www.kd.es.kr</t>
        </is>
      </c>
      <c r="G93" t="inlineStr">
        <is>
          <t>051-6200-104</t>
        </is>
      </c>
      <c r="H93" t="inlineStr">
        <is>
          <t>2026</t>
        </is>
      </c>
      <c r="I93" s="15" t="n">
        <v>85</v>
      </c>
      <c r="J93" s="15" t="n">
        <v>118</v>
      </c>
      <c r="K93" s="15" t="n">
        <v>134</v>
      </c>
      <c r="L93" s="15" t="n">
        <v>125</v>
      </c>
      <c r="M93" s="15" t="n">
        <v>168</v>
      </c>
      <c r="N93" s="15" t="n">
        <v>152</v>
      </c>
      <c r="O93" s="15" t="n">
        <v>4</v>
      </c>
      <c r="P93" s="15" t="n">
        <v>0</v>
      </c>
      <c r="Q93" s="14">
        <f>IF(COUNT(I93:P93)=0,"",SUM(I93:P93))</f>
        <v/>
      </c>
      <c r="R93" t="inlineStr"/>
    </row>
    <row r="94">
      <c r="A94" t="inlineStr">
        <is>
          <t>금강초등학교</t>
        </is>
      </c>
      <c r="B94" t="inlineStr">
        <is>
          <t>초등학교</t>
        </is>
      </c>
      <c r="C94" t="inlineStr">
        <is>
          <t>공립</t>
        </is>
      </c>
      <c r="D94" t="inlineStr">
        <is>
          <t>동래구</t>
        </is>
      </c>
      <c r="E94" t="inlineStr">
        <is>
          <t>부산광역시 동래구 사직북로28번길 125</t>
        </is>
      </c>
      <c r="F94" s="11" t="inlineStr">
        <is>
          <t>http://www.geumgang.es.kr/</t>
        </is>
      </c>
      <c r="G94" t="inlineStr">
        <is>
          <t>051-590-0600</t>
        </is>
      </c>
      <c r="H94" t="inlineStr">
        <is>
          <t>2026</t>
        </is>
      </c>
      <c r="I94" s="15" t="n">
        <v>129</v>
      </c>
      <c r="J94" s="15" t="n">
        <v>118</v>
      </c>
      <c r="K94" s="15" t="n">
        <v>119</v>
      </c>
      <c r="L94" s="15" t="n">
        <v>127</v>
      </c>
      <c r="M94" s="15" t="n">
        <v>132</v>
      </c>
      <c r="N94" s="15" t="n">
        <v>131</v>
      </c>
      <c r="O94" s="15" t="n">
        <v>12</v>
      </c>
      <c r="P94" s="15" t="n">
        <v>0</v>
      </c>
      <c r="Q94" s="14">
        <f>IF(COUNT(I94:P94)=0,"",SUM(I94:P94))</f>
        <v/>
      </c>
      <c r="R94" t="inlineStr"/>
    </row>
    <row r="95">
      <c r="A95" t="inlineStr">
        <is>
          <t>낙민초등학교</t>
        </is>
      </c>
      <c r="B95" t="inlineStr">
        <is>
          <t>초등학교</t>
        </is>
      </c>
      <c r="C95" t="inlineStr">
        <is>
          <t>공립</t>
        </is>
      </c>
      <c r="D95" t="inlineStr">
        <is>
          <t>동래구</t>
        </is>
      </c>
      <c r="E95" t="inlineStr">
        <is>
          <t>부산광역시 동래구 충렬대로272번길 34</t>
        </is>
      </c>
      <c r="F95" s="11" t="inlineStr">
        <is>
          <t>http://nakmin.es.kr</t>
        </is>
      </c>
      <c r="G95" t="inlineStr">
        <is>
          <t>051-712-5200</t>
        </is>
      </c>
      <c r="H95" t="inlineStr">
        <is>
          <t>2026</t>
        </is>
      </c>
      <c r="I95" s="15" t="n">
        <v>52</v>
      </c>
      <c r="J95" s="15" t="n">
        <v>78</v>
      </c>
      <c r="K95" s="15" t="n">
        <v>75</v>
      </c>
      <c r="L95" s="15" t="n">
        <v>109</v>
      </c>
      <c r="M95" s="15" t="n">
        <v>136</v>
      </c>
      <c r="N95" s="15" t="n">
        <v>85</v>
      </c>
      <c r="O95" s="15" t="n">
        <v>6</v>
      </c>
      <c r="P95" s="15" t="n">
        <v>0</v>
      </c>
      <c r="Q95" s="14">
        <f>IF(COUNT(I95:P95)=0,"",SUM(I95:P95))</f>
        <v/>
      </c>
      <c r="R95" t="inlineStr"/>
    </row>
    <row r="96">
      <c r="A96" t="inlineStr">
        <is>
          <t>내산초등학교</t>
        </is>
      </c>
      <c r="B96" t="inlineStr">
        <is>
          <t>초등학교</t>
        </is>
      </c>
      <c r="C96" t="inlineStr">
        <is>
          <t>공립</t>
        </is>
      </c>
      <c r="D96" t="inlineStr">
        <is>
          <t>동래구</t>
        </is>
      </c>
      <c r="E96" t="inlineStr">
        <is>
          <t>부산광역시 동래구 중앙대로1335번길 38</t>
        </is>
      </c>
      <c r="F96" s="11" t="inlineStr">
        <is>
          <t>http://www.naesan.es.kr</t>
        </is>
      </c>
      <c r="G96" t="inlineStr">
        <is>
          <t>051-792-0400</t>
        </is>
      </c>
      <c r="H96" t="inlineStr">
        <is>
          <t>2026</t>
        </is>
      </c>
      <c r="I96" s="15" t="n">
        <v>13</v>
      </c>
      <c r="J96" s="15" t="n">
        <v>14</v>
      </c>
      <c r="K96" s="15" t="n">
        <v>24</v>
      </c>
      <c r="L96" s="15" t="n">
        <v>40</v>
      </c>
      <c r="M96" s="15" t="n">
        <v>38</v>
      </c>
      <c r="N96" s="15" t="n">
        <v>42</v>
      </c>
      <c r="O96" s="15" t="n">
        <v>11</v>
      </c>
      <c r="P96" s="15" t="n">
        <v>0</v>
      </c>
      <c r="Q96" s="14">
        <f>IF(COUNT(I96:P96)=0,"",SUM(I96:P96))</f>
        <v/>
      </c>
      <c r="R96" t="inlineStr"/>
    </row>
    <row r="97">
      <c r="A97" t="inlineStr">
        <is>
          <t>내성초등학교</t>
        </is>
      </c>
      <c r="B97" t="inlineStr">
        <is>
          <t>초등학교</t>
        </is>
      </c>
      <c r="C97" t="inlineStr">
        <is>
          <t>공립</t>
        </is>
      </c>
      <c r="D97" t="inlineStr">
        <is>
          <t>동래구</t>
        </is>
      </c>
      <c r="E97" t="inlineStr">
        <is>
          <t>부산광역시 동래구 동래로 173</t>
        </is>
      </c>
      <c r="F97" s="11" t="inlineStr">
        <is>
          <t>http://www.naesung.es.kr</t>
        </is>
      </c>
      <c r="G97" t="inlineStr">
        <is>
          <t>051-550-8600</t>
        </is>
      </c>
      <c r="H97" t="inlineStr">
        <is>
          <t>2026</t>
        </is>
      </c>
      <c r="I97" s="15" t="n">
        <v>11</v>
      </c>
      <c r="J97" s="15" t="n">
        <v>8</v>
      </c>
      <c r="K97" s="15" t="n">
        <v>11</v>
      </c>
      <c r="L97" s="15" t="n">
        <v>13</v>
      </c>
      <c r="M97" s="15" t="n">
        <v>20</v>
      </c>
      <c r="N97" s="15" t="n">
        <v>20</v>
      </c>
      <c r="O97" s="15" t="n">
        <v>8</v>
      </c>
      <c r="P97" s="15" t="n">
        <v>0</v>
      </c>
      <c r="Q97" s="14">
        <f>IF(COUNT(I97:P97)=0,"",SUM(I97:P97))</f>
        <v/>
      </c>
      <c r="R97" t="inlineStr"/>
    </row>
    <row r="98">
      <c r="A98" t="inlineStr">
        <is>
          <t>달북초등학교</t>
        </is>
      </c>
      <c r="B98" t="inlineStr">
        <is>
          <t>초등학교</t>
        </is>
      </c>
      <c r="C98" t="inlineStr">
        <is>
          <t>공립</t>
        </is>
      </c>
      <c r="D98" t="inlineStr">
        <is>
          <t>동래구</t>
        </is>
      </c>
      <c r="E98" t="inlineStr">
        <is>
          <t>부산광역시 동래구 쇠미로 131</t>
        </is>
      </c>
      <c r="F98" s="11" t="inlineStr">
        <is>
          <t>http://www.dalbuk.es.kr</t>
        </is>
      </c>
      <c r="G98" t="inlineStr">
        <is>
          <t>051-7900-500</t>
        </is>
      </c>
      <c r="H98" t="inlineStr">
        <is>
          <t>2026</t>
        </is>
      </c>
      <c r="I98" s="15" t="n">
        <v>55</v>
      </c>
      <c r="J98" s="15" t="n">
        <v>59</v>
      </c>
      <c r="K98" s="15" t="n">
        <v>79</v>
      </c>
      <c r="L98" s="15" t="n">
        <v>91</v>
      </c>
      <c r="M98" s="15" t="n">
        <v>99</v>
      </c>
      <c r="N98" s="15" t="n">
        <v>81</v>
      </c>
      <c r="O98" s="15" t="n">
        <v>6</v>
      </c>
      <c r="P98" s="15" t="n">
        <v>0</v>
      </c>
      <c r="Q98" s="14">
        <f>IF(COUNT(I98:P98)=0,"",SUM(I98:P98))</f>
        <v/>
      </c>
      <c r="R98" t="inlineStr"/>
    </row>
    <row r="99">
      <c r="A99" t="inlineStr">
        <is>
          <t>명동초등학교</t>
        </is>
      </c>
      <c r="B99" t="inlineStr">
        <is>
          <t>초등학교</t>
        </is>
      </c>
      <c r="C99" t="inlineStr">
        <is>
          <t>공립</t>
        </is>
      </c>
      <c r="D99" t="inlineStr">
        <is>
          <t>동래구</t>
        </is>
      </c>
      <c r="E99" t="inlineStr">
        <is>
          <t>부산광역시 동래구 명장로63번길 60-5</t>
        </is>
      </c>
      <c r="F99" s="11" t="inlineStr">
        <is>
          <t>http://www.mdong.es.kr</t>
        </is>
      </c>
      <c r="G99" t="inlineStr">
        <is>
          <t>051-550-5700</t>
        </is>
      </c>
      <c r="H99" t="inlineStr">
        <is>
          <t>2026</t>
        </is>
      </c>
      <c r="I99" s="15" t="n">
        <v>53</v>
      </c>
      <c r="J99" s="15" t="n">
        <v>55</v>
      </c>
      <c r="K99" s="15" t="n">
        <v>74</v>
      </c>
      <c r="L99" s="15" t="n">
        <v>78</v>
      </c>
      <c r="M99" s="15" t="n">
        <v>89</v>
      </c>
      <c r="N99" s="15" t="n">
        <v>73</v>
      </c>
      <c r="O99" s="15" t="n">
        <v>5</v>
      </c>
      <c r="P99" s="15" t="n">
        <v>0</v>
      </c>
      <c r="Q99" s="14">
        <f>IF(COUNT(I99:P99)=0,"",SUM(I99:P99))</f>
        <v/>
      </c>
      <c r="R99" t="inlineStr"/>
    </row>
    <row r="100">
      <c r="A100" t="inlineStr">
        <is>
          <t>명륜초등학교</t>
        </is>
      </c>
      <c r="B100" t="inlineStr">
        <is>
          <t>초등학교</t>
        </is>
      </c>
      <c r="C100" t="inlineStr">
        <is>
          <t>공립</t>
        </is>
      </c>
      <c r="D100" t="inlineStr">
        <is>
          <t>동래구</t>
        </is>
      </c>
      <c r="E100" t="inlineStr">
        <is>
          <t>부산광역시 동래구 동래로 91</t>
        </is>
      </c>
      <c r="F100" s="11" t="inlineStr">
        <is>
          <t>http://school.busanedu.net/myeongryun-e/main.do</t>
        </is>
      </c>
      <c r="G100" t="inlineStr">
        <is>
          <t>051-713-6800</t>
        </is>
      </c>
      <c r="H100" t="inlineStr">
        <is>
          <t>2026</t>
        </is>
      </c>
      <c r="I100" s="15" t="n">
        <v>162</v>
      </c>
      <c r="J100" s="15" t="n">
        <v>130</v>
      </c>
      <c r="K100" s="15" t="n">
        <v>165</v>
      </c>
      <c r="L100" s="15" t="n">
        <v>195</v>
      </c>
      <c r="M100" s="15" t="n">
        <v>210</v>
      </c>
      <c r="N100" s="15" t="n">
        <v>213</v>
      </c>
      <c r="O100" s="15" t="n">
        <v>6</v>
      </c>
      <c r="P100" s="15" t="n">
        <v>0</v>
      </c>
      <c r="Q100" s="14">
        <f>IF(COUNT(I100:P100)=0,"",SUM(I100:P100))</f>
        <v/>
      </c>
      <c r="R100" t="inlineStr"/>
    </row>
    <row r="101">
      <c r="A101" t="inlineStr">
        <is>
          <t>명서초등학교</t>
        </is>
      </c>
      <c r="B101" t="inlineStr">
        <is>
          <t>초등학교</t>
        </is>
      </c>
      <c r="C101" t="inlineStr">
        <is>
          <t>공립</t>
        </is>
      </c>
      <c r="D101" t="inlineStr">
        <is>
          <t>동래구</t>
        </is>
      </c>
      <c r="E101" t="inlineStr">
        <is>
          <t>부산광역시 동래구 명서로 121</t>
        </is>
      </c>
      <c r="F101" s="11" t="inlineStr">
        <is>
          <t>http://www.myongseo.es.kr</t>
        </is>
      </c>
      <c r="G101" t="inlineStr">
        <is>
          <t>051-524-7837</t>
        </is>
      </c>
      <c r="H101" t="inlineStr">
        <is>
          <t>2026</t>
        </is>
      </c>
      <c r="I101" s="15" t="n">
        <v>10</v>
      </c>
      <c r="J101" s="15" t="n">
        <v>9</v>
      </c>
      <c r="K101" s="15" t="n">
        <v>10</v>
      </c>
      <c r="L101" s="15" t="n">
        <v>11</v>
      </c>
      <c r="M101" s="15" t="n">
        <v>13</v>
      </c>
      <c r="N101" s="15" t="n">
        <v>25</v>
      </c>
      <c r="O101" s="15" t="n">
        <v>6</v>
      </c>
      <c r="P101" s="15" t="n">
        <v>0</v>
      </c>
      <c r="Q101" s="14">
        <f>IF(COUNT(I101:P101)=0,"",SUM(I101:P101))</f>
        <v/>
      </c>
      <c r="R101" t="inlineStr"/>
    </row>
    <row r="102">
      <c r="A102" t="inlineStr">
        <is>
          <t>명장초등학교</t>
        </is>
      </c>
      <c r="B102" t="inlineStr">
        <is>
          <t>초등학교</t>
        </is>
      </c>
      <c r="C102" t="inlineStr">
        <is>
          <t>공립</t>
        </is>
      </c>
      <c r="D102" t="inlineStr">
        <is>
          <t>동래구</t>
        </is>
      </c>
      <c r="E102" t="inlineStr">
        <is>
          <t>부산광역시 동래구 복천로 121</t>
        </is>
      </c>
      <c r="F102" s="11" t="inlineStr">
        <is>
          <t>http://myungjang.es.kr</t>
        </is>
      </c>
      <c r="G102" t="inlineStr">
        <is>
          <t>051-529-0644</t>
        </is>
      </c>
      <c r="H102" t="inlineStr">
        <is>
          <t>2026</t>
        </is>
      </c>
      <c r="I102" s="15" t="n">
        <v>56</v>
      </c>
      <c r="J102" s="15" t="n">
        <v>42</v>
      </c>
      <c r="K102" s="15" t="n">
        <v>56</v>
      </c>
      <c r="L102" s="15" t="n">
        <v>68</v>
      </c>
      <c r="M102" s="15" t="n">
        <v>53</v>
      </c>
      <c r="N102" s="15" t="n">
        <v>58</v>
      </c>
      <c r="O102" s="15" t="n">
        <v>7</v>
      </c>
      <c r="P102" s="15" t="n">
        <v>0</v>
      </c>
      <c r="Q102" s="14">
        <f>IF(COUNT(I102:P102)=0,"",SUM(I102:P102))</f>
        <v/>
      </c>
      <c r="R102" t="inlineStr"/>
    </row>
    <row r="103">
      <c r="A103" t="inlineStr">
        <is>
          <t>미남초등학교</t>
        </is>
      </c>
      <c r="B103" t="inlineStr">
        <is>
          <t>초등학교</t>
        </is>
      </c>
      <c r="C103" t="inlineStr">
        <is>
          <t>공립</t>
        </is>
      </c>
      <c r="D103" t="inlineStr">
        <is>
          <t>동래구</t>
        </is>
      </c>
      <c r="E103" t="inlineStr">
        <is>
          <t>부산광역시 동래구 충렬대로100번길 83</t>
        </is>
      </c>
      <c r="F103" s="11" t="inlineStr">
        <is>
          <t>http://minam.es.kr/</t>
        </is>
      </c>
      <c r="G103" t="inlineStr">
        <is>
          <t>051-504-9666</t>
        </is>
      </c>
      <c r="H103" t="inlineStr">
        <is>
          <t>2026</t>
        </is>
      </c>
      <c r="I103" s="15" t="n">
        <v>22</v>
      </c>
      <c r="J103" s="15" t="n">
        <v>36</v>
      </c>
      <c r="K103" s="15" t="n">
        <v>29</v>
      </c>
      <c r="L103" s="15" t="n">
        <v>45</v>
      </c>
      <c r="M103" s="15" t="n">
        <v>44</v>
      </c>
      <c r="N103" s="15" t="n">
        <v>47</v>
      </c>
      <c r="O103" s="15" t="n">
        <v>5</v>
      </c>
      <c r="P103" s="15" t="n">
        <v>0</v>
      </c>
      <c r="Q103" s="14">
        <f>IF(COUNT(I103:P103)=0,"",SUM(I103:P103))</f>
        <v/>
      </c>
      <c r="R103" t="inlineStr"/>
    </row>
    <row r="104">
      <c r="A104" t="inlineStr">
        <is>
          <t>사직초등학교</t>
        </is>
      </c>
      <c r="B104" t="inlineStr">
        <is>
          <t>초등학교</t>
        </is>
      </c>
      <c r="C104" t="inlineStr">
        <is>
          <t>공립</t>
        </is>
      </c>
      <c r="D104" t="inlineStr">
        <is>
          <t>동래구</t>
        </is>
      </c>
      <c r="E104" t="inlineStr">
        <is>
          <t>부산광역시 동래구 쇠미로81번길 7</t>
        </is>
      </c>
      <c r="F104" s="11" t="inlineStr">
        <is>
          <t>http://www.sajik.es.kr</t>
        </is>
      </c>
      <c r="G104" t="inlineStr">
        <is>
          <t>051-500-3200</t>
        </is>
      </c>
      <c r="H104" t="inlineStr">
        <is>
          <t>2026</t>
        </is>
      </c>
      <c r="I104" s="15" t="n">
        <v>98</v>
      </c>
      <c r="J104" s="15" t="n">
        <v>123</v>
      </c>
      <c r="K104" s="15" t="n">
        <v>135</v>
      </c>
      <c r="L104" s="15" t="n">
        <v>152</v>
      </c>
      <c r="M104" s="15" t="n">
        <v>185</v>
      </c>
      <c r="N104" s="15" t="n">
        <v>202</v>
      </c>
      <c r="O104" s="15" t="n">
        <v>6</v>
      </c>
      <c r="P104" s="15" t="n">
        <v>0</v>
      </c>
      <c r="Q104" s="14">
        <f>IF(COUNT(I104:P104)=0,"",SUM(I104:P104))</f>
        <v/>
      </c>
      <c r="R104" t="inlineStr"/>
    </row>
    <row r="105">
      <c r="A105" t="inlineStr">
        <is>
          <t>수안초등학교</t>
        </is>
      </c>
      <c r="B105" t="inlineStr">
        <is>
          <t>초등학교</t>
        </is>
      </c>
      <c r="C105" t="inlineStr">
        <is>
          <t>공립</t>
        </is>
      </c>
      <c r="D105" t="inlineStr">
        <is>
          <t>동래구</t>
        </is>
      </c>
      <c r="E105" t="inlineStr">
        <is>
          <t>부산광역시 동래구 온천천로 215</t>
        </is>
      </c>
      <c r="F105" s="11" t="inlineStr">
        <is>
          <t>http://suan.es.kr</t>
        </is>
      </c>
      <c r="G105" t="inlineStr">
        <is>
          <t>051-550-8700</t>
        </is>
      </c>
      <c r="H105" t="inlineStr">
        <is>
          <t>2026</t>
        </is>
      </c>
      <c r="I105" s="15" t="n">
        <v>18</v>
      </c>
      <c r="J105" s="15" t="n">
        <v>8</v>
      </c>
      <c r="K105" s="15" t="n">
        <v>20</v>
      </c>
      <c r="L105" s="15" t="n">
        <v>18</v>
      </c>
      <c r="M105" s="15" t="n">
        <v>30</v>
      </c>
      <c r="N105" s="15" t="n">
        <v>34</v>
      </c>
      <c r="O105" s="15" t="n">
        <v>4</v>
      </c>
      <c r="P105" s="15" t="n">
        <v>0</v>
      </c>
      <c r="Q105" s="14">
        <f>IF(COUNT(I105:P105)=0,"",SUM(I105:P105))</f>
        <v/>
      </c>
      <c r="R105" t="inlineStr"/>
    </row>
    <row r="106">
      <c r="A106" t="inlineStr">
        <is>
          <t>안남초등학교</t>
        </is>
      </c>
      <c r="B106" t="inlineStr">
        <is>
          <t>초등학교</t>
        </is>
      </c>
      <c r="C106" t="inlineStr">
        <is>
          <t>공립</t>
        </is>
      </c>
      <c r="D106" t="inlineStr">
        <is>
          <t>동래구</t>
        </is>
      </c>
      <c r="E106" t="inlineStr">
        <is>
          <t>부산광역시 동래구 연안로 46</t>
        </is>
      </c>
      <c r="F106" s="11" t="inlineStr">
        <is>
          <t>http://annam.es.kr</t>
        </is>
      </c>
      <c r="G106" t="inlineStr">
        <is>
          <t>051-520-6600</t>
        </is>
      </c>
      <c r="H106" t="inlineStr">
        <is>
          <t>2026</t>
        </is>
      </c>
      <c r="I106" s="15" t="n">
        <v>79</v>
      </c>
      <c r="J106" s="15" t="n">
        <v>82</v>
      </c>
      <c r="K106" s="15" t="n">
        <v>103</v>
      </c>
      <c r="L106" s="15" t="n">
        <v>125</v>
      </c>
      <c r="M106" s="15" t="n">
        <v>132</v>
      </c>
      <c r="N106" s="15" t="n">
        <v>133</v>
      </c>
      <c r="O106" s="15" t="n">
        <v>11</v>
      </c>
      <c r="P106" s="15" t="n">
        <v>0</v>
      </c>
      <c r="Q106" s="14">
        <f>IF(COUNT(I106:P106)=0,"",SUM(I106:P106))</f>
        <v/>
      </c>
      <c r="R106" t="inlineStr"/>
    </row>
    <row r="107">
      <c r="A107" t="inlineStr">
        <is>
          <t>안락초등학교</t>
        </is>
      </c>
      <c r="B107" t="inlineStr">
        <is>
          <t>초등학교</t>
        </is>
      </c>
      <c r="C107" t="inlineStr">
        <is>
          <t>공립</t>
        </is>
      </c>
      <c r="D107" t="inlineStr">
        <is>
          <t>동래구</t>
        </is>
      </c>
      <c r="E107" t="inlineStr">
        <is>
          <t>부산광역시 동래구 명안로53번길 22</t>
        </is>
      </c>
      <c r="F107" s="11" t="inlineStr">
        <is>
          <t>http://anrak.es.kr</t>
        </is>
      </c>
      <c r="G107" t="inlineStr">
        <is>
          <t>051-713-8500</t>
        </is>
      </c>
      <c r="H107" t="inlineStr">
        <is>
          <t>2026</t>
        </is>
      </c>
      <c r="I107" s="15" t="n">
        <v>12</v>
      </c>
      <c r="J107" s="15" t="n">
        <v>24</v>
      </c>
      <c r="K107" s="15" t="n">
        <v>21</v>
      </c>
      <c r="L107" s="15" t="n">
        <v>33</v>
      </c>
      <c r="M107" s="15" t="n">
        <v>34</v>
      </c>
      <c r="N107" s="15" t="n">
        <v>31</v>
      </c>
      <c r="O107" s="15" t="n">
        <v>6</v>
      </c>
      <c r="P107" s="15" t="n">
        <v>0</v>
      </c>
      <c r="Q107" s="14">
        <f>IF(COUNT(I107:P107)=0,"",SUM(I107:P107))</f>
        <v/>
      </c>
      <c r="R107" t="inlineStr"/>
    </row>
    <row r="108">
      <c r="A108" t="inlineStr">
        <is>
          <t>안민초등학교</t>
        </is>
      </c>
      <c r="B108" t="inlineStr">
        <is>
          <t>초등학교</t>
        </is>
      </c>
      <c r="C108" t="inlineStr">
        <is>
          <t>공립</t>
        </is>
      </c>
      <c r="D108" t="inlineStr">
        <is>
          <t>동래구</t>
        </is>
      </c>
      <c r="E108" t="inlineStr">
        <is>
          <t>부산광역시 동래구 온천천로381번길 19</t>
        </is>
      </c>
      <c r="F108" s="11" t="inlineStr">
        <is>
          <t>http://www.anmin.es.kr/</t>
        </is>
      </c>
      <c r="G108" t="inlineStr">
        <is>
          <t>051-580-4500</t>
        </is>
      </c>
      <c r="H108" t="inlineStr">
        <is>
          <t>2026</t>
        </is>
      </c>
      <c r="I108" s="15" t="n">
        <v>70</v>
      </c>
      <c r="J108" s="15" t="n">
        <v>83</v>
      </c>
      <c r="K108" s="15" t="n">
        <v>90</v>
      </c>
      <c r="L108" s="15" t="n">
        <v>96</v>
      </c>
      <c r="M108" s="15" t="n">
        <v>121</v>
      </c>
      <c r="N108" s="15" t="n">
        <v>123</v>
      </c>
      <c r="O108" s="15" t="n">
        <v>6</v>
      </c>
      <c r="P108" s="15" t="n">
        <v>0</v>
      </c>
      <c r="Q108" s="14">
        <f>IF(COUNT(I108:P108)=0,"",SUM(I108:P108))</f>
        <v/>
      </c>
      <c r="R108" t="inlineStr"/>
    </row>
    <row r="109">
      <c r="A109" t="inlineStr">
        <is>
          <t>안진초등학교</t>
        </is>
      </c>
      <c r="B109" t="inlineStr">
        <is>
          <t>초등학교</t>
        </is>
      </c>
      <c r="C109" t="inlineStr">
        <is>
          <t>공립</t>
        </is>
      </c>
      <c r="D109" t="inlineStr">
        <is>
          <t>동래구</t>
        </is>
      </c>
      <c r="E109" t="inlineStr">
        <is>
          <t>부산광역시 동래구 안남로 63</t>
        </is>
      </c>
      <c r="F109" s="11" t="inlineStr">
        <is>
          <t>http://anjin.es.kr</t>
        </is>
      </c>
      <c r="G109" t="inlineStr">
        <is>
          <t>051-520-1600</t>
        </is>
      </c>
      <c r="H109" t="inlineStr">
        <is>
          <t>2026</t>
        </is>
      </c>
      <c r="I109" s="15" t="n">
        <v>46</v>
      </c>
      <c r="J109" s="15" t="n">
        <v>58</v>
      </c>
      <c r="K109" s="15" t="n">
        <v>50</v>
      </c>
      <c r="L109" s="15" t="n">
        <v>61</v>
      </c>
      <c r="M109" s="15" t="n">
        <v>81</v>
      </c>
      <c r="N109" s="15" t="n">
        <v>79</v>
      </c>
      <c r="O109" s="15" t="n">
        <v>6</v>
      </c>
      <c r="P109" s="15" t="n">
        <v>0</v>
      </c>
      <c r="Q109" s="14">
        <f>IF(COUNT(I109:P109)=0,"",SUM(I109:P109))</f>
        <v/>
      </c>
      <c r="R109" t="inlineStr"/>
    </row>
    <row r="110">
      <c r="A110" t="inlineStr">
        <is>
          <t>여고초등학교</t>
        </is>
      </c>
      <c r="B110" t="inlineStr">
        <is>
          <t>초등학교</t>
        </is>
      </c>
      <c r="C110" t="inlineStr">
        <is>
          <t>공립</t>
        </is>
      </c>
      <c r="D110" t="inlineStr">
        <is>
          <t>동래구</t>
        </is>
      </c>
      <c r="E110" t="inlineStr">
        <is>
          <t>부산광역시 동래구 여고로63번가길 12</t>
        </is>
      </c>
      <c r="F110" s="11" t="inlineStr">
        <is>
          <t>http://www.yeogo.es.kr</t>
        </is>
      </c>
      <c r="G110" t="inlineStr">
        <is>
          <t>051-590-0500</t>
        </is>
      </c>
      <c r="H110" t="inlineStr">
        <is>
          <t>2026</t>
        </is>
      </c>
      <c r="I110" s="15" t="n">
        <v>102</v>
      </c>
      <c r="J110" s="15" t="n">
        <v>111</v>
      </c>
      <c r="K110" s="15" t="n">
        <v>149</v>
      </c>
      <c r="L110" s="15" t="n">
        <v>157</v>
      </c>
      <c r="M110" s="15" t="n">
        <v>199</v>
      </c>
      <c r="N110" s="15" t="n">
        <v>230</v>
      </c>
      <c r="O110" s="15" t="n">
        <v>6</v>
      </c>
      <c r="P110" s="15" t="n">
        <v>0</v>
      </c>
      <c r="Q110" s="14">
        <f>IF(COUNT(I110:P110)=0,"",SUM(I110:P110))</f>
        <v/>
      </c>
      <c r="R110" t="inlineStr"/>
    </row>
    <row r="111">
      <c r="A111" t="inlineStr">
        <is>
          <t>예원초등학교</t>
        </is>
      </c>
      <c r="B111" t="inlineStr">
        <is>
          <t>초등학교</t>
        </is>
      </c>
      <c r="C111" t="inlineStr">
        <is>
          <t>공립</t>
        </is>
      </c>
      <c r="D111" t="inlineStr">
        <is>
          <t>동래구</t>
        </is>
      </c>
      <c r="E111" t="inlineStr">
        <is>
          <t>부산광역시 동래구 사직로 78</t>
        </is>
      </c>
      <c r="F111" s="11" t="inlineStr">
        <is>
          <t>http://www.yewon.es.kr</t>
        </is>
      </c>
      <c r="G111" t="inlineStr">
        <is>
          <t>051-500-0400</t>
        </is>
      </c>
      <c r="H111" t="inlineStr">
        <is>
          <t>2026</t>
        </is>
      </c>
      <c r="I111" s="15" t="n">
        <v>120</v>
      </c>
      <c r="J111" s="15" t="n">
        <v>124</v>
      </c>
      <c r="K111" s="15" t="n">
        <v>120</v>
      </c>
      <c r="L111" s="15" t="n">
        <v>168</v>
      </c>
      <c r="M111" s="15" t="n">
        <v>180</v>
      </c>
      <c r="N111" s="15" t="n">
        <v>174</v>
      </c>
      <c r="O111" s="15" t="n">
        <v>5</v>
      </c>
      <c r="P111" s="15" t="n">
        <v>0</v>
      </c>
      <c r="Q111" s="14">
        <f>IF(COUNT(I111:P111)=0,"",SUM(I111:P111))</f>
        <v/>
      </c>
      <c r="R111" t="inlineStr"/>
    </row>
    <row r="112">
      <c r="A112" t="inlineStr">
        <is>
          <t>온샘초등학교</t>
        </is>
      </c>
      <c r="B112" t="inlineStr">
        <is>
          <t>초등학교</t>
        </is>
      </c>
      <c r="C112" t="inlineStr">
        <is>
          <t>공립</t>
        </is>
      </c>
      <c r="D112" t="inlineStr">
        <is>
          <t>동래구</t>
        </is>
      </c>
      <c r="E112" t="inlineStr">
        <is>
          <t>부산광역시 동래구 충렬대로75번길 25</t>
        </is>
      </c>
      <c r="F112" s="11" t="inlineStr">
        <is>
          <t>http://www.onsaem.es.kr</t>
        </is>
      </c>
      <c r="G112" t="inlineStr">
        <is>
          <t>051-667-6900</t>
        </is>
      </c>
      <c r="H112" t="inlineStr">
        <is>
          <t>2026</t>
        </is>
      </c>
      <c r="I112" s="15" t="n">
        <v>233</v>
      </c>
      <c r="J112" s="15" t="n">
        <v>235</v>
      </c>
      <c r="K112" s="15" t="n">
        <v>246</v>
      </c>
      <c r="L112" s="15" t="n">
        <v>251</v>
      </c>
      <c r="M112" s="15" t="n">
        <v>231</v>
      </c>
      <c r="N112" s="15" t="n">
        <v>202</v>
      </c>
      <c r="O112" s="15" t="n">
        <v>13</v>
      </c>
      <c r="P112" s="15" t="n">
        <v>0</v>
      </c>
      <c r="Q112" s="14">
        <f>IF(COUNT(I112:P112)=0,"",SUM(I112:P112))</f>
        <v/>
      </c>
      <c r="R112" t="inlineStr"/>
    </row>
    <row r="113">
      <c r="A113" t="inlineStr">
        <is>
          <t>온천초등학교</t>
        </is>
      </c>
      <c r="B113" t="inlineStr">
        <is>
          <t>초등학교</t>
        </is>
      </c>
      <c r="C113" t="inlineStr">
        <is>
          <t>공립</t>
        </is>
      </c>
      <c r="D113" t="inlineStr">
        <is>
          <t>동래구</t>
        </is>
      </c>
      <c r="E113" t="inlineStr">
        <is>
          <t>부산광역시 동래구 충렬대로107번길 124</t>
        </is>
      </c>
      <c r="F113" s="11" t="inlineStr">
        <is>
          <t>http://www.onchun.es.kr/</t>
        </is>
      </c>
      <c r="G113" t="inlineStr">
        <is>
          <t>051-550-7800</t>
        </is>
      </c>
      <c r="H113" t="inlineStr">
        <is>
          <t>2026</t>
        </is>
      </c>
      <c r="I113" s="15" t="n">
        <v>164</v>
      </c>
      <c r="J113" s="15" t="n">
        <v>161</v>
      </c>
      <c r="K113" s="15" t="n">
        <v>166</v>
      </c>
      <c r="L113" s="15" t="n">
        <v>201</v>
      </c>
      <c r="M113" s="15" t="n">
        <v>157</v>
      </c>
      <c r="N113" s="15" t="n">
        <v>206</v>
      </c>
      <c r="O113" s="15" t="n">
        <v>14</v>
      </c>
      <c r="P113" s="15" t="n">
        <v>0</v>
      </c>
      <c r="Q113" s="14">
        <f>IF(COUNT(I113:P113)=0,"",SUM(I113:P113))</f>
        <v/>
      </c>
      <c r="R113" t="inlineStr"/>
    </row>
    <row r="114">
      <c r="A114" t="inlineStr">
        <is>
          <t>충렬초등학교</t>
        </is>
      </c>
      <c r="B114" t="inlineStr">
        <is>
          <t>초등학교</t>
        </is>
      </c>
      <c r="C114" t="inlineStr">
        <is>
          <t>공립</t>
        </is>
      </c>
      <c r="D114" t="inlineStr">
        <is>
          <t>동래구</t>
        </is>
      </c>
      <c r="E114" t="inlineStr">
        <is>
          <t>부산광역시 동래구 안락로125번길 22</t>
        </is>
      </c>
      <c r="F114" s="11" t="inlineStr">
        <is>
          <t>http://www.pscr.es.kr</t>
        </is>
      </c>
      <c r="G114" t="inlineStr">
        <is>
          <t>051-997-4100</t>
        </is>
      </c>
      <c r="H114" t="inlineStr">
        <is>
          <t>2026</t>
        </is>
      </c>
      <c r="I114" s="15" t="n">
        <v>10</v>
      </c>
      <c r="J114" s="15" t="n">
        <v>7</v>
      </c>
      <c r="K114" s="15" t="n">
        <v>11</v>
      </c>
      <c r="L114" s="15" t="n">
        <v>16</v>
      </c>
      <c r="M114" s="15" t="n">
        <v>17</v>
      </c>
      <c r="N114" s="15" t="n">
        <v>21</v>
      </c>
      <c r="O114" s="15" t="n">
        <v>3</v>
      </c>
      <c r="P114" s="15" t="n">
        <v>0</v>
      </c>
      <c r="Q114" s="14">
        <f>IF(COUNT(I114:P114)=0,"",SUM(I114:P114))</f>
        <v/>
      </c>
      <c r="R114" t="inlineStr"/>
    </row>
    <row r="115">
      <c r="A115" t="inlineStr">
        <is>
          <t>혜화초등학교</t>
        </is>
      </c>
      <c r="B115" t="inlineStr">
        <is>
          <t>초등학교</t>
        </is>
      </c>
      <c r="C115" t="inlineStr">
        <is>
          <t>사립</t>
        </is>
      </c>
      <c r="D115" t="inlineStr">
        <is>
          <t>동래구</t>
        </is>
      </c>
      <c r="E115" t="inlineStr">
        <is>
          <t>부산광역시 동래구 명장로99번길 25</t>
        </is>
      </c>
      <c r="F115" s="11" t="inlineStr">
        <is>
          <t>http://www.hyehwa.es.kr</t>
        </is>
      </c>
      <c r="G115" t="inlineStr">
        <is>
          <t>051-531-1667</t>
        </is>
      </c>
      <c r="H115" t="inlineStr">
        <is>
          <t>2026</t>
        </is>
      </c>
      <c r="I115" s="15" t="n">
        <v>59</v>
      </c>
      <c r="J115" s="15" t="n">
        <v>60</v>
      </c>
      <c r="K115" s="15" t="n">
        <v>60</v>
      </c>
      <c r="L115" s="15" t="n">
        <v>56</v>
      </c>
      <c r="M115" s="15" t="n">
        <v>56</v>
      </c>
      <c r="N115" s="15" t="n">
        <v>52</v>
      </c>
      <c r="O115" s="15" t="n">
        <v>0</v>
      </c>
      <c r="P115" s="15" t="n">
        <v>0</v>
      </c>
      <c r="Q115" s="14">
        <f>IF(COUNT(I115:P115)=0,"",SUM(I115:P115))</f>
        <v/>
      </c>
      <c r="R115" t="inlineStr"/>
    </row>
    <row r="116">
      <c r="A116" t="inlineStr">
        <is>
          <t>가남초등학교</t>
        </is>
      </c>
      <c r="B116" t="inlineStr">
        <is>
          <t>초등학교</t>
        </is>
      </c>
      <c r="C116" t="inlineStr">
        <is>
          <t>공립</t>
        </is>
      </c>
      <c r="D116" t="inlineStr">
        <is>
          <t>부산진구</t>
        </is>
      </c>
      <c r="E116" t="inlineStr">
        <is>
          <t>부산광역시 부산진구 엄광로 325</t>
        </is>
      </c>
      <c r="F116" s="11" t="inlineStr">
        <is>
          <t>http://www.ga-nam.es.kr</t>
        </is>
      </c>
      <c r="G116" t="inlineStr">
        <is>
          <t>051-893-2702</t>
        </is>
      </c>
      <c r="H116" t="inlineStr">
        <is>
          <t>2026</t>
        </is>
      </c>
      <c r="I116" s="15" t="n">
        <v>4</v>
      </c>
      <c r="J116" s="15" t="n">
        <v>4</v>
      </c>
      <c r="K116" s="15" t="n">
        <v>6</v>
      </c>
      <c r="L116" s="15" t="n">
        <v>11</v>
      </c>
      <c r="M116" s="15" t="n">
        <v>12</v>
      </c>
      <c r="N116" s="15" t="n">
        <v>8</v>
      </c>
      <c r="O116" s="15" t="n">
        <v>5</v>
      </c>
      <c r="P116" s="15" t="n">
        <v>0</v>
      </c>
      <c r="Q116" s="14">
        <f>IF(COUNT(I116:P116)=0,"",SUM(I116:P116))</f>
        <v/>
      </c>
      <c r="R116" t="inlineStr"/>
    </row>
    <row r="117">
      <c r="A117" t="inlineStr">
        <is>
          <t>가야초등학교</t>
        </is>
      </c>
      <c r="B117" t="inlineStr">
        <is>
          <t>초등학교</t>
        </is>
      </c>
      <c r="C117" t="inlineStr">
        <is>
          <t>공립</t>
        </is>
      </c>
      <c r="D117" t="inlineStr">
        <is>
          <t>부산진구</t>
        </is>
      </c>
      <c r="E117" t="inlineStr">
        <is>
          <t>부산광역시 부산진구 대학로 22</t>
        </is>
      </c>
      <c r="F117" s="11" t="inlineStr">
        <is>
          <t>http://www.ka-ya.es.kr</t>
        </is>
      </c>
      <c r="G117" t="inlineStr">
        <is>
          <t>051-892-3515</t>
        </is>
      </c>
      <c r="H117" t="inlineStr">
        <is>
          <t>2026</t>
        </is>
      </c>
      <c r="I117" s="15" t="n">
        <v>142</v>
      </c>
      <c r="J117" s="15" t="n">
        <v>137</v>
      </c>
      <c r="K117" s="15" t="n">
        <v>136</v>
      </c>
      <c r="L117" s="15" t="n">
        <v>183</v>
      </c>
      <c r="M117" s="15" t="n">
        <v>157</v>
      </c>
      <c r="N117" s="15" t="n">
        <v>176</v>
      </c>
      <c r="O117" s="15" t="n">
        <v>12</v>
      </c>
      <c r="P117" s="15" t="n">
        <v>0</v>
      </c>
      <c r="Q117" s="14">
        <f>IF(COUNT(I117:P117)=0,"",SUM(I117:P117))</f>
        <v/>
      </c>
      <c r="R117" t="inlineStr"/>
    </row>
    <row r="118">
      <c r="A118" t="inlineStr">
        <is>
          <t>가평초등학교</t>
        </is>
      </c>
      <c r="B118" t="inlineStr">
        <is>
          <t>초등학교</t>
        </is>
      </c>
      <c r="C118" t="inlineStr">
        <is>
          <t>공립</t>
        </is>
      </c>
      <c r="D118" t="inlineStr">
        <is>
          <t>부산진구</t>
        </is>
      </c>
      <c r="E118" t="inlineStr">
        <is>
          <t>부산광역시 부산진구 가야대로482번길 87</t>
        </is>
      </c>
      <c r="F118" s="11" t="inlineStr">
        <is>
          <t>http://school.busanedu.net/busangapyeong-e/main.do</t>
        </is>
      </c>
      <c r="G118" t="inlineStr">
        <is>
          <t>051-895-1351</t>
        </is>
      </c>
      <c r="H118" t="inlineStr">
        <is>
          <t>2026</t>
        </is>
      </c>
      <c r="I118" s="15" t="n">
        <v>74</v>
      </c>
      <c r="J118" s="15" t="n">
        <v>70</v>
      </c>
      <c r="K118" s="15" t="n">
        <v>72</v>
      </c>
      <c r="L118" s="15" t="n">
        <v>103</v>
      </c>
      <c r="M118" s="15" t="n">
        <v>124</v>
      </c>
      <c r="N118" s="15" t="n">
        <v>117</v>
      </c>
      <c r="O118" s="15" t="n">
        <v>13</v>
      </c>
      <c r="P118" s="15" t="n">
        <v>0</v>
      </c>
      <c r="Q118" s="14">
        <f>IF(COUNT(I118:P118)=0,"",SUM(I118:P118))</f>
        <v/>
      </c>
      <c r="R118" t="inlineStr"/>
    </row>
    <row r="119">
      <c r="A119" t="inlineStr">
        <is>
          <t>개금초등학교</t>
        </is>
      </c>
      <c r="B119" t="inlineStr">
        <is>
          <t>초등학교</t>
        </is>
      </c>
      <c r="C119" t="inlineStr">
        <is>
          <t>공립</t>
        </is>
      </c>
      <c r="D119" t="inlineStr">
        <is>
          <t>부산진구</t>
        </is>
      </c>
      <c r="E119" t="inlineStr">
        <is>
          <t>부산광역시 부산진구 가야대로443번길 25-10</t>
        </is>
      </c>
      <c r="F119" s="11" t="inlineStr">
        <is>
          <t>http://kaegum.es.kr/</t>
        </is>
      </c>
      <c r="G119" t="inlineStr">
        <is>
          <t>051-893-0421</t>
        </is>
      </c>
      <c r="H119" t="inlineStr">
        <is>
          <t>2026</t>
        </is>
      </c>
      <c r="I119" s="15" t="n">
        <v>72</v>
      </c>
      <c r="J119" s="15" t="n">
        <v>57</v>
      </c>
      <c r="K119" s="15" t="n">
        <v>70</v>
      </c>
      <c r="L119" s="15" t="n">
        <v>87</v>
      </c>
      <c r="M119" s="15" t="n">
        <v>104</v>
      </c>
      <c r="N119" s="15" t="n">
        <v>135</v>
      </c>
      <c r="O119" s="15" t="n">
        <v>10</v>
      </c>
      <c r="P119" s="15" t="n">
        <v>0</v>
      </c>
      <c r="Q119" s="14">
        <f>IF(COUNT(I119:P119)=0,"",SUM(I119:P119))</f>
        <v/>
      </c>
      <c r="R119" t="inlineStr"/>
    </row>
    <row r="120">
      <c r="A120" t="inlineStr">
        <is>
          <t>개림초등학교</t>
        </is>
      </c>
      <c r="B120" t="inlineStr">
        <is>
          <t>초등학교</t>
        </is>
      </c>
      <c r="C120" t="inlineStr">
        <is>
          <t>공립</t>
        </is>
      </c>
      <c r="D120" t="inlineStr">
        <is>
          <t>부산진구</t>
        </is>
      </c>
      <c r="E120" t="inlineStr">
        <is>
          <t>부산광역시 부산진구 백양대로320번길 40</t>
        </is>
      </c>
      <c r="F120" t="inlineStr"/>
      <c r="G120" t="inlineStr">
        <is>
          <t>051-607-7001</t>
        </is>
      </c>
      <c r="H120" t="inlineStr">
        <is>
          <t>2026</t>
        </is>
      </c>
      <c r="I120" s="15" t="n">
        <v>82</v>
      </c>
      <c r="J120" s="15" t="n">
        <v>80</v>
      </c>
      <c r="K120" s="15" t="n">
        <v>100</v>
      </c>
      <c r="L120" s="15" t="n">
        <v>108</v>
      </c>
      <c r="M120" s="15" t="n">
        <v>132</v>
      </c>
      <c r="N120" s="15" t="n">
        <v>111</v>
      </c>
      <c r="O120" s="15" t="n">
        <v>6</v>
      </c>
      <c r="P120" s="15" t="n">
        <v>0</v>
      </c>
      <c r="Q120" s="14">
        <f>IF(COUNT(I120:P120)=0,"",SUM(I120:P120))</f>
        <v/>
      </c>
      <c r="R120" t="inlineStr"/>
    </row>
    <row r="121">
      <c r="A121" t="inlineStr">
        <is>
          <t>개원초등학교</t>
        </is>
      </c>
      <c r="B121" t="inlineStr">
        <is>
          <t>초등학교</t>
        </is>
      </c>
      <c r="C121" t="inlineStr">
        <is>
          <t>공립</t>
        </is>
      </c>
      <c r="D121" t="inlineStr">
        <is>
          <t>부산진구</t>
        </is>
      </c>
      <c r="E121" t="inlineStr">
        <is>
          <t>부산광역시 부산진구 백양관문로77번길 17</t>
        </is>
      </c>
      <c r="F121" s="11" t="inlineStr">
        <is>
          <t>http://kaewone.es.kr</t>
        </is>
      </c>
      <c r="G121" t="inlineStr">
        <is>
          <t>051-927-9640</t>
        </is>
      </c>
      <c r="H121" t="inlineStr">
        <is>
          <t>2026</t>
        </is>
      </c>
      <c r="I121" s="15" t="n">
        <v>44</v>
      </c>
      <c r="J121" s="15" t="n">
        <v>54</v>
      </c>
      <c r="K121" s="15" t="n">
        <v>62</v>
      </c>
      <c r="L121" s="15" t="n">
        <v>73</v>
      </c>
      <c r="M121" s="15" t="n">
        <v>74</v>
      </c>
      <c r="N121" s="15" t="n">
        <v>88</v>
      </c>
      <c r="O121" s="15" t="n">
        <v>7</v>
      </c>
      <c r="P121" s="15" t="n">
        <v>0</v>
      </c>
      <c r="Q121" s="14">
        <f>IF(COUNT(I121:P121)=0,"",SUM(I121:P121))</f>
        <v/>
      </c>
      <c r="R121" t="inlineStr"/>
    </row>
    <row r="122">
      <c r="A122" t="inlineStr">
        <is>
          <t>개포초등학교</t>
        </is>
      </c>
      <c r="B122" t="inlineStr">
        <is>
          <t>초등학교</t>
        </is>
      </c>
      <c r="C122" t="inlineStr">
        <is>
          <t>공립</t>
        </is>
      </c>
      <c r="D122" t="inlineStr">
        <is>
          <t>부산진구</t>
        </is>
      </c>
      <c r="E122" t="inlineStr">
        <is>
          <t>부산광역시 부산진구 백양대로208번길 9</t>
        </is>
      </c>
      <c r="F122" s="11" t="inlineStr">
        <is>
          <t>http://www.gaepo.es.kr</t>
        </is>
      </c>
      <c r="G122" t="inlineStr">
        <is>
          <t>051-930-8000</t>
        </is>
      </c>
      <c r="H122" t="inlineStr">
        <is>
          <t>2026</t>
        </is>
      </c>
      <c r="I122" s="15" t="n">
        <v>18</v>
      </c>
      <c r="J122" s="15" t="n">
        <v>24</v>
      </c>
      <c r="K122" s="15" t="n">
        <v>27</v>
      </c>
      <c r="L122" s="15" t="n">
        <v>36</v>
      </c>
      <c r="M122" s="15" t="n">
        <v>45</v>
      </c>
      <c r="N122" s="15" t="n">
        <v>47</v>
      </c>
      <c r="O122" s="15" t="n">
        <v>5</v>
      </c>
      <c r="P122" s="15" t="n">
        <v>0</v>
      </c>
      <c r="Q122" s="14">
        <f>IF(COUNT(I122:P122)=0,"",SUM(I122:P122))</f>
        <v/>
      </c>
      <c r="R122" t="inlineStr"/>
    </row>
    <row r="123">
      <c r="A123" t="inlineStr">
        <is>
          <t>개화초등학교</t>
        </is>
      </c>
      <c r="B123" t="inlineStr">
        <is>
          <t>초등학교</t>
        </is>
      </c>
      <c r="C123" t="inlineStr">
        <is>
          <t>공립</t>
        </is>
      </c>
      <c r="D123" t="inlineStr">
        <is>
          <t>부산진구</t>
        </is>
      </c>
      <c r="E123" t="inlineStr">
        <is>
          <t>부산광역시 부산진구 개금본동로66번길 12-12</t>
        </is>
      </c>
      <c r="F123" s="11" t="inlineStr">
        <is>
          <t>http://www.kae-hwa.es.kr</t>
        </is>
      </c>
      <c r="G123" t="inlineStr">
        <is>
          <t>051-890-0100</t>
        </is>
      </c>
      <c r="H123" t="inlineStr">
        <is>
          <t>2026</t>
        </is>
      </c>
      <c r="I123" s="15" t="n">
        <v>14</v>
      </c>
      <c r="J123" s="15" t="n">
        <v>10</v>
      </c>
      <c r="K123" s="15" t="n">
        <v>23</v>
      </c>
      <c r="L123" s="15" t="n">
        <v>21</v>
      </c>
      <c r="M123" s="15" t="n">
        <v>33</v>
      </c>
      <c r="N123" s="15" t="n">
        <v>30</v>
      </c>
      <c r="O123" s="15" t="n">
        <v>3</v>
      </c>
      <c r="P123" s="15" t="n">
        <v>0</v>
      </c>
      <c r="Q123" s="14">
        <f>IF(COUNT(I123:P123)=0,"",SUM(I123:P123))</f>
        <v/>
      </c>
      <c r="R123" t="inlineStr"/>
    </row>
    <row r="124">
      <c r="A124" t="inlineStr">
        <is>
          <t>당감초등학교</t>
        </is>
      </c>
      <c r="B124" t="inlineStr">
        <is>
          <t>초등학교</t>
        </is>
      </c>
      <c r="C124" t="inlineStr">
        <is>
          <t>공립</t>
        </is>
      </c>
      <c r="D124" t="inlineStr">
        <is>
          <t>부산진구</t>
        </is>
      </c>
      <c r="E124" t="inlineStr">
        <is>
          <t>부산광역시 부산진구 당감로 22-5</t>
        </is>
      </c>
      <c r="F124" s="11" t="inlineStr">
        <is>
          <t>http://www.danggam.es.kr</t>
        </is>
      </c>
      <c r="G124" t="inlineStr">
        <is>
          <t>051-896-0081</t>
        </is>
      </c>
      <c r="H124" t="inlineStr">
        <is>
          <t>2026</t>
        </is>
      </c>
      <c r="I124" s="15" t="n">
        <v>15</v>
      </c>
      <c r="J124" s="15" t="n">
        <v>15</v>
      </c>
      <c r="K124" s="15" t="n">
        <v>21</v>
      </c>
      <c r="L124" s="15" t="n">
        <v>15</v>
      </c>
      <c r="M124" s="15" t="n">
        <v>32</v>
      </c>
      <c r="N124" s="15" t="n">
        <v>39</v>
      </c>
      <c r="O124" s="15" t="n">
        <v>5</v>
      </c>
      <c r="P124" s="15" t="n">
        <v>0</v>
      </c>
      <c r="Q124" s="14">
        <f>IF(COUNT(I124:P124)=0,"",SUM(I124:P124))</f>
        <v/>
      </c>
      <c r="R124" t="inlineStr"/>
    </row>
    <row r="125">
      <c r="A125" t="inlineStr">
        <is>
          <t>당평초등학교</t>
        </is>
      </c>
      <c r="B125" t="inlineStr">
        <is>
          <t>초등학교</t>
        </is>
      </c>
      <c r="C125" t="inlineStr">
        <is>
          <t>공립</t>
        </is>
      </c>
      <c r="D125" t="inlineStr">
        <is>
          <t>부산진구</t>
        </is>
      </c>
      <c r="E125" t="inlineStr">
        <is>
          <t>부산광역시 부산진구 백양대로136번길 26</t>
        </is>
      </c>
      <c r="F125" s="11" t="inlineStr">
        <is>
          <t>http://www.dangpyung.es.kr</t>
        </is>
      </c>
      <c r="G125" t="inlineStr">
        <is>
          <t>051-890-8500</t>
        </is>
      </c>
      <c r="H125" t="inlineStr">
        <is>
          <t>2026</t>
        </is>
      </c>
      <c r="I125" s="15" t="n">
        <v>14</v>
      </c>
      <c r="J125" s="15" t="n">
        <v>23</v>
      </c>
      <c r="K125" s="15" t="n">
        <v>35</v>
      </c>
      <c r="L125" s="15" t="n">
        <v>25</v>
      </c>
      <c r="M125" s="15" t="n">
        <v>45</v>
      </c>
      <c r="N125" s="15" t="n">
        <v>44</v>
      </c>
      <c r="O125" s="15" t="n">
        <v>7</v>
      </c>
      <c r="P125" s="15" t="n">
        <v>0</v>
      </c>
      <c r="Q125" s="14">
        <f>IF(COUNT(I125:P125)=0,"",SUM(I125:P125))</f>
        <v/>
      </c>
      <c r="R125" t="inlineStr"/>
    </row>
    <row r="126">
      <c r="A126" t="inlineStr">
        <is>
          <t>동성초등학교</t>
        </is>
      </c>
      <c r="B126" t="inlineStr">
        <is>
          <t>초등학교</t>
        </is>
      </c>
      <c r="C126" t="inlineStr">
        <is>
          <t>사립</t>
        </is>
      </c>
      <c r="D126" t="inlineStr">
        <is>
          <t>부산진구</t>
        </is>
      </c>
      <c r="E126" t="inlineStr">
        <is>
          <t>부산광역시 부산진구 동성로 26</t>
        </is>
      </c>
      <c r="F126" s="11" t="inlineStr">
        <is>
          <t>https://school.busanedu.net/ds-e</t>
        </is>
      </c>
      <c r="G126" t="inlineStr">
        <is>
          <t>051-803-8987</t>
        </is>
      </c>
      <c r="H126" t="inlineStr">
        <is>
          <t>2026</t>
        </is>
      </c>
      <c r="I126" s="15" t="n">
        <v>112</v>
      </c>
      <c r="J126" s="15" t="n">
        <v>112</v>
      </c>
      <c r="K126" s="15" t="n">
        <v>112</v>
      </c>
      <c r="L126" s="15" t="n">
        <v>112</v>
      </c>
      <c r="M126" s="15" t="n">
        <v>120</v>
      </c>
      <c r="N126" s="15" t="n">
        <v>120</v>
      </c>
      <c r="O126" s="15" t="n">
        <v>0</v>
      </c>
      <c r="P126" s="15" t="n">
        <v>0</v>
      </c>
      <c r="Q126" s="14">
        <f>IF(COUNT(I126:P126)=0,"",SUM(I126:P126))</f>
        <v/>
      </c>
      <c r="R126" t="inlineStr"/>
    </row>
    <row r="127">
      <c r="A127" t="inlineStr">
        <is>
          <t>동양초등학교</t>
        </is>
      </c>
      <c r="B127" t="inlineStr">
        <is>
          <t>초등학교</t>
        </is>
      </c>
      <c r="C127" t="inlineStr">
        <is>
          <t>공립</t>
        </is>
      </c>
      <c r="D127" t="inlineStr">
        <is>
          <t>부산진구</t>
        </is>
      </c>
      <c r="E127" t="inlineStr">
        <is>
          <t>부산광역시 부산진구 백양산로 99</t>
        </is>
      </c>
      <c r="F127" s="11" t="inlineStr">
        <is>
          <t>http://school.busanedu.net/dong-yang-e/main.do</t>
        </is>
      </c>
      <c r="G127" t="inlineStr">
        <is>
          <t>051-819-9103</t>
        </is>
      </c>
      <c r="H127" t="inlineStr">
        <is>
          <t>2026</t>
        </is>
      </c>
      <c r="I127" s="15" t="n">
        <v>16</v>
      </c>
      <c r="J127" s="15" t="n">
        <v>18</v>
      </c>
      <c r="K127" s="15" t="n">
        <v>31</v>
      </c>
      <c r="L127" s="15" t="n">
        <v>28</v>
      </c>
      <c r="M127" s="15" t="n">
        <v>36</v>
      </c>
      <c r="N127" s="15" t="n">
        <v>31</v>
      </c>
      <c r="O127" s="15" t="n">
        <v>4</v>
      </c>
      <c r="P127" s="15" t="n">
        <v>0</v>
      </c>
      <c r="Q127" s="14">
        <f>IF(COUNT(I127:P127)=0,"",SUM(I127:P127))</f>
        <v/>
      </c>
      <c r="R127" t="inlineStr"/>
    </row>
    <row r="128">
      <c r="A128" t="inlineStr">
        <is>
          <t>동원초등학교</t>
        </is>
      </c>
      <c r="B128" t="inlineStr">
        <is>
          <t>초등학교</t>
        </is>
      </c>
      <c r="C128" t="inlineStr">
        <is>
          <t>공립</t>
        </is>
      </c>
      <c r="D128" t="inlineStr">
        <is>
          <t>부산진구</t>
        </is>
      </c>
      <c r="E128" t="inlineStr">
        <is>
          <t>부산광역시 부산진구 백양산로 43</t>
        </is>
      </c>
      <c r="F128" s="11" t="inlineStr">
        <is>
          <t>http://www.pdw.es.kr</t>
        </is>
      </c>
      <c r="G128" t="inlineStr">
        <is>
          <t>051-890-0200</t>
        </is>
      </c>
      <c r="H128" t="inlineStr">
        <is>
          <t>2026</t>
        </is>
      </c>
      <c r="I128" s="15" t="n">
        <v>76</v>
      </c>
      <c r="J128" s="15" t="n">
        <v>92</v>
      </c>
      <c r="K128" s="15" t="n">
        <v>99</v>
      </c>
      <c r="L128" s="15" t="n">
        <v>92</v>
      </c>
      <c r="M128" s="15" t="n">
        <v>114</v>
      </c>
      <c r="N128" s="15" t="n">
        <v>108</v>
      </c>
      <c r="O128" s="15" t="n">
        <v>6</v>
      </c>
      <c r="P128" s="15" t="n">
        <v>0</v>
      </c>
      <c r="Q128" s="14">
        <f>IF(COUNT(I128:P128)=0,"",SUM(I128:P128))</f>
        <v/>
      </c>
      <c r="R128" t="inlineStr"/>
    </row>
    <row r="129">
      <c r="A129" t="inlineStr">
        <is>
          <t>동평초등학교</t>
        </is>
      </c>
      <c r="B129" t="inlineStr">
        <is>
          <t>초등학교</t>
        </is>
      </c>
      <c r="C129" t="inlineStr">
        <is>
          <t>공립</t>
        </is>
      </c>
      <c r="D129" t="inlineStr">
        <is>
          <t>부산진구</t>
        </is>
      </c>
      <c r="E129" t="inlineStr">
        <is>
          <t>부산광역시 부산진구 당감서로65번길 31</t>
        </is>
      </c>
      <c r="F129" s="11" t="inlineStr">
        <is>
          <t>http://dongpyeong.es.kr</t>
        </is>
      </c>
      <c r="G129" t="inlineStr">
        <is>
          <t>051-718-0100</t>
        </is>
      </c>
      <c r="H129" t="inlineStr">
        <is>
          <t>2026</t>
        </is>
      </c>
      <c r="I129" s="15" t="n">
        <v>74</v>
      </c>
      <c r="J129" s="15" t="n">
        <v>92</v>
      </c>
      <c r="K129" s="15" t="n">
        <v>79</v>
      </c>
      <c r="L129" s="15" t="n">
        <v>86</v>
      </c>
      <c r="M129" s="15" t="n">
        <v>88</v>
      </c>
      <c r="N129" s="15" t="n">
        <v>81</v>
      </c>
      <c r="O129" s="15" t="n">
        <v>6</v>
      </c>
      <c r="P129" s="15" t="n">
        <v>0</v>
      </c>
      <c r="Q129" s="14">
        <f>IF(COUNT(I129:P129)=0,"",SUM(I129:P129))</f>
        <v/>
      </c>
      <c r="R129" t="inlineStr"/>
    </row>
    <row r="130">
      <c r="A130" t="inlineStr">
        <is>
          <t>부산진초등학교</t>
        </is>
      </c>
      <c r="B130" t="inlineStr">
        <is>
          <t>초등학교</t>
        </is>
      </c>
      <c r="C130" t="inlineStr">
        <is>
          <t>공립</t>
        </is>
      </c>
      <c r="D130" t="inlineStr">
        <is>
          <t>부산진구</t>
        </is>
      </c>
      <c r="E130" t="inlineStr">
        <is>
          <t>부산광역시 부산진구 범천로 30</t>
        </is>
      </c>
      <c r="F130" s="11" t="inlineStr">
        <is>
          <t>http://pusanjin.es.kr</t>
        </is>
      </c>
      <c r="G130" t="inlineStr">
        <is>
          <t>051-801-2800</t>
        </is>
      </c>
      <c r="H130" t="inlineStr">
        <is>
          <t>2026</t>
        </is>
      </c>
      <c r="I130" s="15" t="n">
        <v>48</v>
      </c>
      <c r="J130" s="15" t="n">
        <v>52</v>
      </c>
      <c r="K130" s="15" t="n">
        <v>75</v>
      </c>
      <c r="L130" s="15" t="n">
        <v>78</v>
      </c>
      <c r="M130" s="15" t="n">
        <v>68</v>
      </c>
      <c r="N130" s="15" t="n">
        <v>60</v>
      </c>
      <c r="O130" s="15" t="n">
        <v>8</v>
      </c>
      <c r="P130" s="15" t="n">
        <v>0</v>
      </c>
      <c r="Q130" s="14">
        <f>IF(COUNT(I130:P130)=0,"",SUM(I130:P130))</f>
        <v/>
      </c>
      <c r="R130" t="inlineStr"/>
    </row>
    <row r="131">
      <c r="A131" t="inlineStr">
        <is>
          <t>부암초등학교</t>
        </is>
      </c>
      <c r="B131" t="inlineStr">
        <is>
          <t>초등학교</t>
        </is>
      </c>
      <c r="C131" t="inlineStr">
        <is>
          <t>공립</t>
        </is>
      </c>
      <c r="D131" t="inlineStr">
        <is>
          <t>부산진구</t>
        </is>
      </c>
      <c r="E131" t="inlineStr">
        <is>
          <t>부산광역시 부산진구 신천대로263번길 26</t>
        </is>
      </c>
      <c r="F131" s="11" t="inlineStr">
        <is>
          <t>http://www.buam.es.kr</t>
        </is>
      </c>
      <c r="G131" t="inlineStr">
        <is>
          <t>051-816-2675</t>
        </is>
      </c>
      <c r="H131" t="inlineStr">
        <is>
          <t>2026</t>
        </is>
      </c>
      <c r="I131" s="15" t="n">
        <v>101</v>
      </c>
      <c r="J131" s="15" t="n">
        <v>104</v>
      </c>
      <c r="K131" s="15" t="n">
        <v>101</v>
      </c>
      <c r="L131" s="15" t="n">
        <v>122</v>
      </c>
      <c r="M131" s="15" t="n">
        <v>115</v>
      </c>
      <c r="N131" s="15" t="n">
        <v>131</v>
      </c>
      <c r="O131" s="15" t="n">
        <v>11</v>
      </c>
      <c r="P131" s="15" t="n">
        <v>0</v>
      </c>
      <c r="Q131" s="14">
        <f>IF(COUNT(I131:P131)=0,"",SUM(I131:P131))</f>
        <v/>
      </c>
      <c r="R131" t="inlineStr"/>
    </row>
    <row r="132">
      <c r="A132" t="inlineStr">
        <is>
          <t>부전초등학교</t>
        </is>
      </c>
      <c r="B132" t="inlineStr">
        <is>
          <t>초등학교</t>
        </is>
      </c>
      <c r="C132" t="inlineStr">
        <is>
          <t>공립</t>
        </is>
      </c>
      <c r="D132" t="inlineStr">
        <is>
          <t>부산진구</t>
        </is>
      </c>
      <c r="E132" t="inlineStr">
        <is>
          <t>부산광역시 부산진구 부전로65번길 25</t>
        </is>
      </c>
      <c r="F132" s="11" t="inlineStr">
        <is>
          <t>https://school.busanedu.net/pspujun-e/main.do#</t>
        </is>
      </c>
      <c r="G132" t="inlineStr">
        <is>
          <t>051-811-7800</t>
        </is>
      </c>
      <c r="H132" t="inlineStr">
        <is>
          <t>2026</t>
        </is>
      </c>
      <c r="I132" s="15" t="n">
        <v>59</v>
      </c>
      <c r="J132" s="15" t="n">
        <v>62</v>
      </c>
      <c r="K132" s="15" t="n">
        <v>49</v>
      </c>
      <c r="L132" s="15" t="n">
        <v>61</v>
      </c>
      <c r="M132" s="15" t="n">
        <v>56</v>
      </c>
      <c r="N132" s="15" t="n">
        <v>62</v>
      </c>
      <c r="O132" s="15" t="n">
        <v>5</v>
      </c>
      <c r="P132" s="15" t="n">
        <v>0</v>
      </c>
      <c r="Q132" s="14">
        <f>IF(COUNT(I132:P132)=0,"",SUM(I132:P132))</f>
        <v/>
      </c>
      <c r="R132" t="inlineStr"/>
    </row>
    <row r="133">
      <c r="A133" t="inlineStr">
        <is>
          <t>선암초등학교</t>
        </is>
      </c>
      <c r="B133" t="inlineStr">
        <is>
          <t>초등학교</t>
        </is>
      </c>
      <c r="C133" t="inlineStr">
        <is>
          <t>공립</t>
        </is>
      </c>
      <c r="D133" t="inlineStr">
        <is>
          <t>부산진구</t>
        </is>
      </c>
      <c r="E133" t="inlineStr">
        <is>
          <t>부산광역시 부산진구 엄광로 412</t>
        </is>
      </c>
      <c r="F133" s="11" t="inlineStr">
        <is>
          <t>http://sunam.es.kr</t>
        </is>
      </c>
      <c r="G133" t="inlineStr">
        <is>
          <t>051-646-7955</t>
        </is>
      </c>
      <c r="H133" t="inlineStr">
        <is>
          <t>2026</t>
        </is>
      </c>
      <c r="I133" s="15" t="n">
        <v>23</v>
      </c>
      <c r="J133" s="15" t="n">
        <v>21</v>
      </c>
      <c r="K133" s="15" t="n">
        <v>30</v>
      </c>
      <c r="L133" s="15" t="n">
        <v>23</v>
      </c>
      <c r="M133" s="15" t="n">
        <v>21</v>
      </c>
      <c r="N133" s="15" t="n">
        <v>13</v>
      </c>
      <c r="O133" s="15" t="n">
        <v>4</v>
      </c>
      <c r="P133" s="15" t="n">
        <v>0</v>
      </c>
      <c r="Q133" s="14">
        <f>IF(COUNT(I133:P133)=0,"",SUM(I133:P133))</f>
        <v/>
      </c>
      <c r="R133" t="inlineStr"/>
    </row>
    <row r="134">
      <c r="A134" t="inlineStr">
        <is>
          <t>성북초등학교</t>
        </is>
      </c>
      <c r="B134" t="inlineStr">
        <is>
          <t>초등학교</t>
        </is>
      </c>
      <c r="C134" t="inlineStr">
        <is>
          <t>공립</t>
        </is>
      </c>
      <c r="D134" t="inlineStr">
        <is>
          <t>부산진구</t>
        </is>
      </c>
      <c r="E134" t="inlineStr">
        <is>
          <t>부산광역시 부산진구 황령대로 79</t>
        </is>
      </c>
      <c r="F134" s="11" t="inlineStr">
        <is>
          <t>https://school.busanedu.net/seongbuk-e/</t>
        </is>
      </c>
      <c r="G134" t="inlineStr">
        <is>
          <t>051-802-0872</t>
        </is>
      </c>
      <c r="H134" t="inlineStr">
        <is>
          <t>2026</t>
        </is>
      </c>
      <c r="I134" s="15" t="n">
        <v>65</v>
      </c>
      <c r="J134" s="15" t="n">
        <v>72</v>
      </c>
      <c r="K134" s="15" t="n">
        <v>102</v>
      </c>
      <c r="L134" s="15" t="n">
        <v>103</v>
      </c>
      <c r="M134" s="15" t="n">
        <v>120</v>
      </c>
      <c r="N134" s="15" t="n">
        <v>103</v>
      </c>
      <c r="O134" s="15" t="n">
        <v>12</v>
      </c>
      <c r="P134" s="15" t="n">
        <v>0</v>
      </c>
      <c r="Q134" s="14">
        <f>IF(COUNT(I134:P134)=0,"",SUM(I134:P134))</f>
        <v/>
      </c>
      <c r="R134" t="inlineStr"/>
    </row>
    <row r="135">
      <c r="A135" t="inlineStr">
        <is>
          <t>성서초등학교</t>
        </is>
      </c>
      <c r="B135" t="inlineStr">
        <is>
          <t>초등학교</t>
        </is>
      </c>
      <c r="C135" t="inlineStr">
        <is>
          <t>공립</t>
        </is>
      </c>
      <c r="D135" t="inlineStr">
        <is>
          <t>부산진구</t>
        </is>
      </c>
      <c r="E135" t="inlineStr">
        <is>
          <t>부산광역시 부산진구 중앙번영로 25</t>
        </is>
      </c>
      <c r="F135" s="11" t="inlineStr">
        <is>
          <t>http://www.sungso.es.kr</t>
        </is>
      </c>
      <c r="G135" t="inlineStr">
        <is>
          <t>051-631-0481</t>
        </is>
      </c>
      <c r="H135" t="inlineStr">
        <is>
          <t>2026</t>
        </is>
      </c>
      <c r="I135" s="15" t="n">
        <v>25</v>
      </c>
      <c r="J135" s="15" t="n">
        <v>29</v>
      </c>
      <c r="K135" s="15" t="n">
        <v>33</v>
      </c>
      <c r="L135" s="15" t="n">
        <v>24</v>
      </c>
      <c r="M135" s="15" t="n">
        <v>25</v>
      </c>
      <c r="N135" s="15" t="n">
        <v>30</v>
      </c>
      <c r="O135" s="15" t="n">
        <v>5</v>
      </c>
      <c r="P135" s="15" t="n">
        <v>0</v>
      </c>
      <c r="Q135" s="14">
        <f>IF(COUNT(I135:P135)=0,"",SUM(I135:P135))</f>
        <v/>
      </c>
      <c r="R135" t="inlineStr"/>
    </row>
    <row r="136">
      <c r="A136" t="inlineStr">
        <is>
          <t>성전초등학교</t>
        </is>
      </c>
      <c r="B136" t="inlineStr">
        <is>
          <t>초등학교</t>
        </is>
      </c>
      <c r="C136" t="inlineStr">
        <is>
          <t>공립</t>
        </is>
      </c>
      <c r="D136" t="inlineStr">
        <is>
          <t>부산진구</t>
        </is>
      </c>
      <c r="E136" t="inlineStr">
        <is>
          <t>부산광역시 부산진구 전포대로298번길 15</t>
        </is>
      </c>
      <c r="F136" s="11" t="inlineStr">
        <is>
          <t>http://www.sungjeun.es.kr/</t>
        </is>
      </c>
      <c r="G136" t="inlineStr">
        <is>
          <t>051-7195-700</t>
        </is>
      </c>
      <c r="H136" t="inlineStr">
        <is>
          <t>2026</t>
        </is>
      </c>
      <c r="I136" s="15" t="n">
        <v>62</v>
      </c>
      <c r="J136" s="15" t="n">
        <v>79</v>
      </c>
      <c r="K136" s="15" t="n">
        <v>67</v>
      </c>
      <c r="L136" s="15" t="n">
        <v>70</v>
      </c>
      <c r="M136" s="15" t="n">
        <v>69</v>
      </c>
      <c r="N136" s="15" t="n">
        <v>69</v>
      </c>
      <c r="O136" s="15" t="n">
        <v>4</v>
      </c>
      <c r="P136" s="15" t="n">
        <v>0</v>
      </c>
      <c r="Q136" s="14">
        <f>IF(COUNT(I136:P136)=0,"",SUM(I136:P136))</f>
        <v/>
      </c>
      <c r="R136" t="inlineStr"/>
    </row>
    <row r="137">
      <c r="A137" t="inlineStr">
        <is>
          <t>성지초등학교</t>
        </is>
      </c>
      <c r="B137" t="inlineStr">
        <is>
          <t>초등학교</t>
        </is>
      </c>
      <c r="C137" t="inlineStr">
        <is>
          <t>공립</t>
        </is>
      </c>
      <c r="D137" t="inlineStr">
        <is>
          <t>부산진구</t>
        </is>
      </c>
      <c r="E137" t="inlineStr">
        <is>
          <t>부산광역시 부산진구 시민공원로 62</t>
        </is>
      </c>
      <c r="F137" s="11" t="inlineStr">
        <is>
          <t>http://www.sungji.es.kr</t>
        </is>
      </c>
      <c r="G137" t="inlineStr">
        <is>
          <t>051-816-0242</t>
        </is>
      </c>
      <c r="H137" t="inlineStr">
        <is>
          <t>2026</t>
        </is>
      </c>
      <c r="I137" s="15" t="n">
        <v>58</v>
      </c>
      <c r="J137" s="15" t="n">
        <v>69</v>
      </c>
      <c r="K137" s="15" t="n">
        <v>55</v>
      </c>
      <c r="L137" s="15" t="n">
        <v>86</v>
      </c>
      <c r="M137" s="15" t="n">
        <v>71</v>
      </c>
      <c r="N137" s="15" t="n">
        <v>89</v>
      </c>
      <c r="O137" s="15" t="n">
        <v>13</v>
      </c>
      <c r="P137" s="15" t="n">
        <v>0</v>
      </c>
      <c r="Q137" s="14">
        <f>IF(COUNT(I137:P137)=0,"",SUM(I137:P137))</f>
        <v/>
      </c>
      <c r="R137" t="inlineStr"/>
    </row>
    <row r="138">
      <c r="A138" t="inlineStr">
        <is>
          <t>양동초등학교</t>
        </is>
      </c>
      <c r="B138" t="inlineStr">
        <is>
          <t>초등학교</t>
        </is>
      </c>
      <c r="C138" t="inlineStr">
        <is>
          <t>공립</t>
        </is>
      </c>
      <c r="D138" t="inlineStr">
        <is>
          <t>부산진구</t>
        </is>
      </c>
      <c r="E138" t="inlineStr">
        <is>
          <t>부산광역시 부산진구 황령산로605번길 35-10</t>
        </is>
      </c>
      <c r="F138" s="11" t="inlineStr">
        <is>
          <t>http://www.yangdong.es.kr/</t>
        </is>
      </c>
      <c r="G138" t="inlineStr">
        <is>
          <t>051-863-1656</t>
        </is>
      </c>
      <c r="H138" t="inlineStr">
        <is>
          <t>2026</t>
        </is>
      </c>
      <c r="I138" s="15" t="n">
        <v>171</v>
      </c>
      <c r="J138" s="15" t="n">
        <v>153</v>
      </c>
      <c r="K138" s="15" t="n">
        <v>179</v>
      </c>
      <c r="L138" s="15" t="n">
        <v>191</v>
      </c>
      <c r="M138" s="15" t="n">
        <v>160</v>
      </c>
      <c r="N138" s="15" t="n">
        <v>164</v>
      </c>
      <c r="O138" s="15" t="n">
        <v>16</v>
      </c>
      <c r="P138" s="15" t="n">
        <v>0</v>
      </c>
      <c r="Q138" s="14">
        <f>IF(COUNT(I138:P138)=0,"",SUM(I138:P138))</f>
        <v/>
      </c>
      <c r="R138" t="inlineStr"/>
    </row>
    <row r="139">
      <c r="A139" t="inlineStr">
        <is>
          <t>양성초등학교</t>
        </is>
      </c>
      <c r="B139" t="inlineStr">
        <is>
          <t>초등학교</t>
        </is>
      </c>
      <c r="C139" t="inlineStr">
        <is>
          <t>공립</t>
        </is>
      </c>
      <c r="D139" t="inlineStr">
        <is>
          <t>부산진구</t>
        </is>
      </c>
      <c r="E139" t="inlineStr">
        <is>
          <t>부산광역시 부산진구 양성로 34</t>
        </is>
      </c>
      <c r="F139" s="11" t="inlineStr">
        <is>
          <t>http://yangsung.es.kr</t>
        </is>
      </c>
      <c r="G139" t="inlineStr">
        <is>
          <t>051-868-7414</t>
        </is>
      </c>
      <c r="H139" t="inlineStr">
        <is>
          <t>2026</t>
        </is>
      </c>
      <c r="I139" s="15" t="n">
        <v>28</v>
      </c>
      <c r="J139" s="15" t="n">
        <v>39</v>
      </c>
      <c r="K139" s="15" t="n">
        <v>35</v>
      </c>
      <c r="L139" s="15" t="n">
        <v>41</v>
      </c>
      <c r="M139" s="15" t="n">
        <v>44</v>
      </c>
      <c r="N139" s="15" t="n">
        <v>58</v>
      </c>
      <c r="O139" s="15" t="n">
        <v>9</v>
      </c>
      <c r="P139" s="15" t="n">
        <v>0</v>
      </c>
      <c r="Q139" s="14">
        <f>IF(COUNT(I139:P139)=0,"",SUM(I139:P139))</f>
        <v/>
      </c>
      <c r="R139" t="inlineStr"/>
    </row>
    <row r="140">
      <c r="A140" t="inlineStr">
        <is>
          <t>양정초등학교</t>
        </is>
      </c>
      <c r="B140" t="inlineStr">
        <is>
          <t>초등학교</t>
        </is>
      </c>
      <c r="C140" t="inlineStr">
        <is>
          <t>공립</t>
        </is>
      </c>
      <c r="D140" t="inlineStr">
        <is>
          <t>부산진구</t>
        </is>
      </c>
      <c r="E140" t="inlineStr">
        <is>
          <t>부산광역시 부산진구 중앙대로941번길 24</t>
        </is>
      </c>
      <c r="F140" s="11" t="inlineStr">
        <is>
          <t>http://www.yj.es.kr</t>
        </is>
      </c>
      <c r="G140" t="inlineStr">
        <is>
          <t>051-852-0903</t>
        </is>
      </c>
      <c r="H140" t="inlineStr">
        <is>
          <t>2026</t>
        </is>
      </c>
      <c r="I140" s="15" t="n">
        <v>128</v>
      </c>
      <c r="J140" s="15" t="n">
        <v>124</v>
      </c>
      <c r="K140" s="15" t="n">
        <v>123</v>
      </c>
      <c r="L140" s="15" t="n">
        <v>146</v>
      </c>
      <c r="M140" s="15" t="n">
        <v>153</v>
      </c>
      <c r="N140" s="15" t="n">
        <v>149</v>
      </c>
      <c r="O140" s="15" t="n">
        <v>14</v>
      </c>
      <c r="P140" s="15" t="n">
        <v>0</v>
      </c>
      <c r="Q140" s="14">
        <f>IF(COUNT(I140:P140)=0,"",SUM(I140:P140))</f>
        <v/>
      </c>
      <c r="R140" t="inlineStr"/>
    </row>
    <row r="141">
      <c r="A141" t="inlineStr">
        <is>
          <t>연지초등학교</t>
        </is>
      </c>
      <c r="B141" t="inlineStr">
        <is>
          <t>초등학교</t>
        </is>
      </c>
      <c r="C141" t="inlineStr">
        <is>
          <t>공립</t>
        </is>
      </c>
      <c r="D141" t="inlineStr">
        <is>
          <t>부산진구</t>
        </is>
      </c>
      <c r="E141" t="inlineStr">
        <is>
          <t>부산광역시 부산진구 연지로 29</t>
        </is>
      </c>
      <c r="F141" s="11" t="inlineStr">
        <is>
          <t>http://yeonji.es.kr/</t>
        </is>
      </c>
      <c r="G141" t="inlineStr">
        <is>
          <t>051-816-0541</t>
        </is>
      </c>
      <c r="H141" t="inlineStr">
        <is>
          <t>2026</t>
        </is>
      </c>
      <c r="I141" s="15" t="n">
        <v>177</v>
      </c>
      <c r="J141" s="15" t="n">
        <v>187</v>
      </c>
      <c r="K141" s="15" t="n">
        <v>205</v>
      </c>
      <c r="L141" s="15" t="n">
        <v>219</v>
      </c>
      <c r="M141" s="15" t="n">
        <v>236</v>
      </c>
      <c r="N141" s="15" t="n">
        <v>214</v>
      </c>
      <c r="O141" s="15" t="n">
        <v>14</v>
      </c>
      <c r="P141" s="15" t="n">
        <v>0</v>
      </c>
      <c r="Q141" s="14">
        <f>IF(COUNT(I141:P141)=0,"",SUM(I141:P141))</f>
        <v/>
      </c>
      <c r="R141" t="inlineStr"/>
    </row>
    <row r="142">
      <c r="A142" t="inlineStr">
        <is>
          <t>연학초등학교</t>
        </is>
      </c>
      <c r="B142" t="inlineStr">
        <is>
          <t>초등학교</t>
        </is>
      </c>
      <c r="C142" t="inlineStr">
        <is>
          <t>공립</t>
        </is>
      </c>
      <c r="D142" t="inlineStr">
        <is>
          <t>부산진구</t>
        </is>
      </c>
      <c r="E142" t="inlineStr">
        <is>
          <t>부산광역시 부산진구 초읍천로 43번길</t>
        </is>
      </c>
      <c r="F142" s="11" t="inlineStr">
        <is>
          <t>http://www.yeonhak.es.kr</t>
        </is>
      </c>
      <c r="G142" t="inlineStr">
        <is>
          <t>051-7182-800</t>
        </is>
      </c>
      <c r="H142" t="inlineStr">
        <is>
          <t>2026</t>
        </is>
      </c>
      <c r="I142" s="15" t="n">
        <v>38</v>
      </c>
      <c r="J142" s="15" t="n">
        <v>49</v>
      </c>
      <c r="K142" s="15" t="n">
        <v>59</v>
      </c>
      <c r="L142" s="15" t="n">
        <v>73</v>
      </c>
      <c r="M142" s="15" t="n">
        <v>60</v>
      </c>
      <c r="N142" s="15" t="n">
        <v>67</v>
      </c>
      <c r="O142" s="15" t="n">
        <v>6</v>
      </c>
      <c r="P142" s="15" t="n">
        <v>0</v>
      </c>
      <c r="Q142" s="14">
        <f>IF(COUNT(I142:P142)=0,"",SUM(I142:P142))</f>
        <v/>
      </c>
      <c r="R142" t="inlineStr"/>
    </row>
    <row r="143">
      <c r="A143" t="inlineStr">
        <is>
          <t>전포초등학교</t>
        </is>
      </c>
      <c r="B143" t="inlineStr">
        <is>
          <t>초등학교</t>
        </is>
      </c>
      <c r="C143" t="inlineStr">
        <is>
          <t>공립</t>
        </is>
      </c>
      <c r="D143" t="inlineStr">
        <is>
          <t>부산진구</t>
        </is>
      </c>
      <c r="E143" t="inlineStr">
        <is>
          <t>부산광역시 부산진구 전포대로255번길 38</t>
        </is>
      </c>
      <c r="F143" s="11" t="inlineStr">
        <is>
          <t>http://jeonpo.es.kr/</t>
        </is>
      </c>
      <c r="G143" t="inlineStr">
        <is>
          <t>051-809-7862</t>
        </is>
      </c>
      <c r="H143" t="inlineStr">
        <is>
          <t>2026</t>
        </is>
      </c>
      <c r="I143" s="15" t="n">
        <v>44</v>
      </c>
      <c r="J143" s="15" t="n">
        <v>43</v>
      </c>
      <c r="K143" s="15" t="n">
        <v>60</v>
      </c>
      <c r="L143" s="15" t="n">
        <v>63</v>
      </c>
      <c r="M143" s="15" t="n">
        <v>46</v>
      </c>
      <c r="N143" s="15" t="n">
        <v>61</v>
      </c>
      <c r="O143" s="15" t="n">
        <v>8</v>
      </c>
      <c r="P143" s="15" t="n">
        <v>0</v>
      </c>
      <c r="Q143" s="14">
        <f>IF(COUNT(I143:P143)=0,"",SUM(I143:P143))</f>
        <v/>
      </c>
      <c r="R143" t="inlineStr"/>
    </row>
    <row r="144">
      <c r="A144" t="inlineStr">
        <is>
          <t>주례초등학교</t>
        </is>
      </c>
      <c r="B144" t="inlineStr">
        <is>
          <t>초등학교</t>
        </is>
      </c>
      <c r="C144" t="inlineStr">
        <is>
          <t>공립</t>
        </is>
      </c>
      <c r="D144" t="inlineStr">
        <is>
          <t>부산진구</t>
        </is>
      </c>
      <c r="E144" t="inlineStr">
        <is>
          <t>부산광역시 부산진구 진사로61번길 28-7</t>
        </is>
      </c>
      <c r="F144" s="11" t="inlineStr">
        <is>
          <t>http://www.jure.es.kr</t>
        </is>
      </c>
      <c r="G144" t="inlineStr">
        <is>
          <t>051-890-5500</t>
        </is>
      </c>
      <c r="H144" t="inlineStr">
        <is>
          <t>2026</t>
        </is>
      </c>
      <c r="I144" s="15" t="n">
        <v>21</v>
      </c>
      <c r="J144" s="15" t="n">
        <v>38</v>
      </c>
      <c r="K144" s="15" t="n">
        <v>43</v>
      </c>
      <c r="L144" s="15" t="n">
        <v>46</v>
      </c>
      <c r="M144" s="15" t="n">
        <v>65</v>
      </c>
      <c r="N144" s="15" t="n">
        <v>48</v>
      </c>
      <c r="O144" s="15" t="n">
        <v>11</v>
      </c>
      <c r="P144" s="15" t="n">
        <v>0</v>
      </c>
      <c r="Q144" s="14">
        <f>IF(COUNT(I144:P144)=0,"",SUM(I144:P144))</f>
        <v/>
      </c>
      <c r="R144" t="inlineStr"/>
    </row>
    <row r="145">
      <c r="A145" t="inlineStr">
        <is>
          <t>초읍초등학교</t>
        </is>
      </c>
      <c r="B145" t="inlineStr">
        <is>
          <t>초등학교</t>
        </is>
      </c>
      <c r="C145" t="inlineStr">
        <is>
          <t>공립</t>
        </is>
      </c>
      <c r="D145" t="inlineStr">
        <is>
          <t>부산진구</t>
        </is>
      </c>
      <c r="E145" t="inlineStr">
        <is>
          <t>부산광역시 부산진구 성지로104번길 26</t>
        </is>
      </c>
      <c r="F145" s="11" t="inlineStr">
        <is>
          <t>http://www.choup.es.kr</t>
        </is>
      </c>
      <c r="G145" t="inlineStr">
        <is>
          <t>051-797-9400</t>
        </is>
      </c>
      <c r="H145" t="inlineStr">
        <is>
          <t>2026</t>
        </is>
      </c>
      <c r="I145" s="15" t="n">
        <v>67</v>
      </c>
      <c r="J145" s="15" t="n">
        <v>51</v>
      </c>
      <c r="K145" s="15" t="n">
        <v>65</v>
      </c>
      <c r="L145" s="15" t="n">
        <v>72</v>
      </c>
      <c r="M145" s="15" t="n">
        <v>75</v>
      </c>
      <c r="N145" s="15" t="n">
        <v>70</v>
      </c>
      <c r="O145" s="15" t="n">
        <v>6</v>
      </c>
      <c r="P145" s="15" t="n">
        <v>0</v>
      </c>
      <c r="Q145" s="14">
        <f>IF(COUNT(I145:P145)=0,"",SUM(I145:P145))</f>
        <v/>
      </c>
      <c r="R145" t="inlineStr"/>
    </row>
    <row r="146">
      <c r="A146" t="inlineStr">
        <is>
          <t>구남초등학교</t>
        </is>
      </c>
      <c r="B146" t="inlineStr">
        <is>
          <t>초등학교</t>
        </is>
      </c>
      <c r="C146" t="inlineStr">
        <is>
          <t>공립</t>
        </is>
      </c>
      <c r="D146" t="inlineStr">
        <is>
          <t>북구</t>
        </is>
      </c>
      <c r="E146" t="inlineStr">
        <is>
          <t>부산광역시 북구 구남로14번가길 23</t>
        </is>
      </c>
      <c r="F146" s="11" t="inlineStr">
        <is>
          <t>http://kunam.es.kr</t>
        </is>
      </c>
      <c r="G146" t="inlineStr">
        <is>
          <t>051-336-6602</t>
        </is>
      </c>
      <c r="H146" t="inlineStr">
        <is>
          <t>2026</t>
        </is>
      </c>
      <c r="I146" s="15" t="n">
        <v>30</v>
      </c>
      <c r="J146" s="15" t="n">
        <v>61</v>
      </c>
      <c r="K146" s="15" t="n">
        <v>41</v>
      </c>
      <c r="L146" s="15" t="n">
        <v>63</v>
      </c>
      <c r="M146" s="15" t="n">
        <v>72</v>
      </c>
      <c r="N146" s="15" t="n">
        <v>73</v>
      </c>
      <c r="O146" s="15" t="n">
        <v>8</v>
      </c>
      <c r="P146" s="15" t="n">
        <v>0</v>
      </c>
      <c r="Q146" s="14">
        <f>IF(COUNT(I146:P146)=0,"",SUM(I146:P146))</f>
        <v/>
      </c>
      <c r="R146" t="inlineStr"/>
    </row>
    <row r="147">
      <c r="A147" t="inlineStr">
        <is>
          <t>구포초등학교</t>
        </is>
      </c>
      <c r="B147" t="inlineStr">
        <is>
          <t>초등학교</t>
        </is>
      </c>
      <c r="C147" t="inlineStr">
        <is>
          <t>공립</t>
        </is>
      </c>
      <c r="D147" t="inlineStr">
        <is>
          <t>북구</t>
        </is>
      </c>
      <c r="E147" t="inlineStr">
        <is>
          <t>부산광역시 북구 백양대로1124번길 20</t>
        </is>
      </c>
      <c r="F147" s="11" t="inlineStr">
        <is>
          <t>http://school.busanedu.net/gupo-e</t>
        </is>
      </c>
      <c r="G147" t="inlineStr">
        <is>
          <t>051-330-5900</t>
        </is>
      </c>
      <c r="H147" t="inlineStr">
        <is>
          <t>2026</t>
        </is>
      </c>
      <c r="I147" s="15" t="n">
        <v>87</v>
      </c>
      <c r="J147" s="15" t="n">
        <v>91</v>
      </c>
      <c r="K147" s="15" t="n">
        <v>79</v>
      </c>
      <c r="L147" s="15" t="n">
        <v>109</v>
      </c>
      <c r="M147" s="15" t="n">
        <v>92</v>
      </c>
      <c r="N147" s="15" t="n">
        <v>87</v>
      </c>
      <c r="O147" s="15" t="n">
        <v>15</v>
      </c>
      <c r="P147" s="15" t="n">
        <v>0</v>
      </c>
      <c r="Q147" s="14">
        <f>IF(COUNT(I147:P147)=0,"",SUM(I147:P147))</f>
        <v/>
      </c>
      <c r="R147" t="inlineStr"/>
    </row>
    <row r="148">
      <c r="A148" t="inlineStr">
        <is>
          <t>금곡초등학교</t>
        </is>
      </c>
      <c r="B148" t="inlineStr">
        <is>
          <t>초등학교</t>
        </is>
      </c>
      <c r="C148" t="inlineStr">
        <is>
          <t>공립</t>
        </is>
      </c>
      <c r="D148" t="inlineStr">
        <is>
          <t>북구</t>
        </is>
      </c>
      <c r="E148" t="inlineStr">
        <is>
          <t>부산광역시 북구 효열로 174</t>
        </is>
      </c>
      <c r="F148" s="11" t="inlineStr">
        <is>
          <t>http://www.geumgok.es.kr/</t>
        </is>
      </c>
      <c r="G148" t="inlineStr">
        <is>
          <t>051-330-5500</t>
        </is>
      </c>
      <c r="H148" t="inlineStr">
        <is>
          <t>2026</t>
        </is>
      </c>
      <c r="I148" s="15" t="n">
        <v>21</v>
      </c>
      <c r="J148" s="15" t="n">
        <v>29</v>
      </c>
      <c r="K148" s="15" t="n">
        <v>43</v>
      </c>
      <c r="L148" s="15" t="n">
        <v>38</v>
      </c>
      <c r="M148" s="15" t="n">
        <v>52</v>
      </c>
      <c r="N148" s="15" t="n">
        <v>48</v>
      </c>
      <c r="O148" s="15" t="n">
        <v>5</v>
      </c>
      <c r="P148" s="15" t="n">
        <v>0</v>
      </c>
      <c r="Q148" s="14">
        <f>IF(COUNT(I148:P148)=0,"",SUM(I148:P148))</f>
        <v/>
      </c>
      <c r="R148" t="inlineStr"/>
    </row>
    <row r="149">
      <c r="A149" t="inlineStr">
        <is>
          <t>금명초등학교</t>
        </is>
      </c>
      <c r="B149" t="inlineStr">
        <is>
          <t>초등학교</t>
        </is>
      </c>
      <c r="C149" t="inlineStr">
        <is>
          <t>공립</t>
        </is>
      </c>
      <c r="D149" t="inlineStr">
        <is>
          <t>북구</t>
        </is>
      </c>
      <c r="E149" t="inlineStr">
        <is>
          <t>부산광역시 북구 화명신도시로 197</t>
        </is>
      </c>
      <c r="F149" s="11" t="inlineStr">
        <is>
          <t>https://school.busanedu.net/geummyeong-e/</t>
        </is>
      </c>
      <c r="G149" t="inlineStr">
        <is>
          <t>051-364-1837</t>
        </is>
      </c>
      <c r="H149" t="inlineStr">
        <is>
          <t>2026</t>
        </is>
      </c>
      <c r="I149" s="15" t="n">
        <v>37</v>
      </c>
      <c r="J149" s="15" t="n">
        <v>61</v>
      </c>
      <c r="K149" s="15" t="n">
        <v>56</v>
      </c>
      <c r="L149" s="15" t="n">
        <v>69</v>
      </c>
      <c r="M149" s="15" t="n">
        <v>88</v>
      </c>
      <c r="N149" s="15" t="n">
        <v>89</v>
      </c>
      <c r="O149" s="15" t="n">
        <v>6</v>
      </c>
      <c r="P149" s="15" t="n">
        <v>0</v>
      </c>
      <c r="Q149" s="14">
        <f>IF(COUNT(I149:P149)=0,"",SUM(I149:P149))</f>
        <v/>
      </c>
      <c r="R149" t="inlineStr"/>
    </row>
    <row r="150">
      <c r="A150" t="inlineStr">
        <is>
          <t>금창초등학교</t>
        </is>
      </c>
      <c r="B150" t="inlineStr">
        <is>
          <t>초등학교</t>
        </is>
      </c>
      <c r="C150" t="inlineStr">
        <is>
          <t>공립</t>
        </is>
      </c>
      <c r="D150" t="inlineStr">
        <is>
          <t>북구</t>
        </is>
      </c>
      <c r="E150" t="inlineStr">
        <is>
          <t>부산광역시 북구 효열로235번길 14</t>
        </is>
      </c>
      <c r="F150" s="11" t="inlineStr">
        <is>
          <t>http://www.geumchang.es.kr</t>
        </is>
      </c>
      <c r="G150" t="inlineStr">
        <is>
          <t>051-320-5600</t>
        </is>
      </c>
      <c r="H150" t="inlineStr">
        <is>
          <t>2026</t>
        </is>
      </c>
      <c r="I150" s="15" t="n">
        <v>7</v>
      </c>
      <c r="J150" s="15" t="n">
        <v>9</v>
      </c>
      <c r="K150" s="15" t="n">
        <v>3</v>
      </c>
      <c r="L150" s="15" t="n">
        <v>20</v>
      </c>
      <c r="M150" s="15" t="n">
        <v>15</v>
      </c>
      <c r="N150" s="15" t="n">
        <v>28</v>
      </c>
      <c r="O150" s="15" t="n">
        <v>6</v>
      </c>
      <c r="P150" s="15" t="n">
        <v>0</v>
      </c>
      <c r="Q150" s="14">
        <f>IF(COUNT(I150:P150)=0,"",SUM(I150:P150))</f>
        <v/>
      </c>
      <c r="R150" t="inlineStr"/>
    </row>
    <row r="151">
      <c r="A151" t="inlineStr">
        <is>
          <t>대천리초등학교</t>
        </is>
      </c>
      <c r="B151" t="inlineStr">
        <is>
          <t>초등학교</t>
        </is>
      </c>
      <c r="C151" t="inlineStr">
        <is>
          <t>공립</t>
        </is>
      </c>
      <c r="D151" t="inlineStr">
        <is>
          <t>북구</t>
        </is>
      </c>
      <c r="E151" t="inlineStr">
        <is>
          <t>부산광역시 북구 산성로 87-10</t>
        </is>
      </c>
      <c r="F151" s="11" t="inlineStr">
        <is>
          <t>http://www.daechunlee.es.kr</t>
        </is>
      </c>
      <c r="G151" t="inlineStr">
        <is>
          <t>051-366-2700</t>
        </is>
      </c>
      <c r="H151" t="inlineStr">
        <is>
          <t>2026</t>
        </is>
      </c>
      <c r="I151" s="15" t="n">
        <v>19</v>
      </c>
      <c r="J151" s="15" t="n">
        <v>19</v>
      </c>
      <c r="K151" s="15" t="n">
        <v>21</v>
      </c>
      <c r="L151" s="15" t="n">
        <v>31</v>
      </c>
      <c r="M151" s="15" t="n">
        <v>46</v>
      </c>
      <c r="N151" s="15" t="n">
        <v>37</v>
      </c>
      <c r="O151" s="15" t="n">
        <v>6</v>
      </c>
      <c r="P151" s="15" t="n">
        <v>0</v>
      </c>
      <c r="Q151" s="14">
        <f>IF(COUNT(I151:P151)=0,"",SUM(I151:P151))</f>
        <v/>
      </c>
      <c r="R151" t="inlineStr"/>
    </row>
    <row r="152">
      <c r="A152" t="inlineStr">
        <is>
          <t>덕성초등학교</t>
        </is>
      </c>
      <c r="B152" t="inlineStr">
        <is>
          <t>초등학교</t>
        </is>
      </c>
      <c r="C152" t="inlineStr">
        <is>
          <t>공립</t>
        </is>
      </c>
      <c r="D152" t="inlineStr">
        <is>
          <t>북구</t>
        </is>
      </c>
      <c r="E152" t="inlineStr">
        <is>
          <t>부산광역시 북구 만덕대로39번길 45</t>
        </is>
      </c>
      <c r="F152" s="11" t="inlineStr">
        <is>
          <t>http://school.busanedu.net/dsedu-e</t>
        </is>
      </c>
      <c r="G152" t="inlineStr">
        <is>
          <t>051-330-3600</t>
        </is>
      </c>
      <c r="H152" t="inlineStr">
        <is>
          <t>2026</t>
        </is>
      </c>
      <c r="I152" s="15" t="n">
        <v>56</v>
      </c>
      <c r="J152" s="15" t="n">
        <v>61</v>
      </c>
      <c r="K152" s="15" t="n">
        <v>52</v>
      </c>
      <c r="L152" s="15" t="n">
        <v>57</v>
      </c>
      <c r="M152" s="15" t="n">
        <v>60</v>
      </c>
      <c r="N152" s="15" t="n">
        <v>54</v>
      </c>
      <c r="O152" s="15" t="n">
        <v>6</v>
      </c>
      <c r="P152" s="15" t="n">
        <v>0</v>
      </c>
      <c r="Q152" s="14">
        <f>IF(COUNT(I152:P152)=0,"",SUM(I152:P152))</f>
        <v/>
      </c>
      <c r="R152" t="inlineStr"/>
    </row>
    <row r="153">
      <c r="A153" t="inlineStr">
        <is>
          <t>덕양초등학교</t>
        </is>
      </c>
      <c r="B153" t="inlineStr">
        <is>
          <t>초등학교</t>
        </is>
      </c>
      <c r="C153" t="inlineStr">
        <is>
          <t>공립</t>
        </is>
      </c>
      <c r="D153" t="inlineStr">
        <is>
          <t>북구</t>
        </is>
      </c>
      <c r="E153" t="inlineStr">
        <is>
          <t>부산광역시 북구 함박봉로 42</t>
        </is>
      </c>
      <c r="F153" s="11" t="inlineStr">
        <is>
          <t>http://deokyang.es.kr</t>
        </is>
      </c>
      <c r="G153" t="inlineStr">
        <is>
          <t>051-338-8364</t>
        </is>
      </c>
      <c r="H153" t="inlineStr">
        <is>
          <t>2026</t>
        </is>
      </c>
      <c r="I153" s="15" t="n">
        <v>33</v>
      </c>
      <c r="J153" s="15" t="n">
        <v>38</v>
      </c>
      <c r="K153" s="15" t="n">
        <v>44</v>
      </c>
      <c r="L153" s="15" t="n">
        <v>46</v>
      </c>
      <c r="M153" s="15" t="n">
        <v>62</v>
      </c>
      <c r="N153" s="15" t="n">
        <v>60</v>
      </c>
      <c r="O153" s="15" t="n">
        <v>5</v>
      </c>
      <c r="P153" s="15" t="n">
        <v>0</v>
      </c>
      <c r="Q153" s="14">
        <f>IF(COUNT(I153:P153)=0,"",SUM(I153:P153))</f>
        <v/>
      </c>
      <c r="R153" t="inlineStr"/>
    </row>
    <row r="154">
      <c r="A154" t="inlineStr">
        <is>
          <t>덕천초등학교</t>
        </is>
      </c>
      <c r="B154" t="inlineStr">
        <is>
          <t>초등학교</t>
        </is>
      </c>
      <c r="C154" t="inlineStr">
        <is>
          <t>공립</t>
        </is>
      </c>
      <c r="D154" t="inlineStr">
        <is>
          <t>북구</t>
        </is>
      </c>
      <c r="E154" t="inlineStr">
        <is>
          <t>부산광역시 북구 덕천2길 10</t>
        </is>
      </c>
      <c r="F154" s="11" t="inlineStr">
        <is>
          <t>http://school.busanedu.net/dugchun-e/main.do</t>
        </is>
      </c>
      <c r="G154" t="inlineStr">
        <is>
          <t>051-331-9194</t>
        </is>
      </c>
      <c r="H154" t="inlineStr">
        <is>
          <t>2026</t>
        </is>
      </c>
      <c r="I154" s="15" t="n">
        <v>7</v>
      </c>
      <c r="J154" s="15" t="n">
        <v>11</v>
      </c>
      <c r="K154" s="15" t="n">
        <v>7</v>
      </c>
      <c r="L154" s="15" t="n">
        <v>13</v>
      </c>
      <c r="M154" s="15" t="n">
        <v>14</v>
      </c>
      <c r="N154" s="15" t="n">
        <v>11</v>
      </c>
      <c r="O154" s="15" t="n">
        <v>4</v>
      </c>
      <c r="P154" s="15" t="n">
        <v>0</v>
      </c>
      <c r="Q154" s="14">
        <f>IF(COUNT(I154:P154)=0,"",SUM(I154:P154))</f>
        <v/>
      </c>
      <c r="R154" t="inlineStr"/>
    </row>
    <row r="155">
      <c r="A155" t="inlineStr">
        <is>
          <t>만덕초등학교</t>
        </is>
      </c>
      <c r="B155" t="inlineStr">
        <is>
          <t>초등학교</t>
        </is>
      </c>
      <c r="C155" t="inlineStr">
        <is>
          <t>공립</t>
        </is>
      </c>
      <c r="D155" t="inlineStr">
        <is>
          <t>북구</t>
        </is>
      </c>
      <c r="E155" t="inlineStr">
        <is>
          <t>부산광역시 북구 만덕1로 72</t>
        </is>
      </c>
      <c r="F155" s="11" t="inlineStr">
        <is>
          <t>http://manduk.or.kr</t>
        </is>
      </c>
      <c r="G155" t="inlineStr">
        <is>
          <t>051-320-7600</t>
        </is>
      </c>
      <c r="H155" t="inlineStr">
        <is>
          <t>2026</t>
        </is>
      </c>
      <c r="I155" s="15" t="n">
        <v>58</v>
      </c>
      <c r="J155" s="15" t="n">
        <v>62</v>
      </c>
      <c r="K155" s="15" t="n">
        <v>69</v>
      </c>
      <c r="L155" s="15" t="n">
        <v>73</v>
      </c>
      <c r="M155" s="15" t="n">
        <v>57</v>
      </c>
      <c r="N155" s="15" t="n">
        <v>54</v>
      </c>
      <c r="O155" s="15" t="n">
        <v>7</v>
      </c>
      <c r="P155" s="15" t="n">
        <v>0</v>
      </c>
      <c r="Q155" s="14">
        <f>IF(COUNT(I155:P155)=0,"",SUM(I155:P155))</f>
        <v/>
      </c>
      <c r="R155" t="inlineStr"/>
    </row>
    <row r="156">
      <c r="A156" t="inlineStr">
        <is>
          <t>명덕초등학교</t>
        </is>
      </c>
      <c r="B156" t="inlineStr">
        <is>
          <t>초등학교</t>
        </is>
      </c>
      <c r="C156" t="inlineStr">
        <is>
          <t>공립</t>
        </is>
      </c>
      <c r="D156" t="inlineStr">
        <is>
          <t>북구</t>
        </is>
      </c>
      <c r="E156" t="inlineStr">
        <is>
          <t>부산광역시 북구 금곡대로186번길 43</t>
        </is>
      </c>
      <c r="F156" s="11" t="inlineStr">
        <is>
          <t>http://myd.es.kr</t>
        </is>
      </c>
      <c r="G156" t="inlineStr">
        <is>
          <t>051-330-6800</t>
        </is>
      </c>
      <c r="H156" t="inlineStr">
        <is>
          <t>2026</t>
        </is>
      </c>
      <c r="I156" s="15" t="n">
        <v>70</v>
      </c>
      <c r="J156" s="15" t="n">
        <v>82</v>
      </c>
      <c r="K156" s="15" t="n">
        <v>98</v>
      </c>
      <c r="L156" s="15" t="n">
        <v>108</v>
      </c>
      <c r="M156" s="15" t="n">
        <v>127</v>
      </c>
      <c r="N156" s="15" t="n">
        <v>115</v>
      </c>
      <c r="O156" s="15" t="n">
        <v>7</v>
      </c>
      <c r="P156" s="15" t="n">
        <v>0</v>
      </c>
      <c r="Q156" s="14">
        <f>IF(COUNT(I156:P156)=0,"",SUM(I156:P156))</f>
        <v/>
      </c>
      <c r="R156" t="inlineStr"/>
    </row>
    <row r="157">
      <c r="A157" t="inlineStr">
        <is>
          <t>명진초등학교</t>
        </is>
      </c>
      <c r="B157" t="inlineStr">
        <is>
          <t>초등학교</t>
        </is>
      </c>
      <c r="C157" t="inlineStr">
        <is>
          <t>공립</t>
        </is>
      </c>
      <c r="D157" t="inlineStr">
        <is>
          <t>북구</t>
        </is>
      </c>
      <c r="E157" t="inlineStr">
        <is>
          <t>부산광역시 북구 화명신도시로 159</t>
        </is>
      </c>
      <c r="F157" s="11" t="inlineStr">
        <is>
          <t>http://myungjin.es.kr</t>
        </is>
      </c>
      <c r="G157" t="inlineStr">
        <is>
          <t>051-330-4700</t>
        </is>
      </c>
      <c r="H157" t="inlineStr">
        <is>
          <t>2026</t>
        </is>
      </c>
      <c r="I157" s="15" t="n">
        <v>59</v>
      </c>
      <c r="J157" s="15" t="n">
        <v>75</v>
      </c>
      <c r="K157" s="15" t="n">
        <v>88</v>
      </c>
      <c r="L157" s="15" t="n">
        <v>92</v>
      </c>
      <c r="M157" s="15" t="n">
        <v>107</v>
      </c>
      <c r="N157" s="15" t="n">
        <v>115</v>
      </c>
      <c r="O157" s="15" t="n">
        <v>2</v>
      </c>
      <c r="P157" s="15" t="n">
        <v>0</v>
      </c>
      <c r="Q157" s="14">
        <f>IF(COUNT(I157:P157)=0,"",SUM(I157:P157))</f>
        <v/>
      </c>
      <c r="R157" t="inlineStr"/>
    </row>
    <row r="158">
      <c r="A158" t="inlineStr">
        <is>
          <t>백산초등학교</t>
        </is>
      </c>
      <c r="B158" t="inlineStr">
        <is>
          <t>초등학교</t>
        </is>
      </c>
      <c r="C158" t="inlineStr">
        <is>
          <t>공립</t>
        </is>
      </c>
      <c r="D158" t="inlineStr">
        <is>
          <t>북구</t>
        </is>
      </c>
      <c r="E158" t="inlineStr">
        <is>
          <t>부산광역시 북구 덕천로259번길 23</t>
        </is>
      </c>
      <c r="F158" s="11" t="inlineStr">
        <is>
          <t>http://www.baeksan.es.kr</t>
        </is>
      </c>
      <c r="G158" t="inlineStr">
        <is>
          <t>051-330-8900</t>
        </is>
      </c>
      <c r="H158" t="inlineStr">
        <is>
          <t>2026</t>
        </is>
      </c>
      <c r="I158" s="15" t="n">
        <v>61</v>
      </c>
      <c r="J158" s="15" t="n">
        <v>58</v>
      </c>
      <c r="K158" s="15" t="n">
        <v>93</v>
      </c>
      <c r="L158" s="15" t="n">
        <v>91</v>
      </c>
      <c r="M158" s="15" t="n">
        <v>97</v>
      </c>
      <c r="N158" s="15" t="n">
        <v>91</v>
      </c>
      <c r="O158" s="15" t="n">
        <v>5</v>
      </c>
      <c r="P158" s="15" t="n">
        <v>0</v>
      </c>
      <c r="Q158" s="14">
        <f>IF(COUNT(I158:P158)=0,"",SUM(I158:P158))</f>
        <v/>
      </c>
      <c r="R158" t="inlineStr"/>
    </row>
    <row r="159">
      <c r="A159" t="inlineStr">
        <is>
          <t>백양초등학교</t>
        </is>
      </c>
      <c r="B159" t="inlineStr">
        <is>
          <t>초등학교</t>
        </is>
      </c>
      <c r="C159" t="inlineStr">
        <is>
          <t>공립</t>
        </is>
      </c>
      <c r="D159" t="inlineStr">
        <is>
          <t>북구</t>
        </is>
      </c>
      <c r="E159" t="inlineStr">
        <is>
          <t>부산광역시 북구 상리로18번길 12</t>
        </is>
      </c>
      <c r="F159" s="11" t="inlineStr">
        <is>
          <t>http://baekyang.es.kr/</t>
        </is>
      </c>
      <c r="G159" t="inlineStr">
        <is>
          <t>051-310-5500</t>
        </is>
      </c>
      <c r="H159" t="inlineStr">
        <is>
          <t>2026</t>
        </is>
      </c>
      <c r="I159" s="15" t="n">
        <v>122</v>
      </c>
      <c r="J159" s="15" t="n">
        <v>143</v>
      </c>
      <c r="K159" s="15" t="n">
        <v>151</v>
      </c>
      <c r="L159" s="15" t="n">
        <v>153</v>
      </c>
      <c r="M159" s="15" t="n">
        <v>156</v>
      </c>
      <c r="N159" s="15" t="n">
        <v>137</v>
      </c>
      <c r="O159" s="15" t="n">
        <v>12</v>
      </c>
      <c r="P159" s="15" t="n">
        <v>0</v>
      </c>
      <c r="Q159" s="14">
        <f>IF(COUNT(I159:P159)=0,"",SUM(I159:P159))</f>
        <v/>
      </c>
      <c r="R159" t="inlineStr"/>
    </row>
    <row r="160">
      <c r="A160" t="inlineStr">
        <is>
          <t>상학초등학교</t>
        </is>
      </c>
      <c r="B160" t="inlineStr">
        <is>
          <t>초등학교</t>
        </is>
      </c>
      <c r="C160" t="inlineStr">
        <is>
          <t>공립</t>
        </is>
      </c>
      <c r="D160" t="inlineStr">
        <is>
          <t>북구</t>
        </is>
      </c>
      <c r="E160" t="inlineStr">
        <is>
          <t>부산광역시 북구 상학산복길 191</t>
        </is>
      </c>
      <c r="F160" s="11" t="inlineStr">
        <is>
          <t>http://www.sanghak.es.kr/</t>
        </is>
      </c>
      <c r="G160" t="inlineStr">
        <is>
          <t>051-330-4300</t>
        </is>
      </c>
      <c r="H160" t="inlineStr">
        <is>
          <t>2026</t>
        </is>
      </c>
      <c r="I160" s="15" t="n">
        <v>52</v>
      </c>
      <c r="J160" s="15" t="n">
        <v>47</v>
      </c>
      <c r="K160" s="15" t="n">
        <v>39</v>
      </c>
      <c r="L160" s="15" t="n">
        <v>41</v>
      </c>
      <c r="M160" s="15" t="n">
        <v>48</v>
      </c>
      <c r="N160" s="15" t="n">
        <v>41</v>
      </c>
      <c r="O160" s="15" t="n">
        <v>6</v>
      </c>
      <c r="P160" s="15" t="n">
        <v>0</v>
      </c>
      <c r="Q160" s="14">
        <f>IF(COUNT(I160:P160)=0,"",SUM(I160:P160))</f>
        <v/>
      </c>
      <c r="R160" t="inlineStr"/>
    </row>
    <row r="161">
      <c r="A161" t="inlineStr">
        <is>
          <t>신금초등학교</t>
        </is>
      </c>
      <c r="B161" t="inlineStr">
        <is>
          <t>초등학교</t>
        </is>
      </c>
      <c r="C161" t="inlineStr">
        <is>
          <t>공립</t>
        </is>
      </c>
      <c r="D161" t="inlineStr">
        <is>
          <t>북구</t>
        </is>
      </c>
      <c r="E161" t="inlineStr">
        <is>
          <t>부산광역시 북구 효열로 42</t>
        </is>
      </c>
      <c r="F161" s="11" t="inlineStr">
        <is>
          <t>http://www.sinkum.es.kr</t>
        </is>
      </c>
      <c r="G161" t="inlineStr">
        <is>
          <t>051-330-6400</t>
        </is>
      </c>
      <c r="H161" t="inlineStr">
        <is>
          <t>2026</t>
        </is>
      </c>
      <c r="I161" s="15" t="n">
        <v>29</v>
      </c>
      <c r="J161" s="15" t="n">
        <v>31</v>
      </c>
      <c r="K161" s="15" t="n">
        <v>26</v>
      </c>
      <c r="L161" s="15" t="n">
        <v>40</v>
      </c>
      <c r="M161" s="15" t="n">
        <v>48</v>
      </c>
      <c r="N161" s="15" t="n">
        <v>36</v>
      </c>
      <c r="O161" s="15" t="n">
        <v>5</v>
      </c>
      <c r="P161" s="15" t="n">
        <v>0</v>
      </c>
      <c r="Q161" s="14">
        <f>IF(COUNT(I161:P161)=0,"",SUM(I161:P161))</f>
        <v/>
      </c>
      <c r="R161" t="inlineStr"/>
    </row>
    <row r="162">
      <c r="A162" t="inlineStr">
        <is>
          <t>신덕초등학교</t>
        </is>
      </c>
      <c r="B162" t="inlineStr">
        <is>
          <t>초등학교</t>
        </is>
      </c>
      <c r="C162" t="inlineStr">
        <is>
          <t>공립</t>
        </is>
      </c>
      <c r="D162" t="inlineStr">
        <is>
          <t>북구</t>
        </is>
      </c>
      <c r="E162" t="inlineStr">
        <is>
          <t>부산광역시 북구 함박봉로140번가길 25</t>
        </is>
      </c>
      <c r="F162" s="11" t="inlineStr">
        <is>
          <t>http://sinduk.es.kr</t>
        </is>
      </c>
      <c r="G162" t="inlineStr">
        <is>
          <t>051-330-2900</t>
        </is>
      </c>
      <c r="H162" t="inlineStr">
        <is>
          <t>2026</t>
        </is>
      </c>
      <c r="I162" s="15" t="n">
        <v>14</v>
      </c>
      <c r="J162" s="15" t="n">
        <v>20</v>
      </c>
      <c r="K162" s="15" t="n">
        <v>28</v>
      </c>
      <c r="L162" s="15" t="n">
        <v>41</v>
      </c>
      <c r="M162" s="15" t="n">
        <v>42</v>
      </c>
      <c r="N162" s="15" t="n">
        <v>40</v>
      </c>
      <c r="O162" s="15" t="n">
        <v>7</v>
      </c>
      <c r="P162" s="15" t="n">
        <v>0</v>
      </c>
      <c r="Q162" s="14">
        <f>IF(COUNT(I162:P162)=0,"",SUM(I162:P162))</f>
        <v/>
      </c>
      <c r="R162" t="inlineStr"/>
    </row>
    <row r="163">
      <c r="A163" t="inlineStr">
        <is>
          <t>신천초등학교</t>
        </is>
      </c>
      <c r="B163" t="inlineStr">
        <is>
          <t>초등학교</t>
        </is>
      </c>
      <c r="C163" t="inlineStr">
        <is>
          <t>공립</t>
        </is>
      </c>
      <c r="D163" t="inlineStr">
        <is>
          <t>북구</t>
        </is>
      </c>
      <c r="E163" t="inlineStr">
        <is>
          <t>부산광역시 북구 모분재로 83</t>
        </is>
      </c>
      <c r="F163" s="11" t="inlineStr">
        <is>
          <t>http://psc.es.kr</t>
        </is>
      </c>
      <c r="G163" t="inlineStr">
        <is>
          <t>051-341-4691</t>
        </is>
      </c>
      <c r="H163" t="inlineStr">
        <is>
          <t>2026</t>
        </is>
      </c>
      <c r="I163" s="15" t="n">
        <v>12</v>
      </c>
      <c r="J163" s="15" t="n">
        <v>24</v>
      </c>
      <c r="K163" s="15" t="n">
        <v>20</v>
      </c>
      <c r="L163" s="15" t="n">
        <v>27</v>
      </c>
      <c r="M163" s="15" t="n">
        <v>24</v>
      </c>
      <c r="N163" s="15" t="n">
        <v>21</v>
      </c>
      <c r="O163" s="15" t="n">
        <v>8</v>
      </c>
      <c r="P163" s="15" t="n">
        <v>0</v>
      </c>
      <c r="Q163" s="14">
        <f>IF(COUNT(I163:P163)=0,"",SUM(I163:P163))</f>
        <v/>
      </c>
      <c r="R163" t="inlineStr"/>
    </row>
    <row r="164">
      <c r="A164" t="inlineStr">
        <is>
          <t>양덕초등학교</t>
        </is>
      </c>
      <c r="B164" t="inlineStr">
        <is>
          <t>초등학교</t>
        </is>
      </c>
      <c r="C164" t="inlineStr">
        <is>
          <t>공립</t>
        </is>
      </c>
      <c r="D164" t="inlineStr">
        <is>
          <t>북구</t>
        </is>
      </c>
      <c r="E164" t="inlineStr">
        <is>
          <t>부산광역시 북구 팽나무로 58</t>
        </is>
      </c>
      <c r="F164" s="11" t="inlineStr">
        <is>
          <t>https://school.busanedu.net/yangduk-e/main.do</t>
        </is>
      </c>
      <c r="G164" t="inlineStr">
        <is>
          <t>051-719-8600</t>
        </is>
      </c>
      <c r="H164" t="inlineStr">
        <is>
          <t>2026</t>
        </is>
      </c>
      <c r="I164" s="15" t="n">
        <v>11</v>
      </c>
      <c r="J164" s="15" t="n">
        <v>12</v>
      </c>
      <c r="K164" s="15" t="n">
        <v>27</v>
      </c>
      <c r="L164" s="15" t="n">
        <v>18</v>
      </c>
      <c r="M164" s="15" t="n">
        <v>18</v>
      </c>
      <c r="N164" s="15" t="n">
        <v>30</v>
      </c>
      <c r="O164" s="15" t="n">
        <v>4</v>
      </c>
      <c r="P164" s="15" t="n">
        <v>0</v>
      </c>
      <c r="Q164" s="14">
        <f>IF(COUNT(I164:P164)=0,"",SUM(I164:P164))</f>
        <v/>
      </c>
      <c r="R164" t="inlineStr"/>
    </row>
    <row r="165">
      <c r="A165" t="inlineStr">
        <is>
          <t>양천초등학교</t>
        </is>
      </c>
      <c r="B165" t="inlineStr">
        <is>
          <t>초등학교</t>
        </is>
      </c>
      <c r="C165" t="inlineStr">
        <is>
          <t>공립</t>
        </is>
      </c>
      <c r="D165" t="inlineStr">
        <is>
          <t>북구</t>
        </is>
      </c>
      <c r="E165" t="inlineStr">
        <is>
          <t>부산광역시 북구 덕천로 132</t>
        </is>
      </c>
      <c r="F165" s="11" t="inlineStr">
        <is>
          <t>http://busanyangchun.es.kr</t>
        </is>
      </c>
      <c r="G165" t="inlineStr">
        <is>
          <t>051-797-6500</t>
        </is>
      </c>
      <c r="H165" t="inlineStr">
        <is>
          <t>2026</t>
        </is>
      </c>
      <c r="I165" s="15" t="n">
        <v>11</v>
      </c>
      <c r="J165" s="15" t="n">
        <v>9</v>
      </c>
      <c r="K165" s="15" t="n">
        <v>11</v>
      </c>
      <c r="L165" s="15" t="n">
        <v>11</v>
      </c>
      <c r="M165" s="15" t="n">
        <v>18</v>
      </c>
      <c r="N165" s="15" t="n">
        <v>22</v>
      </c>
      <c r="O165" s="15" t="n">
        <v>8</v>
      </c>
      <c r="P165" s="15" t="n">
        <v>0</v>
      </c>
      <c r="Q165" s="14">
        <f>IF(COUNT(I165:P165)=0,"",SUM(I165:P165))</f>
        <v/>
      </c>
      <c r="R165" t="inlineStr"/>
    </row>
    <row r="166">
      <c r="A166" t="inlineStr">
        <is>
          <t>와석초등학교</t>
        </is>
      </c>
      <c r="B166" t="inlineStr">
        <is>
          <t>초등학교</t>
        </is>
      </c>
      <c r="C166" t="inlineStr">
        <is>
          <t>공립</t>
        </is>
      </c>
      <c r="D166" t="inlineStr">
        <is>
          <t>북구</t>
        </is>
      </c>
      <c r="E166" t="inlineStr">
        <is>
          <t>부산광역시 북구 화명대로94번길 83</t>
        </is>
      </c>
      <c r="F166" s="11" t="inlineStr">
        <is>
          <t>http://waseok.es.kr</t>
        </is>
      </c>
      <c r="G166" t="inlineStr">
        <is>
          <t>051-791-5200</t>
        </is>
      </c>
      <c r="H166" t="inlineStr">
        <is>
          <t>2026</t>
        </is>
      </c>
      <c r="I166" s="15" t="n">
        <v>50</v>
      </c>
      <c r="J166" s="15" t="n">
        <v>51</v>
      </c>
      <c r="K166" s="15" t="n">
        <v>81</v>
      </c>
      <c r="L166" s="15" t="n">
        <v>81</v>
      </c>
      <c r="M166" s="15" t="n">
        <v>83</v>
      </c>
      <c r="N166" s="15" t="n">
        <v>79</v>
      </c>
      <c r="O166" s="15" t="n">
        <v>7</v>
      </c>
      <c r="P166" s="15" t="n">
        <v>0</v>
      </c>
      <c r="Q166" s="14">
        <f>IF(COUNT(I166:P166)=0,"",SUM(I166:P166))</f>
        <v/>
      </c>
      <c r="R166" t="inlineStr"/>
    </row>
    <row r="167">
      <c r="A167" t="inlineStr">
        <is>
          <t>용수초등학교</t>
        </is>
      </c>
      <c r="B167" t="inlineStr">
        <is>
          <t>초등학교</t>
        </is>
      </c>
      <c r="C167" t="inlineStr">
        <is>
          <t>공립</t>
        </is>
      </c>
      <c r="D167" t="inlineStr">
        <is>
          <t>북구</t>
        </is>
      </c>
      <c r="E167" t="inlineStr">
        <is>
          <t>부산광역시 북구 화명신도시로 53</t>
        </is>
      </c>
      <c r="F167" s="11" t="inlineStr">
        <is>
          <t>https://school.busanedu.net/yongsu-e/main.do</t>
        </is>
      </c>
      <c r="G167" t="inlineStr">
        <is>
          <t>051-330-3700</t>
        </is>
      </c>
      <c r="H167" t="inlineStr">
        <is>
          <t>2026</t>
        </is>
      </c>
      <c r="I167" s="15" t="n">
        <v>78</v>
      </c>
      <c r="J167" s="15" t="n">
        <v>79</v>
      </c>
      <c r="K167" s="15" t="n">
        <v>103</v>
      </c>
      <c r="L167" s="15" t="n">
        <v>130</v>
      </c>
      <c r="M167" s="15" t="n">
        <v>130</v>
      </c>
      <c r="N167" s="15" t="n">
        <v>138</v>
      </c>
      <c r="O167" s="15" t="n">
        <v>12</v>
      </c>
      <c r="P167" s="15" t="n">
        <v>0</v>
      </c>
      <c r="Q167" s="14">
        <f>IF(COUNT(I167:P167)=0,"",SUM(I167:P167))</f>
        <v/>
      </c>
      <c r="R167" t="inlineStr"/>
    </row>
    <row r="168">
      <c r="A168" t="inlineStr">
        <is>
          <t>포천초등학교</t>
        </is>
      </c>
      <c r="B168" t="inlineStr">
        <is>
          <t>초등학교</t>
        </is>
      </c>
      <c r="C168" t="inlineStr">
        <is>
          <t>공립</t>
        </is>
      </c>
      <c r="D168" t="inlineStr">
        <is>
          <t>북구</t>
        </is>
      </c>
      <c r="E168" t="inlineStr">
        <is>
          <t>부산광역시 북구 시랑로 115</t>
        </is>
      </c>
      <c r="F168" s="11" t="inlineStr">
        <is>
          <t>http://pochen.es.kr</t>
        </is>
      </c>
      <c r="G168" t="inlineStr">
        <is>
          <t>051-366-3300</t>
        </is>
      </c>
      <c r="H168" t="inlineStr">
        <is>
          <t>2026</t>
        </is>
      </c>
      <c r="I168" s="15" t="n">
        <v>24</v>
      </c>
      <c r="J168" s="15" t="n">
        <v>46</v>
      </c>
      <c r="K168" s="15" t="n">
        <v>42</v>
      </c>
      <c r="L168" s="15" t="n">
        <v>50</v>
      </c>
      <c r="M168" s="15" t="n">
        <v>79</v>
      </c>
      <c r="N168" s="15" t="n">
        <v>62</v>
      </c>
      <c r="O168" s="15" t="n">
        <v>8</v>
      </c>
      <c r="P168" s="15" t="n">
        <v>0</v>
      </c>
      <c r="Q168" s="14">
        <f>IF(COUNT(I168:P168)=0,"",SUM(I168:P168))</f>
        <v/>
      </c>
      <c r="R168" t="inlineStr"/>
    </row>
    <row r="169">
      <c r="A169" t="inlineStr">
        <is>
          <t>학사초등학교</t>
        </is>
      </c>
      <c r="B169" t="inlineStr">
        <is>
          <t>초등학교</t>
        </is>
      </c>
      <c r="C169" t="inlineStr">
        <is>
          <t>공립</t>
        </is>
      </c>
      <c r="D169" t="inlineStr">
        <is>
          <t>북구</t>
        </is>
      </c>
      <c r="E169" t="inlineStr">
        <is>
          <t>부산광역시 북구 용당로15번길 20</t>
        </is>
      </c>
      <c r="F169" s="11" t="inlineStr">
        <is>
          <t>http://school.busanedu.net/haksa-e</t>
        </is>
      </c>
      <c r="G169" t="inlineStr">
        <is>
          <t>051-330-4401</t>
        </is>
      </c>
      <c r="H169" t="inlineStr">
        <is>
          <t>2026</t>
        </is>
      </c>
      <c r="I169" s="15" t="n">
        <v>52</v>
      </c>
      <c r="J169" s="15" t="n">
        <v>41</v>
      </c>
      <c r="K169" s="15" t="n">
        <v>77</v>
      </c>
      <c r="L169" s="15" t="n">
        <v>62</v>
      </c>
      <c r="M169" s="15" t="n">
        <v>64</v>
      </c>
      <c r="N169" s="15" t="n">
        <v>80</v>
      </c>
      <c r="O169" s="15" t="n">
        <v>4</v>
      </c>
      <c r="P169" s="15" t="n">
        <v>0</v>
      </c>
      <c r="Q169" s="14">
        <f>IF(COUNT(I169:P169)=0,"",SUM(I169:P169))</f>
        <v/>
      </c>
      <c r="R169" t="inlineStr"/>
    </row>
    <row r="170">
      <c r="A170" t="inlineStr">
        <is>
          <t>화명초등학교</t>
        </is>
      </c>
      <c r="B170" t="inlineStr">
        <is>
          <t>초등학교</t>
        </is>
      </c>
      <c r="C170" t="inlineStr">
        <is>
          <t>공립</t>
        </is>
      </c>
      <c r="D170" t="inlineStr">
        <is>
          <t>북구</t>
        </is>
      </c>
      <c r="E170" t="inlineStr">
        <is>
          <t>부산광역시 북구 대천천길 65</t>
        </is>
      </c>
      <c r="F170" s="11" t="inlineStr">
        <is>
          <t>http://hwamyong.es.kr</t>
        </is>
      </c>
      <c r="G170" t="inlineStr">
        <is>
          <t>051-366-2500</t>
        </is>
      </c>
      <c r="H170" t="inlineStr">
        <is>
          <t>2026</t>
        </is>
      </c>
      <c r="I170" s="15" t="n">
        <v>68</v>
      </c>
      <c r="J170" s="15" t="n">
        <v>77</v>
      </c>
      <c r="K170" s="15" t="n">
        <v>96</v>
      </c>
      <c r="L170" s="15" t="n">
        <v>81</v>
      </c>
      <c r="M170" s="15" t="n">
        <v>108</v>
      </c>
      <c r="N170" s="15" t="n">
        <v>72</v>
      </c>
      <c r="O170" s="15" t="n">
        <v>11</v>
      </c>
      <c r="P170" s="15" t="n">
        <v>0</v>
      </c>
      <c r="Q170" s="14">
        <f>IF(COUNT(I170:P170)=0,"",SUM(I170:P170))</f>
        <v/>
      </c>
      <c r="R170" t="inlineStr"/>
    </row>
    <row r="171">
      <c r="A171" t="inlineStr">
        <is>
          <t>화잠초등학교</t>
        </is>
      </c>
      <c r="B171" t="inlineStr">
        <is>
          <t>초등학교</t>
        </is>
      </c>
      <c r="C171" t="inlineStr">
        <is>
          <t>공립</t>
        </is>
      </c>
      <c r="D171" t="inlineStr">
        <is>
          <t>북구</t>
        </is>
      </c>
      <c r="E171" t="inlineStr">
        <is>
          <t>부산광역시 북구 화명대로 97-25</t>
        </is>
      </c>
      <c r="F171" s="11" t="inlineStr">
        <is>
          <t>http://hwajam.es.kr</t>
        </is>
      </c>
      <c r="G171" t="inlineStr">
        <is>
          <t>051-330-4200</t>
        </is>
      </c>
      <c r="H171" t="inlineStr">
        <is>
          <t>2026</t>
        </is>
      </c>
      <c r="I171" s="15" t="n">
        <v>38</v>
      </c>
      <c r="J171" s="15" t="n">
        <v>40</v>
      </c>
      <c r="K171" s="15" t="n">
        <v>68</v>
      </c>
      <c r="L171" s="15" t="n">
        <v>72</v>
      </c>
      <c r="M171" s="15" t="n">
        <v>76</v>
      </c>
      <c r="N171" s="15" t="n">
        <v>73</v>
      </c>
      <c r="O171" s="15" t="n">
        <v>7</v>
      </c>
      <c r="P171" s="15" t="n">
        <v>0</v>
      </c>
      <c r="Q171" s="14">
        <f>IF(COUNT(I171:P171)=0,"",SUM(I171:P171))</f>
        <v/>
      </c>
      <c r="R171" t="inlineStr"/>
    </row>
    <row r="172">
      <c r="A172" t="inlineStr">
        <is>
          <t>화정초등학교</t>
        </is>
      </c>
      <c r="B172" t="inlineStr">
        <is>
          <t>초등학교</t>
        </is>
      </c>
      <c r="C172" t="inlineStr">
        <is>
          <t>공립</t>
        </is>
      </c>
      <c r="D172" t="inlineStr">
        <is>
          <t>북구</t>
        </is>
      </c>
      <c r="E172" t="inlineStr">
        <is>
          <t>부산광역시 북구 의성로 23</t>
        </is>
      </c>
      <c r="F172" s="11" t="inlineStr">
        <is>
          <t>http://www.bshj.es.kr</t>
        </is>
      </c>
      <c r="G172" t="inlineStr">
        <is>
          <t>051-330-4100</t>
        </is>
      </c>
      <c r="H172" t="inlineStr">
        <is>
          <t>2026</t>
        </is>
      </c>
      <c r="I172" s="15" t="n">
        <v>85</v>
      </c>
      <c r="J172" s="15" t="n">
        <v>107</v>
      </c>
      <c r="K172" s="15" t="n">
        <v>84</v>
      </c>
      <c r="L172" s="15" t="n">
        <v>132</v>
      </c>
      <c r="M172" s="15" t="n">
        <v>124</v>
      </c>
      <c r="N172" s="15" t="n">
        <v>127</v>
      </c>
      <c r="O172" s="15" t="n">
        <v>6</v>
      </c>
      <c r="P172" s="15" t="n">
        <v>0</v>
      </c>
      <c r="Q172" s="14">
        <f>IF(COUNT(I172:P172)=0,"",SUM(I172:P172))</f>
        <v/>
      </c>
      <c r="R172" t="inlineStr"/>
    </row>
    <row r="173">
      <c r="A173" t="inlineStr">
        <is>
          <t>감전초등학교</t>
        </is>
      </c>
      <c r="B173" t="inlineStr">
        <is>
          <t>초등학교</t>
        </is>
      </c>
      <c r="C173" t="inlineStr">
        <is>
          <t>공립</t>
        </is>
      </c>
      <c r="D173" t="inlineStr">
        <is>
          <t>사상구</t>
        </is>
      </c>
      <c r="E173" t="inlineStr">
        <is>
          <t>부산광역시 사상구 괘감로 132</t>
        </is>
      </c>
      <c r="F173" s="11" t="inlineStr">
        <is>
          <t>http://gamjeon.es.kr</t>
        </is>
      </c>
      <c r="G173" t="inlineStr">
        <is>
          <t>051-310-8300</t>
        </is>
      </c>
      <c r="H173" t="inlineStr">
        <is>
          <t>2026</t>
        </is>
      </c>
      <c r="I173" s="15" t="n">
        <v>21</v>
      </c>
      <c r="J173" s="15" t="n">
        <v>23</v>
      </c>
      <c r="K173" s="15" t="n">
        <v>24</v>
      </c>
      <c r="L173" s="15" t="n">
        <v>30</v>
      </c>
      <c r="M173" s="15" t="n">
        <v>23</v>
      </c>
      <c r="N173" s="15" t="n">
        <v>30</v>
      </c>
      <c r="O173" s="15" t="n">
        <v>5</v>
      </c>
      <c r="P173" s="15" t="n">
        <v>0</v>
      </c>
      <c r="Q173" s="14">
        <f>IF(COUNT(I173:P173)=0,"",SUM(I173:P173))</f>
        <v/>
      </c>
      <c r="R173" t="inlineStr"/>
    </row>
    <row r="174">
      <c r="A174" t="inlineStr">
        <is>
          <t>구학초등학교</t>
        </is>
      </c>
      <c r="B174" t="inlineStr">
        <is>
          <t>초등학교</t>
        </is>
      </c>
      <c r="C174" t="inlineStr">
        <is>
          <t>공립</t>
        </is>
      </c>
      <c r="D174" t="inlineStr">
        <is>
          <t>사상구</t>
        </is>
      </c>
      <c r="E174" t="inlineStr">
        <is>
          <t>부산광역시 사상구 학감대로 49</t>
        </is>
      </c>
      <c r="F174" s="11" t="inlineStr">
        <is>
          <t>http://www.guhag.es.kr</t>
        </is>
      </c>
      <c r="G174" t="inlineStr">
        <is>
          <t>051-313-3892</t>
        </is>
      </c>
      <c r="H174" t="inlineStr">
        <is>
          <t>2026</t>
        </is>
      </c>
      <c r="I174" s="15" t="n">
        <v>40</v>
      </c>
      <c r="J174" s="15" t="n">
        <v>44</v>
      </c>
      <c r="K174" s="15" t="n">
        <v>63</v>
      </c>
      <c r="L174" s="15" t="n">
        <v>58</v>
      </c>
      <c r="M174" s="15" t="n">
        <v>72</v>
      </c>
      <c r="N174" s="15" t="n">
        <v>70</v>
      </c>
      <c r="O174" s="15" t="n">
        <v>6</v>
      </c>
      <c r="P174" s="15" t="n">
        <v>0</v>
      </c>
      <c r="Q174" s="14">
        <f>IF(COUNT(I174:P174)=0,"",SUM(I174:P174))</f>
        <v/>
      </c>
      <c r="R174" t="inlineStr"/>
    </row>
    <row r="175">
      <c r="A175" t="inlineStr">
        <is>
          <t>덕상초등학교</t>
        </is>
      </c>
      <c r="B175" t="inlineStr">
        <is>
          <t>초등학교</t>
        </is>
      </c>
      <c r="C175" t="inlineStr">
        <is>
          <t>공립</t>
        </is>
      </c>
      <c r="D175" t="inlineStr">
        <is>
          <t>사상구</t>
        </is>
      </c>
      <c r="E175" t="inlineStr">
        <is>
          <t>부산광역시 사상구 덕상로 32</t>
        </is>
      </c>
      <c r="F175" s="11" t="inlineStr">
        <is>
          <t>http://school.busanedu.net/deoksang-e</t>
        </is>
      </c>
      <c r="G175" t="inlineStr">
        <is>
          <t>051-309-3400</t>
        </is>
      </c>
      <c r="H175" t="inlineStr">
        <is>
          <t>2026</t>
        </is>
      </c>
      <c r="I175" s="15" t="n">
        <v>41</v>
      </c>
      <c r="J175" s="15" t="n">
        <v>39</v>
      </c>
      <c r="K175" s="15" t="n">
        <v>55</v>
      </c>
      <c r="L175" s="15" t="n">
        <v>57</v>
      </c>
      <c r="M175" s="15" t="n">
        <v>92</v>
      </c>
      <c r="N175" s="15" t="n">
        <v>59</v>
      </c>
      <c r="O175" s="15" t="n">
        <v>5</v>
      </c>
      <c r="P175" s="15" t="n">
        <v>0</v>
      </c>
      <c r="Q175" s="14">
        <f>IF(COUNT(I175:P175)=0,"",SUM(I175:P175))</f>
        <v/>
      </c>
      <c r="R175" t="inlineStr"/>
    </row>
    <row r="176">
      <c r="A176" t="inlineStr">
        <is>
          <t>덕포초등학교</t>
        </is>
      </c>
      <c r="B176" t="inlineStr">
        <is>
          <t>초등학교</t>
        </is>
      </c>
      <c r="C176" t="inlineStr">
        <is>
          <t>공립</t>
        </is>
      </c>
      <c r="D176" t="inlineStr">
        <is>
          <t>사상구</t>
        </is>
      </c>
      <c r="E176" t="inlineStr">
        <is>
          <t>부산광역시 사상구 삼덕로 83</t>
        </is>
      </c>
      <c r="F176" s="11" t="inlineStr">
        <is>
          <t>http://www.deokpo.es.kr</t>
        </is>
      </c>
      <c r="G176" t="inlineStr">
        <is>
          <t>051-3200-400</t>
        </is>
      </c>
      <c r="H176" t="inlineStr">
        <is>
          <t>2026</t>
        </is>
      </c>
      <c r="I176" s="15" t="n">
        <v>12</v>
      </c>
      <c r="J176" s="15" t="n">
        <v>17</v>
      </c>
      <c r="K176" s="15" t="n">
        <v>29</v>
      </c>
      <c r="L176" s="15" t="n">
        <v>25</v>
      </c>
      <c r="M176" s="15" t="n">
        <v>27</v>
      </c>
      <c r="N176" s="15" t="n">
        <v>17</v>
      </c>
      <c r="O176" s="15" t="n">
        <v>4</v>
      </c>
      <c r="P176" s="15" t="n">
        <v>0</v>
      </c>
      <c r="Q176" s="14">
        <f>IF(COUNT(I176:P176)=0,"",SUM(I176:P176))</f>
        <v/>
      </c>
      <c r="R176" t="inlineStr"/>
    </row>
    <row r="177">
      <c r="A177" t="inlineStr">
        <is>
          <t>동궁초등학교</t>
        </is>
      </c>
      <c r="B177" t="inlineStr">
        <is>
          <t>초등학교</t>
        </is>
      </c>
      <c r="C177" t="inlineStr">
        <is>
          <t>공립</t>
        </is>
      </c>
      <c r="D177" t="inlineStr">
        <is>
          <t>사상구</t>
        </is>
      </c>
      <c r="E177" t="inlineStr">
        <is>
          <t>부산광역시 사상구 엄궁로 70-7</t>
        </is>
      </c>
      <c r="F177" s="11" t="inlineStr">
        <is>
          <t>http://www.donggung.es.kr</t>
        </is>
      </c>
      <c r="G177" t="inlineStr">
        <is>
          <t>051-315-8275</t>
        </is>
      </c>
      <c r="H177" t="inlineStr">
        <is>
          <t>2026</t>
        </is>
      </c>
      <c r="I177" s="15" t="n">
        <v>51</v>
      </c>
      <c r="J177" s="15" t="n">
        <v>54</v>
      </c>
      <c r="K177" s="15" t="n">
        <v>69</v>
      </c>
      <c r="L177" s="15" t="n">
        <v>65</v>
      </c>
      <c r="M177" s="15" t="n">
        <v>107</v>
      </c>
      <c r="N177" s="15" t="n">
        <v>85</v>
      </c>
      <c r="O177" s="15" t="n">
        <v>9</v>
      </c>
      <c r="P177" s="15" t="n">
        <v>0</v>
      </c>
      <c r="Q177" s="14">
        <f>IF(COUNT(I177:P177)=0,"",SUM(I177:P177))</f>
        <v/>
      </c>
      <c r="R177" t="inlineStr"/>
    </row>
    <row r="178">
      <c r="A178" t="inlineStr">
        <is>
          <t>동주초등학교</t>
        </is>
      </c>
      <c r="B178" t="inlineStr">
        <is>
          <t>초등학교</t>
        </is>
      </c>
      <c r="C178" t="inlineStr">
        <is>
          <t>공립</t>
        </is>
      </c>
      <c r="D178" t="inlineStr">
        <is>
          <t>사상구</t>
        </is>
      </c>
      <c r="E178" t="inlineStr">
        <is>
          <t>부산광역시 사상구 가야대로306번길 72</t>
        </is>
      </c>
      <c r="F178" s="11" t="inlineStr">
        <is>
          <t>http://dongju.es.kr</t>
        </is>
      </c>
      <c r="G178" t="inlineStr">
        <is>
          <t>051-790-3700</t>
        </is>
      </c>
      <c r="H178" t="inlineStr">
        <is>
          <t>2026</t>
        </is>
      </c>
      <c r="I178" s="15" t="n">
        <v>36</v>
      </c>
      <c r="J178" s="15" t="n">
        <v>56</v>
      </c>
      <c r="K178" s="15" t="n">
        <v>54</v>
      </c>
      <c r="L178" s="15" t="n">
        <v>64</v>
      </c>
      <c r="M178" s="15" t="n">
        <v>81</v>
      </c>
      <c r="N178" s="15" t="n">
        <v>79</v>
      </c>
      <c r="O178" s="15" t="n">
        <v>6</v>
      </c>
      <c r="P178" s="15" t="n">
        <v>0</v>
      </c>
      <c r="Q178" s="14">
        <f>IF(COUNT(I178:P178)=0,"",SUM(I178:P178))</f>
        <v/>
      </c>
      <c r="R178" t="inlineStr"/>
    </row>
    <row r="179">
      <c r="A179" t="inlineStr">
        <is>
          <t>모덕초등학교</t>
        </is>
      </c>
      <c r="B179" t="inlineStr">
        <is>
          <t>초등학교</t>
        </is>
      </c>
      <c r="C179" t="inlineStr">
        <is>
          <t>공립</t>
        </is>
      </c>
      <c r="D179" t="inlineStr">
        <is>
          <t>사상구</t>
        </is>
      </c>
      <c r="E179" t="inlineStr">
        <is>
          <t>부산광역시 사상구 덕상로 120</t>
        </is>
      </c>
      <c r="F179" s="11" t="inlineStr">
        <is>
          <t>http://school.busanedu.net/modeok-e</t>
        </is>
      </c>
      <c r="G179" t="inlineStr">
        <is>
          <t>051-320-0800</t>
        </is>
      </c>
      <c r="H179" t="inlineStr">
        <is>
          <t>2026</t>
        </is>
      </c>
      <c r="I179" s="15" t="n">
        <v>50</v>
      </c>
      <c r="J179" s="15" t="n">
        <v>62</v>
      </c>
      <c r="K179" s="15" t="n">
        <v>73</v>
      </c>
      <c r="L179" s="15" t="n">
        <v>81</v>
      </c>
      <c r="M179" s="15" t="n">
        <v>99</v>
      </c>
      <c r="N179" s="15" t="n">
        <v>109</v>
      </c>
      <c r="O179" s="15" t="n">
        <v>12</v>
      </c>
      <c r="P179" s="15" t="n">
        <v>0</v>
      </c>
      <c r="Q179" s="14">
        <f>IF(COUNT(I179:P179)=0,"",SUM(I179:P179))</f>
        <v/>
      </c>
      <c r="R179" t="inlineStr"/>
    </row>
    <row r="180">
      <c r="A180" t="inlineStr">
        <is>
          <t>모동초등학교</t>
        </is>
      </c>
      <c r="B180" t="inlineStr">
        <is>
          <t>초등학교</t>
        </is>
      </c>
      <c r="C180" t="inlineStr">
        <is>
          <t>공립</t>
        </is>
      </c>
      <c r="D180" t="inlineStr">
        <is>
          <t>사상구</t>
        </is>
      </c>
      <c r="E180" t="inlineStr">
        <is>
          <t>부산광역시 사상구 모라로192번길 37</t>
        </is>
      </c>
      <c r="F180" s="11" t="inlineStr">
        <is>
          <t>http://modong2.es.kr</t>
        </is>
      </c>
      <c r="G180" t="inlineStr">
        <is>
          <t>051-792-3700</t>
        </is>
      </c>
      <c r="H180" t="inlineStr">
        <is>
          <t>2026</t>
        </is>
      </c>
      <c r="I180" s="15" t="n">
        <v>3</v>
      </c>
      <c r="J180" s="15" t="n">
        <v>5</v>
      </c>
      <c r="K180" s="15" t="n">
        <v>5</v>
      </c>
      <c r="L180" s="15" t="n">
        <v>4</v>
      </c>
      <c r="M180" s="15" t="n">
        <v>7</v>
      </c>
      <c r="N180" s="15" t="n">
        <v>10</v>
      </c>
      <c r="O180" s="15" t="n">
        <v>3</v>
      </c>
      <c r="P180" s="15" t="n">
        <v>0</v>
      </c>
      <c r="Q180" s="14">
        <f>IF(COUNT(I180:P180)=0,"",SUM(I180:P180))</f>
        <v/>
      </c>
      <c r="R180" t="inlineStr"/>
    </row>
    <row r="181">
      <c r="A181" t="inlineStr">
        <is>
          <t>모라초등학교</t>
        </is>
      </c>
      <c r="B181" t="inlineStr">
        <is>
          <t>초등학교</t>
        </is>
      </c>
      <c r="C181" t="inlineStr">
        <is>
          <t>공립</t>
        </is>
      </c>
      <c r="D181" t="inlineStr">
        <is>
          <t>사상구</t>
        </is>
      </c>
      <c r="E181" t="inlineStr">
        <is>
          <t>부산광역시 사상구 모라로64번길 46</t>
        </is>
      </c>
      <c r="F181" s="11" t="inlineStr">
        <is>
          <t>http://www.mora.es.kr/</t>
        </is>
      </c>
      <c r="G181" t="inlineStr">
        <is>
          <t>051-310-7400</t>
        </is>
      </c>
      <c r="H181" t="inlineStr">
        <is>
          <t>2026</t>
        </is>
      </c>
      <c r="I181" s="15" t="n">
        <v>13</v>
      </c>
      <c r="J181" s="15" t="n">
        <v>17</v>
      </c>
      <c r="K181" s="15" t="n">
        <v>15</v>
      </c>
      <c r="L181" s="15" t="n">
        <v>11</v>
      </c>
      <c r="M181" s="15" t="n">
        <v>20</v>
      </c>
      <c r="N181" s="15" t="n">
        <v>27</v>
      </c>
      <c r="O181" s="15" t="n">
        <v>11</v>
      </c>
      <c r="P181" s="15" t="n">
        <v>0</v>
      </c>
      <c r="Q181" s="14">
        <f>IF(COUNT(I181:P181)=0,"",SUM(I181:P181))</f>
        <v/>
      </c>
      <c r="R181" t="inlineStr"/>
    </row>
    <row r="182">
      <c r="A182" t="inlineStr">
        <is>
          <t>모산초등학교</t>
        </is>
      </c>
      <c r="B182" t="inlineStr">
        <is>
          <t>초등학교</t>
        </is>
      </c>
      <c r="C182" t="inlineStr">
        <is>
          <t>공립</t>
        </is>
      </c>
      <c r="D182" t="inlineStr">
        <is>
          <t>사상구</t>
        </is>
      </c>
      <c r="E182" t="inlineStr">
        <is>
          <t>부산광역시 사상구 모라로110번길 93</t>
        </is>
      </c>
      <c r="F182" t="inlineStr"/>
      <c r="G182" t="inlineStr">
        <is>
          <t>051-329-4000</t>
        </is>
      </c>
      <c r="H182" t="inlineStr">
        <is>
          <t>2026</t>
        </is>
      </c>
      <c r="I182" s="15" t="n">
        <v>20</v>
      </c>
      <c r="J182" s="15" t="n">
        <v>41</v>
      </c>
      <c r="K182" s="15" t="n">
        <v>45</v>
      </c>
      <c r="L182" s="15" t="n">
        <v>45</v>
      </c>
      <c r="M182" s="15" t="n">
        <v>52</v>
      </c>
      <c r="N182" s="15" t="n">
        <v>45</v>
      </c>
      <c r="O182" s="15" t="n">
        <v>5</v>
      </c>
      <c r="P182" s="15" t="n">
        <v>0</v>
      </c>
      <c r="Q182" s="14">
        <f>IF(COUNT(I182:P182)=0,"",SUM(I182:P182))</f>
        <v/>
      </c>
      <c r="R182" t="inlineStr"/>
    </row>
    <row r="183">
      <c r="A183" t="inlineStr">
        <is>
          <t>사상초등학교</t>
        </is>
      </c>
      <c r="B183" t="inlineStr">
        <is>
          <t>초등학교</t>
        </is>
      </c>
      <c r="C183" t="inlineStr">
        <is>
          <t>공립</t>
        </is>
      </c>
      <c r="D183" t="inlineStr">
        <is>
          <t>사상구</t>
        </is>
      </c>
      <c r="E183" t="inlineStr">
        <is>
          <t>부산광역시 사상구 운산로 65</t>
        </is>
      </c>
      <c r="F183" s="11" t="inlineStr">
        <is>
          <t>http://sasang.es.kr/</t>
        </is>
      </c>
      <c r="G183" t="inlineStr">
        <is>
          <t>051-330-5300</t>
        </is>
      </c>
      <c r="H183" t="inlineStr">
        <is>
          <t>2026</t>
        </is>
      </c>
      <c r="I183" s="15" t="n">
        <v>47</v>
      </c>
      <c r="J183" s="15" t="n">
        <v>51</v>
      </c>
      <c r="K183" s="15" t="n">
        <v>63</v>
      </c>
      <c r="L183" s="15" t="n">
        <v>51</v>
      </c>
      <c r="M183" s="15" t="n">
        <v>55</v>
      </c>
      <c r="N183" s="15" t="n">
        <v>58</v>
      </c>
      <c r="O183" s="15" t="n">
        <v>12</v>
      </c>
      <c r="P183" s="15" t="n">
        <v>0</v>
      </c>
      <c r="Q183" s="14">
        <f>IF(COUNT(I183:P183)=0,"",SUM(I183:P183))</f>
        <v/>
      </c>
      <c r="R183" t="inlineStr"/>
    </row>
    <row r="184">
      <c r="A184" t="inlineStr">
        <is>
          <t>삼덕초등학교</t>
        </is>
      </c>
      <c r="B184" t="inlineStr">
        <is>
          <t>초등학교</t>
        </is>
      </c>
      <c r="C184" t="inlineStr">
        <is>
          <t>공립</t>
        </is>
      </c>
      <c r="D184" t="inlineStr">
        <is>
          <t>사상구</t>
        </is>
      </c>
      <c r="E184" t="inlineStr">
        <is>
          <t>부산광역시 사상구 삼덕로 24</t>
        </is>
      </c>
      <c r="F184" s="11" t="inlineStr">
        <is>
          <t>http://www.samdok.es.kr</t>
        </is>
      </c>
      <c r="G184" t="inlineStr">
        <is>
          <t>051-303-0242</t>
        </is>
      </c>
      <c r="H184" t="inlineStr">
        <is>
          <t>2026</t>
        </is>
      </c>
      <c r="I184" s="15" t="n">
        <v>10</v>
      </c>
      <c r="J184" s="15" t="n">
        <v>12</v>
      </c>
      <c r="K184" s="15" t="n">
        <v>15</v>
      </c>
      <c r="L184" s="15" t="n">
        <v>22</v>
      </c>
      <c r="M184" s="15" t="n">
        <v>17</v>
      </c>
      <c r="N184" s="15" t="n">
        <v>12</v>
      </c>
      <c r="O184" s="15" t="n">
        <v>6</v>
      </c>
      <c r="P184" s="15" t="n">
        <v>0</v>
      </c>
      <c r="Q184" s="14">
        <f>IF(COUNT(I184:P184)=0,"",SUM(I184:P184))</f>
        <v/>
      </c>
      <c r="R184" t="inlineStr"/>
    </row>
    <row r="185">
      <c r="A185" t="inlineStr">
        <is>
          <t>서감초등학교</t>
        </is>
      </c>
      <c r="B185" t="inlineStr">
        <is>
          <t>초등학교</t>
        </is>
      </c>
      <c r="C185" t="inlineStr">
        <is>
          <t>공립</t>
        </is>
      </c>
      <c r="D185" t="inlineStr">
        <is>
          <t>사상구</t>
        </is>
      </c>
      <c r="E185" t="inlineStr">
        <is>
          <t>부산광역시 사상구 괘감로 64</t>
        </is>
      </c>
      <c r="F185" s="11" t="inlineStr">
        <is>
          <t>http://seogam.es.kr/</t>
        </is>
      </c>
      <c r="G185" t="inlineStr">
        <is>
          <t>051-320-5800</t>
        </is>
      </c>
      <c r="H185" t="inlineStr">
        <is>
          <t>2026</t>
        </is>
      </c>
      <c r="I185" s="15" t="n">
        <v>10</v>
      </c>
      <c r="J185" s="15" t="n">
        <v>21</v>
      </c>
      <c r="K185" s="15" t="n">
        <v>18</v>
      </c>
      <c r="L185" s="15" t="n">
        <v>16</v>
      </c>
      <c r="M185" s="15" t="n">
        <v>16</v>
      </c>
      <c r="N185" s="15" t="n">
        <v>20</v>
      </c>
      <c r="O185" s="15" t="n">
        <v>5</v>
      </c>
      <c r="P185" s="15" t="n">
        <v>0</v>
      </c>
      <c r="Q185" s="14">
        <f>IF(COUNT(I185:P185)=0,"",SUM(I185:P185))</f>
        <v/>
      </c>
      <c r="R185" t="inlineStr"/>
    </row>
    <row r="186">
      <c r="A186" t="inlineStr">
        <is>
          <t>엄궁초등학교</t>
        </is>
      </c>
      <c r="B186" t="inlineStr">
        <is>
          <t>초등학교</t>
        </is>
      </c>
      <c r="C186" t="inlineStr">
        <is>
          <t>공립</t>
        </is>
      </c>
      <c r="D186" t="inlineStr">
        <is>
          <t>사상구</t>
        </is>
      </c>
      <c r="E186" t="inlineStr">
        <is>
          <t>부산광역시 사상구 엄궁로191번길 23</t>
        </is>
      </c>
      <c r="F186" s="11" t="inlineStr">
        <is>
          <t>http://www.omgung.es.kr/</t>
        </is>
      </c>
      <c r="G186" t="inlineStr">
        <is>
          <t>051-323-6840</t>
        </is>
      </c>
      <c r="H186" t="inlineStr">
        <is>
          <t>2026</t>
        </is>
      </c>
      <c r="I186" s="15" t="n">
        <v>48</v>
      </c>
      <c r="J186" s="15" t="n">
        <v>57</v>
      </c>
      <c r="K186" s="15" t="n">
        <v>72</v>
      </c>
      <c r="L186" s="15" t="n">
        <v>87</v>
      </c>
      <c r="M186" s="15" t="n">
        <v>105</v>
      </c>
      <c r="N186" s="15" t="n">
        <v>102</v>
      </c>
      <c r="O186" s="15" t="n">
        <v>12</v>
      </c>
      <c r="P186" s="15" t="n">
        <v>0</v>
      </c>
      <c r="Q186" s="14">
        <f>IF(COUNT(I186:P186)=0,"",SUM(I186:P186))</f>
        <v/>
      </c>
      <c r="R186" t="inlineStr"/>
    </row>
    <row r="187">
      <c r="A187" t="inlineStr">
        <is>
          <t>주감초등학교</t>
        </is>
      </c>
      <c r="B187" t="inlineStr">
        <is>
          <t>초등학교</t>
        </is>
      </c>
      <c r="C187" t="inlineStr">
        <is>
          <t>공립</t>
        </is>
      </c>
      <c r="D187" t="inlineStr">
        <is>
          <t>사상구</t>
        </is>
      </c>
      <c r="E187" t="inlineStr">
        <is>
          <t>부산광역시 사상구 양지로 48</t>
        </is>
      </c>
      <c r="F187" s="11" t="inlineStr">
        <is>
          <t>http://www.jugam.es.kr</t>
        </is>
      </c>
      <c r="G187" t="inlineStr">
        <is>
          <t>051-320-3900</t>
        </is>
      </c>
      <c r="H187" t="inlineStr">
        <is>
          <t>2026</t>
        </is>
      </c>
      <c r="I187" s="15" t="n">
        <v>93</v>
      </c>
      <c r="J187" s="15" t="n">
        <v>105</v>
      </c>
      <c r="K187" s="15" t="n">
        <v>81</v>
      </c>
      <c r="L187" s="15" t="n">
        <v>105</v>
      </c>
      <c r="M187" s="15" t="n">
        <v>101</v>
      </c>
      <c r="N187" s="15" t="n">
        <v>104</v>
      </c>
      <c r="O187" s="15" t="n">
        <v>12</v>
      </c>
      <c r="P187" s="15" t="n">
        <v>0</v>
      </c>
      <c r="Q187" s="14">
        <f>IF(COUNT(I187:P187)=0,"",SUM(I187:P187))</f>
        <v/>
      </c>
      <c r="R187" t="inlineStr"/>
    </row>
    <row r="188">
      <c r="A188" t="inlineStr">
        <is>
          <t>주양초등학교</t>
        </is>
      </c>
      <c r="B188" t="inlineStr">
        <is>
          <t>초등학교</t>
        </is>
      </c>
      <c r="C188" t="inlineStr">
        <is>
          <t>공립</t>
        </is>
      </c>
      <c r="D188" t="inlineStr">
        <is>
          <t>사상구</t>
        </is>
      </c>
      <c r="E188" t="inlineStr">
        <is>
          <t>부산광역시 사상구 백양대로 372-6</t>
        </is>
      </c>
      <c r="F188" s="11" t="inlineStr">
        <is>
          <t>http://www.juyang.es.kr/</t>
        </is>
      </c>
      <c r="G188" t="inlineStr">
        <is>
          <t>051-329-1500</t>
        </is>
      </c>
      <c r="H188" t="inlineStr">
        <is>
          <t>2026</t>
        </is>
      </c>
      <c r="I188" s="15" t="n">
        <v>28</v>
      </c>
      <c r="J188" s="15" t="n">
        <v>38</v>
      </c>
      <c r="K188" s="15" t="n">
        <v>37</v>
      </c>
      <c r="L188" s="15" t="n">
        <v>48</v>
      </c>
      <c r="M188" s="15" t="n">
        <v>51</v>
      </c>
      <c r="N188" s="15" t="n">
        <v>46</v>
      </c>
      <c r="O188" s="15" t="n">
        <v>6</v>
      </c>
      <c r="P188" s="15" t="n">
        <v>0</v>
      </c>
      <c r="Q188" s="14">
        <f>IF(COUNT(I188:P188)=0,"",SUM(I188:P188))</f>
        <v/>
      </c>
      <c r="R188" t="inlineStr"/>
    </row>
    <row r="189">
      <c r="A189" t="inlineStr">
        <is>
          <t>주학초등학교</t>
        </is>
      </c>
      <c r="B189" t="inlineStr">
        <is>
          <t>초등학교</t>
        </is>
      </c>
      <c r="C189" t="inlineStr">
        <is>
          <t>공립</t>
        </is>
      </c>
      <c r="D189" t="inlineStr">
        <is>
          <t>사상구</t>
        </is>
      </c>
      <c r="E189" t="inlineStr">
        <is>
          <t>부산광역시 사상구 가야대로366번길 120</t>
        </is>
      </c>
      <c r="F189" s="11" t="inlineStr">
        <is>
          <t>http://www.juhak.es.kr</t>
        </is>
      </c>
      <c r="G189" t="inlineStr">
        <is>
          <t>051-327-7471</t>
        </is>
      </c>
      <c r="H189" t="inlineStr">
        <is>
          <t>2026</t>
        </is>
      </c>
      <c r="I189" s="15" t="n">
        <v>2</v>
      </c>
      <c r="J189" s="15" t="n">
        <v>4</v>
      </c>
      <c r="K189" s="15" t="n">
        <v>7</v>
      </c>
      <c r="L189" s="15" t="n">
        <v>6</v>
      </c>
      <c r="M189" s="15" t="n">
        <v>6</v>
      </c>
      <c r="N189" s="15" t="n">
        <v>6</v>
      </c>
      <c r="O189" s="15" t="n">
        <v>2</v>
      </c>
      <c r="P189" s="15" t="n">
        <v>0</v>
      </c>
      <c r="Q189" s="14">
        <f>IF(COUNT(I189:P189)=0,"",SUM(I189:P189))</f>
        <v/>
      </c>
      <c r="R189" t="inlineStr"/>
    </row>
    <row r="190">
      <c r="A190" t="inlineStr">
        <is>
          <t>창진초등학교</t>
        </is>
      </c>
      <c r="B190" t="inlineStr">
        <is>
          <t>초등학교</t>
        </is>
      </c>
      <c r="C190" t="inlineStr">
        <is>
          <t>공립</t>
        </is>
      </c>
      <c r="D190" t="inlineStr">
        <is>
          <t>사상구</t>
        </is>
      </c>
      <c r="E190" t="inlineStr">
        <is>
          <t>부산광역시 사상구 사상로223번길 100</t>
        </is>
      </c>
      <c r="F190" s="11" t="inlineStr">
        <is>
          <t>http://www.changjin.es.kr/</t>
        </is>
      </c>
      <c r="G190" t="inlineStr">
        <is>
          <t>051-310-3400</t>
        </is>
      </c>
      <c r="H190" t="inlineStr">
        <is>
          <t>2026</t>
        </is>
      </c>
      <c r="I190" s="15" t="n">
        <v>47</v>
      </c>
      <c r="J190" s="15" t="n">
        <v>68</v>
      </c>
      <c r="K190" s="15" t="n">
        <v>57</v>
      </c>
      <c r="L190" s="15" t="n">
        <v>67</v>
      </c>
      <c r="M190" s="15" t="n">
        <v>85</v>
      </c>
      <c r="N190" s="15" t="n">
        <v>59</v>
      </c>
      <c r="O190" s="15" t="n">
        <v>6</v>
      </c>
      <c r="P190" s="15" t="n">
        <v>0</v>
      </c>
      <c r="Q190" s="14">
        <f>IF(COUNT(I190:P190)=0,"",SUM(I190:P190))</f>
        <v/>
      </c>
      <c r="R190" t="inlineStr"/>
    </row>
    <row r="191">
      <c r="A191" t="inlineStr">
        <is>
          <t>학장초등학교</t>
        </is>
      </c>
      <c r="B191" t="inlineStr">
        <is>
          <t>초등학교</t>
        </is>
      </c>
      <c r="C191" t="inlineStr">
        <is>
          <t>공립</t>
        </is>
      </c>
      <c r="D191" t="inlineStr">
        <is>
          <t>사상구</t>
        </is>
      </c>
      <c r="E191" t="inlineStr">
        <is>
          <t>부산광역시 사상구 대동로 205</t>
        </is>
      </c>
      <c r="F191" s="11" t="inlineStr">
        <is>
          <t>http://www.hakjang.es.kr/</t>
        </is>
      </c>
      <c r="G191" t="inlineStr">
        <is>
          <t>051-320-5701</t>
        </is>
      </c>
      <c r="H191" t="inlineStr">
        <is>
          <t>2026</t>
        </is>
      </c>
      <c r="I191" s="15" t="n">
        <v>23</v>
      </c>
      <c r="J191" s="15" t="n">
        <v>33</v>
      </c>
      <c r="K191" s="15" t="n">
        <v>25</v>
      </c>
      <c r="L191" s="15" t="n">
        <v>37</v>
      </c>
      <c r="M191" s="15" t="n">
        <v>28</v>
      </c>
      <c r="N191" s="15" t="n">
        <v>33</v>
      </c>
      <c r="O191" s="15" t="n">
        <v>3</v>
      </c>
      <c r="P191" s="15" t="n">
        <v>0</v>
      </c>
      <c r="Q191" s="14">
        <f>IF(COUNT(I191:P191)=0,"",SUM(I191:P191))</f>
        <v/>
      </c>
      <c r="R191" t="inlineStr"/>
    </row>
    <row r="192">
      <c r="A192" t="inlineStr">
        <is>
          <t>학진초등학교</t>
        </is>
      </c>
      <c r="B192" t="inlineStr">
        <is>
          <t>초등학교</t>
        </is>
      </c>
      <c r="C192" t="inlineStr">
        <is>
          <t>공립</t>
        </is>
      </c>
      <c r="D192" t="inlineStr">
        <is>
          <t>사상구</t>
        </is>
      </c>
      <c r="E192" t="inlineStr">
        <is>
          <t>부산광역시 사상구 대동로 34-16</t>
        </is>
      </c>
      <c r="F192" s="11" t="inlineStr">
        <is>
          <t>http://school.busanedu.net/hakjin-e</t>
        </is>
      </c>
      <c r="G192" t="inlineStr">
        <is>
          <t>051-982-5000</t>
        </is>
      </c>
      <c r="H192" t="inlineStr">
        <is>
          <t>2026</t>
        </is>
      </c>
      <c r="I192" s="15" t="n">
        <v>38</v>
      </c>
      <c r="J192" s="15" t="n">
        <v>38</v>
      </c>
      <c r="K192" s="15" t="n">
        <v>67</v>
      </c>
      <c r="L192" s="15" t="n">
        <v>65</v>
      </c>
      <c r="M192" s="15" t="n">
        <v>77</v>
      </c>
      <c r="N192" s="15" t="n">
        <v>69</v>
      </c>
      <c r="O192" s="15" t="n">
        <v>11</v>
      </c>
      <c r="P192" s="15" t="n">
        <v>0</v>
      </c>
      <c r="Q192" s="14">
        <f>IF(COUNT(I192:P192)=0,"",SUM(I192:P192))</f>
        <v/>
      </c>
      <c r="R192" t="inlineStr"/>
    </row>
    <row r="193">
      <c r="A193" t="inlineStr">
        <is>
          <t>감천초등학교</t>
        </is>
      </c>
      <c r="B193" t="inlineStr">
        <is>
          <t>초등학교</t>
        </is>
      </c>
      <c r="C193" t="inlineStr">
        <is>
          <t>공립</t>
        </is>
      </c>
      <c r="D193" t="inlineStr">
        <is>
          <t>사하구</t>
        </is>
      </c>
      <c r="E193" t="inlineStr">
        <is>
          <t>부산광역시 사하구 원양로 368-2</t>
        </is>
      </c>
      <c r="F193" s="11" t="inlineStr">
        <is>
          <t>http://www.gam.es.kr</t>
        </is>
      </c>
      <c r="G193" t="inlineStr">
        <is>
          <t>051-206-9482</t>
        </is>
      </c>
      <c r="H193" t="inlineStr">
        <is>
          <t>2026</t>
        </is>
      </c>
      <c r="I193" s="15" t="n">
        <v>6</v>
      </c>
      <c r="J193" s="15" t="n">
        <v>15</v>
      </c>
      <c r="K193" s="15" t="n">
        <v>8</v>
      </c>
      <c r="L193" s="15" t="n">
        <v>20</v>
      </c>
      <c r="M193" s="15" t="n">
        <v>20</v>
      </c>
      <c r="N193" s="15" t="n">
        <v>13</v>
      </c>
      <c r="O193" s="15" t="n">
        <v>3</v>
      </c>
      <c r="P193" s="15" t="n">
        <v>0</v>
      </c>
      <c r="Q193" s="14">
        <f>IF(COUNT(I193:P193)=0,"",SUM(I193:P193))</f>
        <v/>
      </c>
      <c r="R193" t="inlineStr"/>
    </row>
    <row r="194">
      <c r="A194" t="inlineStr">
        <is>
          <t>괴정초등학교</t>
        </is>
      </c>
      <c r="B194" t="inlineStr">
        <is>
          <t>초등학교</t>
        </is>
      </c>
      <c r="C194" t="inlineStr">
        <is>
          <t>공립</t>
        </is>
      </c>
      <c r="D194" t="inlineStr">
        <is>
          <t>사하구</t>
        </is>
      </c>
      <c r="E194" t="inlineStr">
        <is>
          <t>부산광역시 사하구 낙동대로 152</t>
        </is>
      </c>
      <c r="F194" s="11" t="inlineStr">
        <is>
          <t>https://school.busanedu.net/koejeong-e/main.do</t>
        </is>
      </c>
      <c r="G194" t="inlineStr">
        <is>
          <t>051-220-0500</t>
        </is>
      </c>
      <c r="H194" t="inlineStr">
        <is>
          <t>2026</t>
        </is>
      </c>
      <c r="I194" s="15" t="n">
        <v>47</v>
      </c>
      <c r="J194" s="15" t="n">
        <v>67</v>
      </c>
      <c r="K194" s="15" t="n">
        <v>75</v>
      </c>
      <c r="L194" s="15" t="n">
        <v>104</v>
      </c>
      <c r="M194" s="15" t="n">
        <v>68</v>
      </c>
      <c r="N194" s="15" t="n">
        <v>91</v>
      </c>
      <c r="O194" s="15" t="n">
        <v>12</v>
      </c>
      <c r="P194" s="15" t="n">
        <v>0</v>
      </c>
      <c r="Q194" s="14">
        <f>IF(COUNT(I194:P194)=0,"",SUM(I194:P194))</f>
        <v/>
      </c>
      <c r="R194" t="inlineStr"/>
    </row>
    <row r="195">
      <c r="A195" t="inlineStr">
        <is>
          <t>구평초등학교</t>
        </is>
      </c>
      <c r="B195" t="inlineStr">
        <is>
          <t>초등학교</t>
        </is>
      </c>
      <c r="C195" t="inlineStr">
        <is>
          <t>공립</t>
        </is>
      </c>
      <c r="D195" t="inlineStr">
        <is>
          <t>사하구</t>
        </is>
      </c>
      <c r="E195" t="inlineStr">
        <is>
          <t>부산광역시 사하구 사하로 9</t>
        </is>
      </c>
      <c r="F195" s="11" t="inlineStr">
        <is>
          <t>http://www.gupyong.es.kr</t>
        </is>
      </c>
      <c r="G195" t="inlineStr">
        <is>
          <t>051-220-2500</t>
        </is>
      </c>
      <c r="H195" t="inlineStr">
        <is>
          <t>2026</t>
        </is>
      </c>
      <c r="I195" s="15" t="n">
        <v>84</v>
      </c>
      <c r="J195" s="15" t="n">
        <v>99</v>
      </c>
      <c r="K195" s="15" t="n">
        <v>122</v>
      </c>
      <c r="L195" s="15" t="n">
        <v>129</v>
      </c>
      <c r="M195" s="15" t="n">
        <v>101</v>
      </c>
      <c r="N195" s="15" t="n">
        <v>95</v>
      </c>
      <c r="O195" s="15" t="n">
        <v>6</v>
      </c>
      <c r="P195" s="15" t="n">
        <v>0</v>
      </c>
      <c r="Q195" s="14">
        <f>IF(COUNT(I195:P195)=0,"",SUM(I195:P195))</f>
        <v/>
      </c>
      <c r="R195" t="inlineStr"/>
    </row>
    <row r="196">
      <c r="A196" t="inlineStr">
        <is>
          <t>낙동초등학교</t>
        </is>
      </c>
      <c r="B196" t="inlineStr">
        <is>
          <t>초등학교</t>
        </is>
      </c>
      <c r="C196" t="inlineStr">
        <is>
          <t>공립</t>
        </is>
      </c>
      <c r="D196" t="inlineStr">
        <is>
          <t>사하구</t>
        </is>
      </c>
      <c r="E196" t="inlineStr">
        <is>
          <t>부산광역시 사하구 제석로 41</t>
        </is>
      </c>
      <c r="F196" s="11" t="inlineStr">
        <is>
          <t>http://www.nakdong.es.kr</t>
        </is>
      </c>
      <c r="G196" t="inlineStr">
        <is>
          <t>051-207-7631</t>
        </is>
      </c>
      <c r="H196" t="inlineStr">
        <is>
          <t>2026</t>
        </is>
      </c>
      <c r="I196" s="15" t="n">
        <v>68</v>
      </c>
      <c r="J196" s="15" t="n">
        <v>85</v>
      </c>
      <c r="K196" s="15" t="n">
        <v>120</v>
      </c>
      <c r="L196" s="15" t="n">
        <v>138</v>
      </c>
      <c r="M196" s="15" t="n">
        <v>168</v>
      </c>
      <c r="N196" s="15" t="n">
        <v>153</v>
      </c>
      <c r="O196" s="15" t="n">
        <v>9</v>
      </c>
      <c r="P196" s="15" t="n">
        <v>0</v>
      </c>
      <c r="Q196" s="14">
        <f>IF(COUNT(I196:P196)=0,"",SUM(I196:P196))</f>
        <v/>
      </c>
      <c r="R196" t="inlineStr"/>
    </row>
    <row r="197">
      <c r="A197" t="inlineStr">
        <is>
          <t>다대초등학교</t>
        </is>
      </c>
      <c r="B197" t="inlineStr">
        <is>
          <t>초등학교</t>
        </is>
      </c>
      <c r="C197" t="inlineStr">
        <is>
          <t>공립</t>
        </is>
      </c>
      <c r="D197" t="inlineStr">
        <is>
          <t>사하구</t>
        </is>
      </c>
      <c r="E197" t="inlineStr">
        <is>
          <t>부산광역시 사하구 다대로 499</t>
        </is>
      </c>
      <c r="F197" s="11" t="inlineStr">
        <is>
          <t>http://dadae.es.kr</t>
        </is>
      </c>
      <c r="G197" t="inlineStr">
        <is>
          <t>051-263-0881</t>
        </is>
      </c>
      <c r="H197" t="inlineStr">
        <is>
          <t>2026</t>
        </is>
      </c>
      <c r="I197" s="15" t="n">
        <v>62</v>
      </c>
      <c r="J197" s="15" t="n">
        <v>88</v>
      </c>
      <c r="K197" s="15" t="n">
        <v>102</v>
      </c>
      <c r="L197" s="15" t="n">
        <v>108</v>
      </c>
      <c r="M197" s="15" t="n">
        <v>96</v>
      </c>
      <c r="N197" s="15" t="n">
        <v>102</v>
      </c>
      <c r="O197" s="15" t="n">
        <v>13</v>
      </c>
      <c r="P197" s="15" t="n">
        <v>0</v>
      </c>
      <c r="Q197" s="14">
        <f>IF(COUNT(I197:P197)=0,"",SUM(I197:P197))</f>
        <v/>
      </c>
      <c r="R197" t="inlineStr"/>
    </row>
    <row r="198">
      <c r="A198" t="inlineStr">
        <is>
          <t>다선초등학교</t>
        </is>
      </c>
      <c r="B198" t="inlineStr">
        <is>
          <t>초등학교</t>
        </is>
      </c>
      <c r="C198" t="inlineStr">
        <is>
          <t>공립</t>
        </is>
      </c>
      <c r="D198" t="inlineStr">
        <is>
          <t>사하구</t>
        </is>
      </c>
      <c r="E198" t="inlineStr">
        <is>
          <t>부산광역시 사하구 다송로 57</t>
        </is>
      </c>
      <c r="F198" s="11" t="inlineStr">
        <is>
          <t>http://dasun.es.kr</t>
        </is>
      </c>
      <c r="G198" t="inlineStr">
        <is>
          <t>051-262-0887</t>
        </is>
      </c>
      <c r="H198" t="inlineStr">
        <is>
          <t>2026</t>
        </is>
      </c>
      <c r="I198" s="15" t="n">
        <v>61</v>
      </c>
      <c r="J198" s="15" t="n">
        <v>60</v>
      </c>
      <c r="K198" s="15" t="n">
        <v>70</v>
      </c>
      <c r="L198" s="15" t="n">
        <v>79</v>
      </c>
      <c r="M198" s="15" t="n">
        <v>100</v>
      </c>
      <c r="N198" s="15" t="n">
        <v>77</v>
      </c>
      <c r="O198" s="15" t="n">
        <v>9</v>
      </c>
      <c r="P198" s="15" t="n">
        <v>0</v>
      </c>
      <c r="Q198" s="14">
        <f>IF(COUNT(I198:P198)=0,"",SUM(I198:P198))</f>
        <v/>
      </c>
      <c r="R198" t="inlineStr"/>
    </row>
    <row r="199">
      <c r="A199" t="inlineStr">
        <is>
          <t>다송초등학교</t>
        </is>
      </c>
      <c r="B199" t="inlineStr">
        <is>
          <t>초등학교</t>
        </is>
      </c>
      <c r="C199" t="inlineStr">
        <is>
          <t>공립</t>
        </is>
      </c>
      <c r="D199" t="inlineStr">
        <is>
          <t>사하구</t>
        </is>
      </c>
      <c r="E199" t="inlineStr">
        <is>
          <t>부산광역시 사하구 다대로381번길 17</t>
        </is>
      </c>
      <c r="F199" s="11" t="inlineStr">
        <is>
          <t>http://www.dasong.es.kr</t>
        </is>
      </c>
      <c r="G199" t="inlineStr">
        <is>
          <t>051-260-5800</t>
        </is>
      </c>
      <c r="H199" t="inlineStr">
        <is>
          <t>2026</t>
        </is>
      </c>
      <c r="I199" s="15" t="n">
        <v>8</v>
      </c>
      <c r="J199" s="15" t="n">
        <v>12</v>
      </c>
      <c r="K199" s="15" t="n">
        <v>9</v>
      </c>
      <c r="L199" s="15" t="n">
        <v>19</v>
      </c>
      <c r="M199" s="15" t="n">
        <v>19</v>
      </c>
      <c r="N199" s="15" t="n">
        <v>26</v>
      </c>
      <c r="O199" s="15" t="n">
        <v>5</v>
      </c>
      <c r="P199" s="15" t="n">
        <v>0</v>
      </c>
      <c r="Q199" s="14">
        <f>IF(COUNT(I199:P199)=0,"",SUM(I199:P199))</f>
        <v/>
      </c>
      <c r="R199" t="inlineStr"/>
    </row>
    <row r="200">
      <c r="A200" t="inlineStr">
        <is>
          <t>당리초등학교</t>
        </is>
      </c>
      <c r="B200" t="inlineStr">
        <is>
          <t>초등학교</t>
        </is>
      </c>
      <c r="C200" t="inlineStr">
        <is>
          <t>공립</t>
        </is>
      </c>
      <c r="D200" t="inlineStr">
        <is>
          <t>사하구</t>
        </is>
      </c>
      <c r="E200" t="inlineStr">
        <is>
          <t>부산광역시 사하구 다대로 22번길 12</t>
        </is>
      </c>
      <c r="F200" s="11" t="inlineStr">
        <is>
          <t>http://www.dangni.es.kr</t>
        </is>
      </c>
      <c r="G200" t="inlineStr">
        <is>
          <t>051-200-3700</t>
        </is>
      </c>
      <c r="H200" t="inlineStr">
        <is>
          <t>2026</t>
        </is>
      </c>
      <c r="I200" s="15" t="n">
        <v>4</v>
      </c>
      <c r="J200" s="15" t="n">
        <v>22</v>
      </c>
      <c r="K200" s="15" t="n">
        <v>23</v>
      </c>
      <c r="L200" s="15" t="n">
        <v>10</v>
      </c>
      <c r="M200" s="15" t="n">
        <v>30</v>
      </c>
      <c r="N200" s="15" t="n">
        <v>21</v>
      </c>
      <c r="O200" s="15" t="n">
        <v>6</v>
      </c>
      <c r="P200" s="15" t="n">
        <v>0</v>
      </c>
      <c r="Q200" s="14">
        <f>IF(COUNT(I200:P200)=0,"",SUM(I200:P200))</f>
        <v/>
      </c>
      <c r="R200" t="inlineStr"/>
    </row>
    <row r="201">
      <c r="A201" t="inlineStr">
        <is>
          <t>몰운대초등학교</t>
        </is>
      </c>
      <c r="B201" t="inlineStr">
        <is>
          <t>초등학교</t>
        </is>
      </c>
      <c r="C201" t="inlineStr">
        <is>
          <t>공립</t>
        </is>
      </c>
      <c r="D201" t="inlineStr">
        <is>
          <t>사하구</t>
        </is>
      </c>
      <c r="E201" t="inlineStr">
        <is>
          <t>부산광역시 사하구 다대낙조2길 110</t>
        </is>
      </c>
      <c r="F201" s="11" t="inlineStr">
        <is>
          <t>http://morundae.es.kr/</t>
        </is>
      </c>
      <c r="G201" t="inlineStr">
        <is>
          <t>051-290-3300</t>
        </is>
      </c>
      <c r="H201" t="inlineStr">
        <is>
          <t>2026</t>
        </is>
      </c>
      <c r="I201" s="15" t="n">
        <v>69</v>
      </c>
      <c r="J201" s="15" t="n">
        <v>95</v>
      </c>
      <c r="K201" s="15" t="n">
        <v>105</v>
      </c>
      <c r="L201" s="15" t="n">
        <v>108</v>
      </c>
      <c r="M201" s="15" t="n">
        <v>157</v>
      </c>
      <c r="N201" s="15" t="n">
        <v>137</v>
      </c>
      <c r="O201" s="15" t="n">
        <v>11</v>
      </c>
      <c r="P201" s="15" t="n">
        <v>0</v>
      </c>
      <c r="Q201" s="14">
        <f>IF(COUNT(I201:P201)=0,"",SUM(I201:P201))</f>
        <v/>
      </c>
      <c r="R201" t="inlineStr"/>
    </row>
    <row r="202">
      <c r="A202" t="inlineStr">
        <is>
          <t>보림초등학교</t>
        </is>
      </c>
      <c r="B202" t="inlineStr">
        <is>
          <t>초등학교</t>
        </is>
      </c>
      <c r="C202" t="inlineStr">
        <is>
          <t>공립</t>
        </is>
      </c>
      <c r="D202" t="inlineStr">
        <is>
          <t>사하구</t>
        </is>
      </c>
      <c r="E202" t="inlineStr">
        <is>
          <t>부산광역시 사하구 장림로161번길 20</t>
        </is>
      </c>
      <c r="F202" s="11" t="inlineStr">
        <is>
          <t>http://school.busanedu.net/borim-e</t>
        </is>
      </c>
      <c r="G202" t="inlineStr">
        <is>
          <t>051-260-1900</t>
        </is>
      </c>
      <c r="H202" t="inlineStr">
        <is>
          <t>2026</t>
        </is>
      </c>
      <c r="I202" s="15" t="n">
        <v>98</v>
      </c>
      <c r="J202" s="15" t="n">
        <v>90</v>
      </c>
      <c r="K202" s="15" t="n">
        <v>101</v>
      </c>
      <c r="L202" s="15" t="n">
        <v>97</v>
      </c>
      <c r="M202" s="15" t="n">
        <v>100</v>
      </c>
      <c r="N202" s="15" t="n">
        <v>104</v>
      </c>
      <c r="O202" s="15" t="n">
        <v>18</v>
      </c>
      <c r="P202" s="15" t="n">
        <v>0</v>
      </c>
      <c r="Q202" s="14">
        <f>IF(COUNT(I202:P202)=0,"",SUM(I202:P202))</f>
        <v/>
      </c>
      <c r="R202" t="inlineStr"/>
    </row>
    <row r="203">
      <c r="A203" t="inlineStr">
        <is>
          <t>사남초등학교</t>
        </is>
      </c>
      <c r="B203" t="inlineStr">
        <is>
          <t>초등학교</t>
        </is>
      </c>
      <c r="C203" t="inlineStr">
        <is>
          <t>공립</t>
        </is>
      </c>
      <c r="D203" t="inlineStr">
        <is>
          <t>사하구</t>
        </is>
      </c>
      <c r="E203" t="inlineStr">
        <is>
          <t>부산광역시 사하구 장평로 390</t>
        </is>
      </c>
      <c r="F203" s="11" t="inlineStr">
        <is>
          <t>http://sanam.es.kr</t>
        </is>
      </c>
      <c r="G203" t="inlineStr">
        <is>
          <t>051-220-0400</t>
        </is>
      </c>
      <c r="H203" t="inlineStr">
        <is>
          <t>2026</t>
        </is>
      </c>
      <c r="I203" s="15" t="n">
        <v>64</v>
      </c>
      <c r="J203" s="15" t="n">
        <v>61</v>
      </c>
      <c r="K203" s="15" t="n">
        <v>72</v>
      </c>
      <c r="L203" s="15" t="n">
        <v>62</v>
      </c>
      <c r="M203" s="15" t="n">
        <v>69</v>
      </c>
      <c r="N203" s="15" t="n">
        <v>41</v>
      </c>
      <c r="O203" s="15" t="n">
        <v>8</v>
      </c>
      <c r="P203" s="15" t="n">
        <v>0</v>
      </c>
      <c r="Q203" s="14">
        <f>IF(COUNT(I203:P203)=0,"",SUM(I203:P203))</f>
        <v/>
      </c>
      <c r="R203" t="inlineStr"/>
    </row>
    <row r="204">
      <c r="A204" t="inlineStr">
        <is>
          <t>사동초등학교</t>
        </is>
      </c>
      <c r="B204" t="inlineStr">
        <is>
          <t>초등학교</t>
        </is>
      </c>
      <c r="C204" t="inlineStr">
        <is>
          <t>공립</t>
        </is>
      </c>
      <c r="D204" t="inlineStr">
        <is>
          <t>사하구</t>
        </is>
      </c>
      <c r="E204" t="inlineStr">
        <is>
          <t>부산광역시 사하구 승학로 129-2</t>
        </is>
      </c>
      <c r="F204" s="11" t="inlineStr">
        <is>
          <t>https://school.busanedu.net/psadong-e/main.do</t>
        </is>
      </c>
      <c r="G204" t="inlineStr">
        <is>
          <t>051-200-3500</t>
        </is>
      </c>
      <c r="H204" t="inlineStr">
        <is>
          <t>2026</t>
        </is>
      </c>
      <c r="I204" s="15" t="n">
        <v>11</v>
      </c>
      <c r="J204" s="15" t="n">
        <v>8</v>
      </c>
      <c r="K204" s="15" t="n">
        <v>18</v>
      </c>
      <c r="L204" s="15" t="n">
        <v>19</v>
      </c>
      <c r="M204" s="15" t="n">
        <v>48</v>
      </c>
      <c r="N204" s="15" t="n">
        <v>32</v>
      </c>
      <c r="O204" s="15" t="n">
        <v>7</v>
      </c>
      <c r="P204" s="15" t="n">
        <v>0</v>
      </c>
      <c r="Q204" s="14">
        <f>IF(COUNT(I204:P204)=0,"",SUM(I204:P204))</f>
        <v/>
      </c>
      <c r="R204" t="inlineStr"/>
    </row>
    <row r="205">
      <c r="A205" t="inlineStr">
        <is>
          <t>사하초등학교</t>
        </is>
      </c>
      <c r="B205" t="inlineStr">
        <is>
          <t>초등학교</t>
        </is>
      </c>
      <c r="C205" t="inlineStr">
        <is>
          <t>공립</t>
        </is>
      </c>
      <c r="D205" t="inlineStr">
        <is>
          <t>사하구</t>
        </is>
      </c>
      <c r="E205" t="inlineStr">
        <is>
          <t>부산광역시 사하구 낙동대로 266</t>
        </is>
      </c>
      <c r="F205" s="11" t="inlineStr">
        <is>
          <t>http://www.saha.es.kr</t>
        </is>
      </c>
      <c r="G205" t="inlineStr">
        <is>
          <t>051-793-7200</t>
        </is>
      </c>
      <c r="H205" t="inlineStr">
        <is>
          <t>2026</t>
        </is>
      </c>
      <c r="I205" s="15" t="n">
        <v>67</v>
      </c>
      <c r="J205" s="15" t="n">
        <v>129</v>
      </c>
      <c r="K205" s="15" t="n">
        <v>107</v>
      </c>
      <c r="L205" s="15" t="n">
        <v>146</v>
      </c>
      <c r="M205" s="15" t="n">
        <v>166</v>
      </c>
      <c r="N205" s="15" t="n">
        <v>162</v>
      </c>
      <c r="O205" s="15" t="n">
        <v>6</v>
      </c>
      <c r="P205" s="15" t="n">
        <v>0</v>
      </c>
      <c r="Q205" s="14">
        <f>IF(COUNT(I205:P205)=0,"",SUM(I205:P205))</f>
        <v/>
      </c>
      <c r="R205" t="inlineStr"/>
    </row>
    <row r="206">
      <c r="A206" t="inlineStr">
        <is>
          <t>서천초등학교</t>
        </is>
      </c>
      <c r="B206" t="inlineStr">
        <is>
          <t>초등학교</t>
        </is>
      </c>
      <c r="C206" t="inlineStr">
        <is>
          <t>공립</t>
        </is>
      </c>
      <c r="D206" t="inlineStr">
        <is>
          <t>사하구</t>
        </is>
      </c>
      <c r="E206" t="inlineStr">
        <is>
          <t>부산광역시 사하구 감천로105번길 10</t>
        </is>
      </c>
      <c r="F206" s="11" t="inlineStr">
        <is>
          <t>http://seocheon.es.kr</t>
        </is>
      </c>
      <c r="G206" t="inlineStr">
        <is>
          <t>051-291-4698</t>
        </is>
      </c>
      <c r="H206" t="inlineStr">
        <is>
          <t>2026</t>
        </is>
      </c>
      <c r="I206" s="15" t="n">
        <v>23</v>
      </c>
      <c r="J206" s="15" t="n">
        <v>13</v>
      </c>
      <c r="K206" s="15" t="n">
        <v>18</v>
      </c>
      <c r="L206" s="15" t="n">
        <v>15</v>
      </c>
      <c r="M206" s="15" t="n">
        <v>16</v>
      </c>
      <c r="N206" s="15" t="n">
        <v>29</v>
      </c>
      <c r="O206" s="15" t="n">
        <v>2</v>
      </c>
      <c r="P206" s="15" t="n">
        <v>0</v>
      </c>
      <c r="Q206" s="14">
        <f>IF(COUNT(I206:P206)=0,"",SUM(I206:P206))</f>
        <v/>
      </c>
      <c r="R206" t="inlineStr"/>
    </row>
    <row r="207">
      <c r="A207" t="inlineStr">
        <is>
          <t>승학초등학교</t>
        </is>
      </c>
      <c r="B207" t="inlineStr">
        <is>
          <t>초등학교</t>
        </is>
      </c>
      <c r="C207" t="inlineStr">
        <is>
          <t>공립</t>
        </is>
      </c>
      <c r="D207" t="inlineStr">
        <is>
          <t>사하구</t>
        </is>
      </c>
      <c r="E207" t="inlineStr">
        <is>
          <t>부산광역시 사하구 낙동대로135번길 55</t>
        </is>
      </c>
      <c r="F207" s="11" t="inlineStr">
        <is>
          <t>http://seunghak.es.kr</t>
        </is>
      </c>
      <c r="G207" t="inlineStr">
        <is>
          <t>051-208-2052</t>
        </is>
      </c>
      <c r="H207" t="inlineStr">
        <is>
          <t>2026</t>
        </is>
      </c>
      <c r="I207" s="15" t="n">
        <v>25</v>
      </c>
      <c r="J207" s="15" t="n">
        <v>14</v>
      </c>
      <c r="K207" s="15" t="n">
        <v>18</v>
      </c>
      <c r="L207" s="15" t="n">
        <v>37</v>
      </c>
      <c r="M207" s="15" t="n">
        <v>40</v>
      </c>
      <c r="N207" s="15" t="n">
        <v>49</v>
      </c>
      <c r="O207" s="15" t="n">
        <v>6</v>
      </c>
      <c r="P207" s="15" t="n">
        <v>0</v>
      </c>
      <c r="Q207" s="14">
        <f>IF(COUNT(I207:P207)=0,"",SUM(I207:P207))</f>
        <v/>
      </c>
      <c r="R207" t="inlineStr"/>
    </row>
    <row r="208">
      <c r="A208" t="inlineStr">
        <is>
          <t>신남초등학교</t>
        </is>
      </c>
      <c r="B208" t="inlineStr">
        <is>
          <t>초등학교</t>
        </is>
      </c>
      <c r="C208" t="inlineStr">
        <is>
          <t>공립</t>
        </is>
      </c>
      <c r="D208" t="inlineStr">
        <is>
          <t>사하구</t>
        </is>
      </c>
      <c r="E208" t="inlineStr">
        <is>
          <t>부산광역시 사하구 비봉로 88</t>
        </is>
      </c>
      <c r="F208" s="11" t="inlineStr">
        <is>
          <t>http://www.sinnam.es.kr</t>
        </is>
      </c>
      <c r="G208" t="inlineStr">
        <is>
          <t>051-990-7300</t>
        </is>
      </c>
      <c r="H208" t="inlineStr">
        <is>
          <t>2026</t>
        </is>
      </c>
      <c r="I208" s="15" t="n">
        <v>58</v>
      </c>
      <c r="J208" s="15" t="n">
        <v>44</v>
      </c>
      <c r="K208" s="15" t="n">
        <v>64</v>
      </c>
      <c r="L208" s="15" t="n">
        <v>57</v>
      </c>
      <c r="M208" s="15" t="n">
        <v>68</v>
      </c>
      <c r="N208" s="15" t="n">
        <v>89</v>
      </c>
      <c r="O208" s="15" t="n">
        <v>7</v>
      </c>
      <c r="P208" s="15" t="n">
        <v>0</v>
      </c>
      <c r="Q208" s="14">
        <f>IF(COUNT(I208:P208)=0,"",SUM(I208:P208))</f>
        <v/>
      </c>
      <c r="R208" t="inlineStr"/>
    </row>
    <row r="209">
      <c r="A209" t="inlineStr">
        <is>
          <t>신촌초등학교</t>
        </is>
      </c>
      <c r="B209" t="inlineStr">
        <is>
          <t>초등학교</t>
        </is>
      </c>
      <c r="C209" t="inlineStr">
        <is>
          <t>공립</t>
        </is>
      </c>
      <c r="D209" t="inlineStr">
        <is>
          <t>사하구</t>
        </is>
      </c>
      <c r="E209" t="inlineStr">
        <is>
          <t>부산광역시 사하구 다대로135번길 30-21</t>
        </is>
      </c>
      <c r="F209" s="11" t="inlineStr">
        <is>
          <t>http://www.shinchon.es.kr</t>
        </is>
      </c>
      <c r="G209" t="inlineStr">
        <is>
          <t>051-207-5984</t>
        </is>
      </c>
      <c r="H209" t="inlineStr">
        <is>
          <t>2026</t>
        </is>
      </c>
      <c r="I209" s="15" t="n">
        <v>6</v>
      </c>
      <c r="J209" s="15" t="n">
        <v>3</v>
      </c>
      <c r="K209" s="15" t="n">
        <v>8</v>
      </c>
      <c r="L209" s="15" t="n">
        <v>12</v>
      </c>
      <c r="M209" s="15" t="n">
        <v>12</v>
      </c>
      <c r="N209" s="15" t="n">
        <v>12</v>
      </c>
      <c r="O209" s="15" t="n">
        <v>5</v>
      </c>
      <c r="P209" s="15" t="n">
        <v>0</v>
      </c>
      <c r="Q209" s="14">
        <f>IF(COUNT(I209:P209)=0,"",SUM(I209:P209))</f>
        <v/>
      </c>
      <c r="R209" t="inlineStr"/>
    </row>
    <row r="210">
      <c r="A210" t="inlineStr">
        <is>
          <t>신평초등학교</t>
        </is>
      </c>
      <c r="B210" t="inlineStr">
        <is>
          <t>초등학교</t>
        </is>
      </c>
      <c r="C210" t="inlineStr">
        <is>
          <t>공립</t>
        </is>
      </c>
      <c r="D210" t="inlineStr">
        <is>
          <t>사하구</t>
        </is>
      </c>
      <c r="E210" t="inlineStr">
        <is>
          <t>부산광역시 사하구 장평로299번안길 19</t>
        </is>
      </c>
      <c r="F210" s="11" t="inlineStr">
        <is>
          <t>http://www.sinpyeong.es.kr</t>
        </is>
      </c>
      <c r="G210" t="inlineStr">
        <is>
          <t>051-200-5000</t>
        </is>
      </c>
      <c r="H210" t="inlineStr">
        <is>
          <t>2026</t>
        </is>
      </c>
      <c r="I210" s="15" t="n">
        <v>78</v>
      </c>
      <c r="J210" s="15" t="n">
        <v>82</v>
      </c>
      <c r="K210" s="15" t="n">
        <v>76</v>
      </c>
      <c r="L210" s="15" t="n">
        <v>83</v>
      </c>
      <c r="M210" s="15" t="n">
        <v>94</v>
      </c>
      <c r="N210" s="15" t="n">
        <v>74</v>
      </c>
      <c r="O210" s="15" t="n">
        <v>6</v>
      </c>
      <c r="P210" s="15" t="n">
        <v>0</v>
      </c>
      <c r="Q210" s="14">
        <f>IF(COUNT(I210:P210)=0,"",SUM(I210:P210))</f>
        <v/>
      </c>
      <c r="R210" t="inlineStr"/>
    </row>
    <row r="211">
      <c r="A211" t="inlineStr">
        <is>
          <t>옥천초등학교</t>
        </is>
      </c>
      <c r="B211" t="inlineStr">
        <is>
          <t>초등학교</t>
        </is>
      </c>
      <c r="C211" t="inlineStr">
        <is>
          <t>공립</t>
        </is>
      </c>
      <c r="D211" t="inlineStr">
        <is>
          <t>사하구</t>
        </is>
      </c>
      <c r="E211" t="inlineStr">
        <is>
          <t>부산광역시 사하구 사하로 134</t>
        </is>
      </c>
      <c r="F211" s="11" t="inlineStr">
        <is>
          <t>http://okchun.es.kr</t>
        </is>
      </c>
      <c r="G211" t="inlineStr">
        <is>
          <t>051-200-0600</t>
        </is>
      </c>
      <c r="H211" t="inlineStr">
        <is>
          <t>2026</t>
        </is>
      </c>
      <c r="I211" s="15" t="n">
        <v>39</v>
      </c>
      <c r="J211" s="15" t="n">
        <v>42</v>
      </c>
      <c r="K211" s="15" t="n">
        <v>58</v>
      </c>
      <c r="L211" s="15" t="n">
        <v>76</v>
      </c>
      <c r="M211" s="15" t="n">
        <v>69</v>
      </c>
      <c r="N211" s="15" t="n">
        <v>82</v>
      </c>
      <c r="O211" s="15" t="n">
        <v>6</v>
      </c>
      <c r="P211" s="15" t="n">
        <v>0</v>
      </c>
      <c r="Q211" s="14">
        <f>IF(COUNT(I211:P211)=0,"",SUM(I211:P211))</f>
        <v/>
      </c>
      <c r="R211" t="inlineStr"/>
    </row>
    <row r="212">
      <c r="A212" t="inlineStr">
        <is>
          <t>을숙도초등학교</t>
        </is>
      </c>
      <c r="B212" t="inlineStr">
        <is>
          <t>초등학교</t>
        </is>
      </c>
      <c r="C212" t="inlineStr">
        <is>
          <t>공립</t>
        </is>
      </c>
      <c r="D212" t="inlineStr">
        <is>
          <t>사하구</t>
        </is>
      </c>
      <c r="E212" t="inlineStr">
        <is>
          <t>부산광역시 사하구 낙동대로 581</t>
        </is>
      </c>
      <c r="F212" s="11" t="inlineStr">
        <is>
          <t>http://www.eulsukdo.es.kr</t>
        </is>
      </c>
      <c r="G212" t="inlineStr">
        <is>
          <t>051-200-2800</t>
        </is>
      </c>
      <c r="H212" t="inlineStr">
        <is>
          <t>2026</t>
        </is>
      </c>
      <c r="I212" s="15" t="n">
        <v>58</v>
      </c>
      <c r="J212" s="15" t="n">
        <v>60</v>
      </c>
      <c r="K212" s="15" t="n">
        <v>72</v>
      </c>
      <c r="L212" s="15" t="n">
        <v>81</v>
      </c>
      <c r="M212" s="15" t="n">
        <v>98</v>
      </c>
      <c r="N212" s="15" t="n">
        <v>102</v>
      </c>
      <c r="O212" s="15" t="n">
        <v>9</v>
      </c>
      <c r="P212" s="15" t="n">
        <v>0</v>
      </c>
      <c r="Q212" s="14">
        <f>IF(COUNT(I212:P212)=0,"",SUM(I212:P212))</f>
        <v/>
      </c>
      <c r="R212" t="inlineStr"/>
    </row>
    <row r="213">
      <c r="A213" t="inlineStr">
        <is>
          <t>응봉초등학교</t>
        </is>
      </c>
      <c r="B213" t="inlineStr">
        <is>
          <t>초등학교</t>
        </is>
      </c>
      <c r="C213" t="inlineStr">
        <is>
          <t>공립</t>
        </is>
      </c>
      <c r="D213" t="inlineStr">
        <is>
          <t>사하구</t>
        </is>
      </c>
      <c r="E213" t="inlineStr">
        <is>
          <t>부산광역시 사하구 다대낙조2길 26</t>
        </is>
      </c>
      <c r="F213" s="11" t="inlineStr">
        <is>
          <t>http://eungbong.es.kr</t>
        </is>
      </c>
      <c r="G213" t="inlineStr">
        <is>
          <t>051-265-6773</t>
        </is>
      </c>
      <c r="H213" t="inlineStr">
        <is>
          <t>2026</t>
        </is>
      </c>
      <c r="I213" s="15" t="n">
        <v>10</v>
      </c>
      <c r="J213" s="15" t="n">
        <v>8</v>
      </c>
      <c r="K213" s="15" t="n">
        <v>16</v>
      </c>
      <c r="L213" s="15" t="n">
        <v>16</v>
      </c>
      <c r="M213" s="15" t="n">
        <v>21</v>
      </c>
      <c r="N213" s="15" t="n">
        <v>23</v>
      </c>
      <c r="O213" s="15" t="n">
        <v>6</v>
      </c>
      <c r="P213" s="15" t="n">
        <v>0</v>
      </c>
      <c r="Q213" s="14">
        <f>IF(COUNT(I213:P213)=0,"",SUM(I213:P213))</f>
        <v/>
      </c>
      <c r="R213" t="inlineStr"/>
    </row>
    <row r="214">
      <c r="A214" t="inlineStr">
        <is>
          <t>장림초등학교</t>
        </is>
      </c>
      <c r="B214" t="inlineStr">
        <is>
          <t>초등학교</t>
        </is>
      </c>
      <c r="C214" t="inlineStr">
        <is>
          <t>공립</t>
        </is>
      </c>
      <c r="D214" t="inlineStr">
        <is>
          <t>사하구</t>
        </is>
      </c>
      <c r="E214" t="inlineStr">
        <is>
          <t>부산광역시 사하구 장림번영로103번길 10</t>
        </is>
      </c>
      <c r="F214" s="11" t="inlineStr">
        <is>
          <t>http://jangrim.es.kr</t>
        </is>
      </c>
      <c r="G214" t="inlineStr">
        <is>
          <t>051-290-2700</t>
        </is>
      </c>
      <c r="H214" t="inlineStr">
        <is>
          <t>2026</t>
        </is>
      </c>
      <c r="I214" s="15" t="n">
        <v>58</v>
      </c>
      <c r="J214" s="15" t="n">
        <v>52</v>
      </c>
      <c r="K214" s="15" t="n">
        <v>68</v>
      </c>
      <c r="L214" s="15" t="n">
        <v>73</v>
      </c>
      <c r="M214" s="15" t="n">
        <v>100</v>
      </c>
      <c r="N214" s="15" t="n">
        <v>86</v>
      </c>
      <c r="O214" s="15" t="n">
        <v>11</v>
      </c>
      <c r="P214" s="15" t="n">
        <v>0</v>
      </c>
      <c r="Q214" s="14">
        <f>IF(COUNT(I214:P214)=0,"",SUM(I214:P214))</f>
        <v/>
      </c>
      <c r="R214" t="inlineStr"/>
    </row>
    <row r="215">
      <c r="A215" t="inlineStr">
        <is>
          <t>중현초등학교</t>
        </is>
      </c>
      <c r="B215" t="inlineStr">
        <is>
          <t>초등학교</t>
        </is>
      </c>
      <c r="C215" t="inlineStr">
        <is>
          <t>공립</t>
        </is>
      </c>
      <c r="D215" t="inlineStr">
        <is>
          <t>사하구</t>
        </is>
      </c>
      <c r="E215" t="inlineStr">
        <is>
          <t>부산광역시 사하구 다대낙조2길 8</t>
        </is>
      </c>
      <c r="F215" s="11" t="inlineStr">
        <is>
          <t>http://junghyun.es.kr</t>
        </is>
      </c>
      <c r="G215" t="inlineStr">
        <is>
          <t>051-260-0503</t>
        </is>
      </c>
      <c r="H215" t="inlineStr">
        <is>
          <t>2026</t>
        </is>
      </c>
      <c r="I215" s="15" t="n">
        <v>24</v>
      </c>
      <c r="J215" s="15" t="n">
        <v>37</v>
      </c>
      <c r="K215" s="15" t="n">
        <v>38</v>
      </c>
      <c r="L215" s="15" t="n">
        <v>50</v>
      </c>
      <c r="M215" s="15" t="n">
        <v>59</v>
      </c>
      <c r="N215" s="15" t="n">
        <v>52</v>
      </c>
      <c r="O215" s="15" t="n">
        <v>3</v>
      </c>
      <c r="P215" s="15" t="n">
        <v>0</v>
      </c>
      <c r="Q215" s="14">
        <f>IF(COUNT(I215:P215)=0,"",SUM(I215:P215))</f>
        <v/>
      </c>
      <c r="R215" t="inlineStr"/>
    </row>
    <row r="216">
      <c r="A216" t="inlineStr">
        <is>
          <t>하남초등학교</t>
        </is>
      </c>
      <c r="B216" t="inlineStr">
        <is>
          <t>초등학교</t>
        </is>
      </c>
      <c r="C216" t="inlineStr">
        <is>
          <t>공립</t>
        </is>
      </c>
      <c r="D216" t="inlineStr">
        <is>
          <t>사하구</t>
        </is>
      </c>
      <c r="E216" t="inlineStr">
        <is>
          <t>부산광역시 사하구 하신번영로 186</t>
        </is>
      </c>
      <c r="F216" s="11" t="inlineStr">
        <is>
          <t>http://www.hanam.es.kr</t>
        </is>
      </c>
      <c r="G216" t="inlineStr">
        <is>
          <t>051-200-3600</t>
        </is>
      </c>
      <c r="H216" t="inlineStr">
        <is>
          <t>2026</t>
        </is>
      </c>
      <c r="I216" s="15" t="n">
        <v>57</v>
      </c>
      <c r="J216" s="15" t="n">
        <v>63</v>
      </c>
      <c r="K216" s="15" t="n">
        <v>88</v>
      </c>
      <c r="L216" s="15" t="n">
        <v>76</v>
      </c>
      <c r="M216" s="15" t="n">
        <v>112</v>
      </c>
      <c r="N216" s="15" t="n">
        <v>99</v>
      </c>
      <c r="O216" s="15" t="n">
        <v>13</v>
      </c>
      <c r="P216" s="15" t="n">
        <v>0</v>
      </c>
      <c r="Q216" s="14">
        <f>IF(COUNT(I216:P216)=0,"",SUM(I216:P216))</f>
        <v/>
      </c>
      <c r="R216" t="inlineStr"/>
    </row>
    <row r="217">
      <c r="A217" t="inlineStr">
        <is>
          <t>하단초등학교</t>
        </is>
      </c>
      <c r="B217" t="inlineStr">
        <is>
          <t>초등학교</t>
        </is>
      </c>
      <c r="C217" t="inlineStr">
        <is>
          <t>공립</t>
        </is>
      </c>
      <c r="D217" t="inlineStr">
        <is>
          <t>사하구</t>
        </is>
      </c>
      <c r="E217" t="inlineStr">
        <is>
          <t>부산광역시 사하구 하신중앙로 321</t>
        </is>
      </c>
      <c r="F217" s="11" t="inlineStr">
        <is>
          <t>http://www.hadan.es.kr</t>
        </is>
      </c>
      <c r="G217" t="inlineStr">
        <is>
          <t>051-201-3461</t>
        </is>
      </c>
      <c r="H217" t="inlineStr">
        <is>
          <t>2026</t>
        </is>
      </c>
      <c r="I217" s="15" t="n">
        <v>16</v>
      </c>
      <c r="J217" s="15" t="n">
        <v>28</v>
      </c>
      <c r="K217" s="15" t="n">
        <v>32</v>
      </c>
      <c r="L217" s="15" t="n">
        <v>43</v>
      </c>
      <c r="M217" s="15" t="n">
        <v>50</v>
      </c>
      <c r="N217" s="15" t="n">
        <v>44</v>
      </c>
      <c r="O217" s="15" t="n">
        <v>7</v>
      </c>
      <c r="P217" s="15" t="n">
        <v>0</v>
      </c>
      <c r="Q217" s="14">
        <f>IF(COUNT(I217:P217)=0,"",SUM(I217:P217))</f>
        <v/>
      </c>
      <c r="R217" t="inlineStr"/>
    </row>
    <row r="218">
      <c r="A218" t="inlineStr">
        <is>
          <t>효림초등학교</t>
        </is>
      </c>
      <c r="B218" t="inlineStr">
        <is>
          <t>초등학교</t>
        </is>
      </c>
      <c r="C218" t="inlineStr">
        <is>
          <t>공립</t>
        </is>
      </c>
      <c r="D218" t="inlineStr">
        <is>
          <t>사하구</t>
        </is>
      </c>
      <c r="E218" t="inlineStr">
        <is>
          <t>부산광역시 사하구 장평로 106</t>
        </is>
      </c>
      <c r="F218" s="11" t="inlineStr">
        <is>
          <t>http://hyorim.es.kr</t>
        </is>
      </c>
      <c r="G218" t="inlineStr">
        <is>
          <t>051-261-5220</t>
        </is>
      </c>
      <c r="H218" t="inlineStr">
        <is>
          <t>2026</t>
        </is>
      </c>
      <c r="I218" s="15" t="n">
        <v>51</v>
      </c>
      <c r="J218" s="15" t="n">
        <v>55</v>
      </c>
      <c r="K218" s="15" t="n">
        <v>70</v>
      </c>
      <c r="L218" s="15" t="n">
        <v>85</v>
      </c>
      <c r="M218" s="15" t="n">
        <v>83</v>
      </c>
      <c r="N218" s="15" t="n">
        <v>100</v>
      </c>
      <c r="O218" s="15" t="n">
        <v>11</v>
      </c>
      <c r="P218" s="15" t="n">
        <v>0</v>
      </c>
      <c r="Q218" s="14">
        <f>IF(COUNT(I218:P218)=0,"",SUM(I218:P218))</f>
        <v/>
      </c>
      <c r="R218" t="inlineStr"/>
    </row>
    <row r="219">
      <c r="A219" t="inlineStr">
        <is>
          <t>구덕초등학교</t>
        </is>
      </c>
      <c r="B219" t="inlineStr">
        <is>
          <t>초등학교</t>
        </is>
      </c>
      <c r="C219" t="inlineStr">
        <is>
          <t>공립</t>
        </is>
      </c>
      <c r="D219" t="inlineStr">
        <is>
          <t>서구</t>
        </is>
      </c>
      <c r="E219" t="inlineStr">
        <is>
          <t>부산광역시 서구 보수대로 312</t>
        </is>
      </c>
      <c r="F219" s="11" t="inlineStr">
        <is>
          <t>http://gudeok.es.kr/</t>
        </is>
      </c>
      <c r="G219" t="inlineStr">
        <is>
          <t>051-242-6600</t>
        </is>
      </c>
      <c r="H219" t="inlineStr">
        <is>
          <t>2026</t>
        </is>
      </c>
      <c r="I219" s="15" t="n">
        <v>36</v>
      </c>
      <c r="J219" s="15" t="n">
        <v>47</v>
      </c>
      <c r="K219" s="15" t="n">
        <v>59</v>
      </c>
      <c r="L219" s="15" t="n">
        <v>57</v>
      </c>
      <c r="M219" s="15" t="n">
        <v>89</v>
      </c>
      <c r="N219" s="15" t="n">
        <v>79</v>
      </c>
      <c r="O219" s="15" t="n">
        <v>4</v>
      </c>
      <c r="P219" s="15" t="n">
        <v>0</v>
      </c>
      <c r="Q219" s="14">
        <f>IF(COUNT(I219:P219)=0,"",SUM(I219:P219))</f>
        <v/>
      </c>
      <c r="R219" t="inlineStr"/>
    </row>
    <row r="220">
      <c r="A220" t="inlineStr">
        <is>
          <t>남부민초등학교</t>
        </is>
      </c>
      <c r="B220" t="inlineStr">
        <is>
          <t>초등학교</t>
        </is>
      </c>
      <c r="C220" t="inlineStr">
        <is>
          <t>공립</t>
        </is>
      </c>
      <c r="D220" t="inlineStr">
        <is>
          <t>서구</t>
        </is>
      </c>
      <c r="E220" t="inlineStr">
        <is>
          <t>부산광역시 서구 천마로 153</t>
        </is>
      </c>
      <c r="F220" s="11" t="inlineStr">
        <is>
          <t>http://www.nambumin.es.kr</t>
        </is>
      </c>
      <c r="G220" t="inlineStr">
        <is>
          <t>051-247-3901</t>
        </is>
      </c>
      <c r="H220" t="inlineStr">
        <is>
          <t>2026</t>
        </is>
      </c>
      <c r="I220" s="15" t="n">
        <v>13</v>
      </c>
      <c r="J220" s="15" t="n">
        <v>11</v>
      </c>
      <c r="K220" s="15" t="n">
        <v>8</v>
      </c>
      <c r="L220" s="15" t="n">
        <v>11</v>
      </c>
      <c r="M220" s="15" t="n">
        <v>14</v>
      </c>
      <c r="N220" s="15" t="n">
        <v>16</v>
      </c>
      <c r="O220" s="15" t="n">
        <v>3</v>
      </c>
      <c r="P220" s="15" t="n">
        <v>0</v>
      </c>
      <c r="Q220" s="14">
        <f>IF(COUNT(I220:P220)=0,"",SUM(I220:P220))</f>
        <v/>
      </c>
      <c r="R220" t="inlineStr"/>
    </row>
    <row r="221">
      <c r="A221" t="inlineStr">
        <is>
          <t>대신초등학교</t>
        </is>
      </c>
      <c r="B221" t="inlineStr">
        <is>
          <t>초등학교</t>
        </is>
      </c>
      <c r="C221" t="inlineStr">
        <is>
          <t>공립</t>
        </is>
      </c>
      <c r="D221" t="inlineStr">
        <is>
          <t>서구</t>
        </is>
      </c>
      <c r="E221" t="inlineStr">
        <is>
          <t>부산광역시 서구 대신로 63</t>
        </is>
      </c>
      <c r="F221" s="11" t="inlineStr">
        <is>
          <t>http://daesin.es.kr</t>
        </is>
      </c>
      <c r="G221" t="inlineStr">
        <is>
          <t>051-240-0800</t>
        </is>
      </c>
      <c r="H221" t="inlineStr">
        <is>
          <t>2026</t>
        </is>
      </c>
      <c r="I221" s="15" t="n">
        <v>98</v>
      </c>
      <c r="J221" s="15" t="n">
        <v>115</v>
      </c>
      <c r="K221" s="15" t="n">
        <v>94</v>
      </c>
      <c r="L221" s="15" t="n">
        <v>150</v>
      </c>
      <c r="M221" s="15" t="n">
        <v>119</v>
      </c>
      <c r="N221" s="15" t="n">
        <v>130</v>
      </c>
      <c r="O221" s="15" t="n">
        <v>6</v>
      </c>
      <c r="P221" s="15" t="n">
        <v>0</v>
      </c>
      <c r="Q221" s="14">
        <f>IF(COUNT(I221:P221)=0,"",SUM(I221:P221))</f>
        <v/>
      </c>
      <c r="R221" t="inlineStr"/>
    </row>
    <row r="222">
      <c r="A222" t="inlineStr">
        <is>
          <t>동신초등학교</t>
        </is>
      </c>
      <c r="B222" t="inlineStr">
        <is>
          <t>초등학교</t>
        </is>
      </c>
      <c r="C222" t="inlineStr">
        <is>
          <t>공립</t>
        </is>
      </c>
      <c r="D222" t="inlineStr">
        <is>
          <t>서구</t>
        </is>
      </c>
      <c r="E222" t="inlineStr">
        <is>
          <t>부산광역시 서구 대영로85번길 81-19</t>
        </is>
      </c>
      <c r="F222" s="11" t="inlineStr">
        <is>
          <t>http://www.dongsin.es.kr</t>
        </is>
      </c>
      <c r="G222" t="inlineStr">
        <is>
          <t>051-240-0700</t>
        </is>
      </c>
      <c r="H222" t="inlineStr">
        <is>
          <t>2026</t>
        </is>
      </c>
      <c r="I222" s="15" t="n">
        <v>14</v>
      </c>
      <c r="J222" s="15" t="n">
        <v>28</v>
      </c>
      <c r="K222" s="15" t="n">
        <v>34</v>
      </c>
      <c r="L222" s="15" t="n">
        <v>51</v>
      </c>
      <c r="M222" s="15" t="n">
        <v>42</v>
      </c>
      <c r="N222" s="15" t="n">
        <v>65</v>
      </c>
      <c r="O222" s="15" t="n">
        <v>5</v>
      </c>
      <c r="P222" s="15" t="n">
        <v>0</v>
      </c>
      <c r="Q222" s="14">
        <f>IF(COUNT(I222:P222)=0,"",SUM(I222:P222))</f>
        <v/>
      </c>
      <c r="R222" t="inlineStr"/>
    </row>
    <row r="223">
      <c r="A223" t="inlineStr">
        <is>
          <t>부민초등학교</t>
        </is>
      </c>
      <c r="B223" t="inlineStr">
        <is>
          <t>초등학교</t>
        </is>
      </c>
      <c r="C223" t="inlineStr">
        <is>
          <t>공립</t>
        </is>
      </c>
      <c r="D223" t="inlineStr">
        <is>
          <t>서구</t>
        </is>
      </c>
      <c r="E223" t="inlineStr">
        <is>
          <t>부산광역시 서구 고운들로 12</t>
        </is>
      </c>
      <c r="F223" s="11" t="inlineStr">
        <is>
          <t>http://www.bumin.es.kr/</t>
        </is>
      </c>
      <c r="G223" t="inlineStr">
        <is>
          <t>051-603-2100</t>
        </is>
      </c>
      <c r="H223" t="inlineStr">
        <is>
          <t>2026</t>
        </is>
      </c>
      <c r="I223" s="15" t="n">
        <v>84</v>
      </c>
      <c r="J223" s="15" t="n">
        <v>78</v>
      </c>
      <c r="K223" s="15" t="n">
        <v>85</v>
      </c>
      <c r="L223" s="15" t="n">
        <v>82</v>
      </c>
      <c r="M223" s="15" t="n">
        <v>115</v>
      </c>
      <c r="N223" s="15" t="n">
        <v>104</v>
      </c>
      <c r="O223" s="15" t="n">
        <v>5</v>
      </c>
      <c r="P223" s="15" t="n">
        <v>0</v>
      </c>
      <c r="Q223" s="14">
        <f>IF(COUNT(I223:P223)=0,"",SUM(I223:P223))</f>
        <v/>
      </c>
      <c r="R223" t="inlineStr"/>
    </row>
    <row r="224">
      <c r="A224" t="inlineStr">
        <is>
          <t>부산알로이시오초등학교</t>
        </is>
      </c>
      <c r="B224" t="inlineStr">
        <is>
          <t>초등학교</t>
        </is>
      </c>
      <c r="C224" t="inlineStr">
        <is>
          <t>사립</t>
        </is>
      </c>
      <c r="D224" t="inlineStr">
        <is>
          <t>서구</t>
        </is>
      </c>
      <c r="E224" t="inlineStr">
        <is>
          <t>부산광역시 서구 천해로13번길 16-9</t>
        </is>
      </c>
      <c r="F224" s="11" t="inlineStr">
        <is>
          <t>http://www.aloysius-bs.es.kr</t>
        </is>
      </c>
      <c r="G224" t="inlineStr">
        <is>
          <t>051-231-6580</t>
        </is>
      </c>
      <c r="H224" t="inlineStr">
        <is>
          <t>2026</t>
        </is>
      </c>
      <c r="I224" s="15" t="n">
        <v>2</v>
      </c>
      <c r="J224" s="15" t="n">
        <v>0</v>
      </c>
      <c r="K224" s="15" t="n">
        <v>8</v>
      </c>
      <c r="L224" s="15" t="n">
        <v>9</v>
      </c>
      <c r="M224" s="15" t="n">
        <v>8</v>
      </c>
      <c r="N224" s="15" t="n">
        <v>5</v>
      </c>
      <c r="O224" s="15" t="n">
        <v>3</v>
      </c>
      <c r="P224" s="15" t="n">
        <v>0</v>
      </c>
      <c r="Q224" s="14">
        <f>IF(COUNT(I224:P224)=0,"",SUM(I224:P224))</f>
        <v/>
      </c>
      <c r="R224" t="inlineStr"/>
    </row>
    <row r="225">
      <c r="A225" t="inlineStr">
        <is>
          <t>송도초등학교</t>
        </is>
      </c>
      <c r="B225" t="inlineStr">
        <is>
          <t>초등학교</t>
        </is>
      </c>
      <c r="C225" t="inlineStr">
        <is>
          <t>공립</t>
        </is>
      </c>
      <c r="D225" t="inlineStr">
        <is>
          <t>서구</t>
        </is>
      </c>
      <c r="E225" t="inlineStr">
        <is>
          <t>부산광역시 서구 충무대로 25</t>
        </is>
      </c>
      <c r="F225" s="11" t="inlineStr">
        <is>
          <t>http://songdo.es.kr/</t>
        </is>
      </c>
      <c r="G225" t="inlineStr">
        <is>
          <t>051-250-5700</t>
        </is>
      </c>
      <c r="H225" t="inlineStr">
        <is>
          <t>2026</t>
        </is>
      </c>
      <c r="I225" s="15" t="n">
        <v>77</v>
      </c>
      <c r="J225" s="15" t="n">
        <v>72</v>
      </c>
      <c r="K225" s="15" t="n">
        <v>77</v>
      </c>
      <c r="L225" s="15" t="n">
        <v>92</v>
      </c>
      <c r="M225" s="15" t="n">
        <v>83</v>
      </c>
      <c r="N225" s="15" t="n">
        <v>90</v>
      </c>
      <c r="O225" s="15" t="n">
        <v>11</v>
      </c>
      <c r="P225" s="15" t="n">
        <v>0</v>
      </c>
      <c r="Q225" s="14">
        <f>IF(COUNT(I225:P225)=0,"",SUM(I225:P225))</f>
        <v/>
      </c>
      <c r="R225" t="inlineStr"/>
    </row>
    <row r="226">
      <c r="A226" t="inlineStr">
        <is>
          <t>아미초등학교</t>
        </is>
      </c>
      <c r="B226" t="inlineStr">
        <is>
          <t>초등학교</t>
        </is>
      </c>
      <c r="C226" t="inlineStr">
        <is>
          <t>공립</t>
        </is>
      </c>
      <c r="D226" t="inlineStr">
        <is>
          <t>서구</t>
        </is>
      </c>
      <c r="E226" t="inlineStr">
        <is>
          <t>부산광역시 서구 해돋이로 241</t>
        </is>
      </c>
      <c r="F226" s="11" t="inlineStr">
        <is>
          <t>http://ami.es.kr/</t>
        </is>
      </c>
      <c r="G226" t="inlineStr">
        <is>
          <t>051-240-6001</t>
        </is>
      </c>
      <c r="H226" t="inlineStr">
        <is>
          <t>2026</t>
        </is>
      </c>
      <c r="I226" s="15" t="n">
        <v>0</v>
      </c>
      <c r="J226" s="15" t="n">
        <v>4</v>
      </c>
      <c r="K226" s="15" t="n">
        <v>5</v>
      </c>
      <c r="L226" s="15" t="n">
        <v>2</v>
      </c>
      <c r="M226" s="15" t="n">
        <v>4</v>
      </c>
      <c r="N226" s="15" t="n">
        <v>6</v>
      </c>
      <c r="O226" s="15" t="n">
        <v>3</v>
      </c>
      <c r="P226" s="15" t="n">
        <v>0</v>
      </c>
      <c r="Q226" s="14">
        <f>IF(COUNT(I226:P226)=0,"",SUM(I226:P226))</f>
        <v/>
      </c>
      <c r="R226" t="inlineStr"/>
    </row>
    <row r="227">
      <c r="A227" t="inlineStr">
        <is>
          <t>천마초등학교</t>
        </is>
      </c>
      <c r="B227" t="inlineStr">
        <is>
          <t>초등학교</t>
        </is>
      </c>
      <c r="C227" t="inlineStr">
        <is>
          <t>공립</t>
        </is>
      </c>
      <c r="D227" t="inlineStr">
        <is>
          <t>서구</t>
        </is>
      </c>
      <c r="E227" t="inlineStr">
        <is>
          <t>부산광역시 서구 천해로7번길 38</t>
        </is>
      </c>
      <c r="F227" s="11" t="inlineStr">
        <is>
          <t>http://www.chunma.es.kr</t>
        </is>
      </c>
      <c r="G227" t="inlineStr">
        <is>
          <t>051-250-6701</t>
        </is>
      </c>
      <c r="H227" t="inlineStr">
        <is>
          <t>2026</t>
        </is>
      </c>
      <c r="I227" s="15" t="n">
        <v>3</v>
      </c>
      <c r="J227" s="15" t="n">
        <v>6</v>
      </c>
      <c r="K227" s="15" t="n">
        <v>11</v>
      </c>
      <c r="L227" s="15" t="n">
        <v>20</v>
      </c>
      <c r="M227" s="15" t="n">
        <v>16</v>
      </c>
      <c r="N227" s="15" t="n">
        <v>14</v>
      </c>
      <c r="O227" s="15" t="n">
        <v>6</v>
      </c>
      <c r="P227" s="15" t="n">
        <v>0</v>
      </c>
      <c r="Q227" s="14">
        <f>IF(COUNT(I227:P227)=0,"",SUM(I227:P227))</f>
        <v/>
      </c>
      <c r="R227" t="inlineStr"/>
    </row>
    <row r="228">
      <c r="A228" t="inlineStr">
        <is>
          <t>토성초등학교</t>
        </is>
      </c>
      <c r="B228" t="inlineStr">
        <is>
          <t>초등학교</t>
        </is>
      </c>
      <c r="C228" t="inlineStr">
        <is>
          <t>공립</t>
        </is>
      </c>
      <c r="D228" t="inlineStr">
        <is>
          <t>서구</t>
        </is>
      </c>
      <c r="E228" t="inlineStr">
        <is>
          <t>부산광역시 서구 구덕로134번길 45</t>
        </is>
      </c>
      <c r="F228" s="11" t="inlineStr">
        <is>
          <t>http://toseong.es.kr</t>
        </is>
      </c>
      <c r="G228" t="inlineStr">
        <is>
          <t>051-250-0800</t>
        </is>
      </c>
      <c r="H228" t="inlineStr">
        <is>
          <t>2026</t>
        </is>
      </c>
      <c r="I228" s="15" t="n">
        <v>35</v>
      </c>
      <c r="J228" s="15" t="n">
        <v>33</v>
      </c>
      <c r="K228" s="15" t="n">
        <v>52</v>
      </c>
      <c r="L228" s="15" t="n">
        <v>66</v>
      </c>
      <c r="M228" s="15" t="n">
        <v>90</v>
      </c>
      <c r="N228" s="15" t="n">
        <v>79</v>
      </c>
      <c r="O228" s="15" t="n">
        <v>7</v>
      </c>
      <c r="P228" s="15" t="n">
        <v>0</v>
      </c>
      <c r="Q228" s="14">
        <f>IF(COUNT(I228:P228)=0,"",SUM(I228:P228))</f>
        <v/>
      </c>
      <c r="R228" t="inlineStr"/>
    </row>
    <row r="229">
      <c r="A229" t="inlineStr">
        <is>
          <t>화랑초등학교</t>
        </is>
      </c>
      <c r="B229" t="inlineStr">
        <is>
          <t>초등학교</t>
        </is>
      </c>
      <c r="C229" t="inlineStr">
        <is>
          <t>공립</t>
        </is>
      </c>
      <c r="D229" t="inlineStr">
        <is>
          <t>서구</t>
        </is>
      </c>
      <c r="E229" t="inlineStr">
        <is>
          <t>부산광역시 서구 대영로86번길 56</t>
        </is>
      </c>
      <c r="F229" s="11" t="inlineStr">
        <is>
          <t>http://www.hwarang.es.kr</t>
        </is>
      </c>
      <c r="G229" t="inlineStr">
        <is>
          <t>051-793-7300</t>
        </is>
      </c>
      <c r="H229" t="inlineStr">
        <is>
          <t>2026</t>
        </is>
      </c>
      <c r="I229" s="15" t="n">
        <v>8</v>
      </c>
      <c r="J229" s="15" t="n">
        <v>19</v>
      </c>
      <c r="K229" s="15" t="n">
        <v>25</v>
      </c>
      <c r="L229" s="15" t="n">
        <v>34</v>
      </c>
      <c r="M229" s="15" t="n">
        <v>34</v>
      </c>
      <c r="N229" s="15" t="n">
        <v>26</v>
      </c>
      <c r="O229" s="15" t="n">
        <v>5</v>
      </c>
      <c r="P229" s="15" t="n">
        <v>0</v>
      </c>
      <c r="Q229" s="14">
        <f>IF(COUNT(I229:P229)=0,"",SUM(I229:P229))</f>
        <v/>
      </c>
      <c r="R229" t="inlineStr"/>
    </row>
    <row r="230">
      <c r="A230" t="inlineStr">
        <is>
          <t>광남초등학교</t>
        </is>
      </c>
      <c r="B230" t="inlineStr">
        <is>
          <t>초등학교</t>
        </is>
      </c>
      <c r="C230" t="inlineStr">
        <is>
          <t>공립</t>
        </is>
      </c>
      <c r="D230" t="inlineStr">
        <is>
          <t>수영구</t>
        </is>
      </c>
      <c r="E230" t="inlineStr">
        <is>
          <t>부산광역시 수영구 광안해변로 115</t>
        </is>
      </c>
      <c r="F230" s="11" t="inlineStr">
        <is>
          <t>http://gwangnam.es.kr/</t>
        </is>
      </c>
      <c r="G230" t="inlineStr">
        <is>
          <t>051-610-6600</t>
        </is>
      </c>
      <c r="H230" t="inlineStr">
        <is>
          <t>2026</t>
        </is>
      </c>
      <c r="I230" s="15" t="n">
        <v>78</v>
      </c>
      <c r="J230" s="15" t="n">
        <v>59</v>
      </c>
      <c r="K230" s="15" t="n">
        <v>99</v>
      </c>
      <c r="L230" s="15" t="n">
        <v>78</v>
      </c>
      <c r="M230" s="15" t="n">
        <v>119</v>
      </c>
      <c r="N230" s="15" t="n">
        <v>106</v>
      </c>
      <c r="O230" s="15" t="n">
        <v>5</v>
      </c>
      <c r="P230" s="15" t="n">
        <v>0</v>
      </c>
      <c r="Q230" s="14">
        <f>IF(COUNT(I230:P230)=0,"",SUM(I230:P230))</f>
        <v/>
      </c>
      <c r="R230" t="inlineStr"/>
    </row>
    <row r="231">
      <c r="A231" t="inlineStr">
        <is>
          <t>광안초등학교</t>
        </is>
      </c>
      <c r="B231" t="inlineStr">
        <is>
          <t>초등학교</t>
        </is>
      </c>
      <c r="C231" t="inlineStr">
        <is>
          <t>공립</t>
        </is>
      </c>
      <c r="D231" t="inlineStr">
        <is>
          <t>수영구</t>
        </is>
      </c>
      <c r="E231" t="inlineStr">
        <is>
          <t>부산광역시 수영구 광안로35번길 42</t>
        </is>
      </c>
      <c r="F231" s="11" t="inlineStr">
        <is>
          <t>http://www.kwangan.es.kr</t>
        </is>
      </c>
      <c r="G231" t="inlineStr">
        <is>
          <t>051-790-2200</t>
        </is>
      </c>
      <c r="H231" t="inlineStr">
        <is>
          <t>2026</t>
        </is>
      </c>
      <c r="I231" s="15" t="n">
        <v>85</v>
      </c>
      <c r="J231" s="15" t="n">
        <v>71</v>
      </c>
      <c r="K231" s="15" t="n">
        <v>95</v>
      </c>
      <c r="L231" s="15" t="n">
        <v>109</v>
      </c>
      <c r="M231" s="15" t="n">
        <v>122</v>
      </c>
      <c r="N231" s="15" t="n">
        <v>115</v>
      </c>
      <c r="O231" s="15" t="n">
        <v>13</v>
      </c>
      <c r="P231" s="15" t="n">
        <v>0</v>
      </c>
      <c r="Q231" s="14">
        <f>IF(COUNT(I231:P231)=0,"",SUM(I231:P231))</f>
        <v/>
      </c>
      <c r="R231" t="inlineStr"/>
    </row>
    <row r="232">
      <c r="A232" t="inlineStr">
        <is>
          <t>남천초등학교</t>
        </is>
      </c>
      <c r="B232" t="inlineStr">
        <is>
          <t>초등학교</t>
        </is>
      </c>
      <c r="C232" t="inlineStr">
        <is>
          <t>공립</t>
        </is>
      </c>
      <c r="D232" t="inlineStr">
        <is>
          <t>수영구</t>
        </is>
      </c>
      <c r="E232" t="inlineStr">
        <is>
          <t>부산광역시 수영구 남천서로 14</t>
        </is>
      </c>
      <c r="F232" s="11" t="inlineStr">
        <is>
          <t>http://www.namcheon.es.kr</t>
        </is>
      </c>
      <c r="G232" t="inlineStr">
        <is>
          <t>051-610-3702</t>
        </is>
      </c>
      <c r="H232" t="inlineStr">
        <is>
          <t>2026</t>
        </is>
      </c>
      <c r="I232" s="15" t="n">
        <v>156</v>
      </c>
      <c r="J232" s="15" t="n">
        <v>136</v>
      </c>
      <c r="K232" s="15" t="n">
        <v>154</v>
      </c>
      <c r="L232" s="15" t="n">
        <v>161</v>
      </c>
      <c r="M232" s="15" t="n">
        <v>175</v>
      </c>
      <c r="N232" s="15" t="n">
        <v>161</v>
      </c>
      <c r="O232" s="15" t="n">
        <v>11</v>
      </c>
      <c r="P232" s="15" t="n">
        <v>0</v>
      </c>
      <c r="Q232" s="14">
        <f>IF(COUNT(I232:P232)=0,"",SUM(I232:P232))</f>
        <v/>
      </c>
      <c r="R232" t="inlineStr"/>
    </row>
    <row r="233">
      <c r="A233" t="inlineStr">
        <is>
          <t>망미초등학교</t>
        </is>
      </c>
      <c r="B233" t="inlineStr">
        <is>
          <t>초등학교</t>
        </is>
      </c>
      <c r="C233" t="inlineStr">
        <is>
          <t>공립</t>
        </is>
      </c>
      <c r="D233" t="inlineStr">
        <is>
          <t>수영구</t>
        </is>
      </c>
      <c r="E233" t="inlineStr">
        <is>
          <t>부산광역시 수영구 수미로35번길 27</t>
        </is>
      </c>
      <c r="F233" s="11" t="inlineStr">
        <is>
          <t>http://school.busanedu.net/mangmi-e</t>
        </is>
      </c>
      <c r="G233" t="inlineStr">
        <is>
          <t>051-7965-501</t>
        </is>
      </c>
      <c r="H233" t="inlineStr">
        <is>
          <t>2026</t>
        </is>
      </c>
      <c r="I233" s="15" t="n">
        <v>49</v>
      </c>
      <c r="J233" s="15" t="n">
        <v>55</v>
      </c>
      <c r="K233" s="15" t="n">
        <v>45</v>
      </c>
      <c r="L233" s="15" t="n">
        <v>56</v>
      </c>
      <c r="M233" s="15" t="n">
        <v>76</v>
      </c>
      <c r="N233" s="15" t="n">
        <v>73</v>
      </c>
      <c r="O233" s="15" t="n">
        <v>7</v>
      </c>
      <c r="P233" s="15" t="n">
        <v>0</v>
      </c>
      <c r="Q233" s="14">
        <f>IF(COUNT(I233:P233)=0,"",SUM(I233:P233))</f>
        <v/>
      </c>
      <c r="R233" t="inlineStr"/>
    </row>
    <row r="234">
      <c r="A234" t="inlineStr">
        <is>
          <t>민락초등학교</t>
        </is>
      </c>
      <c r="B234" t="inlineStr">
        <is>
          <t>초등학교</t>
        </is>
      </c>
      <c r="C234" t="inlineStr">
        <is>
          <t>공립</t>
        </is>
      </c>
      <c r="D234" t="inlineStr">
        <is>
          <t>수영구</t>
        </is>
      </c>
      <c r="E234" t="inlineStr">
        <is>
          <t>부산광역시 수영구 광남로257번길 12</t>
        </is>
      </c>
      <c r="F234" s="11" t="inlineStr">
        <is>
          <t>http://minlak.es.kr</t>
        </is>
      </c>
      <c r="G234" t="inlineStr">
        <is>
          <t>051-752-8694</t>
        </is>
      </c>
      <c r="H234" t="inlineStr">
        <is>
          <t>2026</t>
        </is>
      </c>
      <c r="I234" s="15" t="n">
        <v>65</v>
      </c>
      <c r="J234" s="15" t="n">
        <v>84</v>
      </c>
      <c r="K234" s="15" t="n">
        <v>96</v>
      </c>
      <c r="L234" s="15" t="n">
        <v>102</v>
      </c>
      <c r="M234" s="15" t="n">
        <v>102</v>
      </c>
      <c r="N234" s="15" t="n">
        <v>113</v>
      </c>
      <c r="O234" s="15" t="n">
        <v>7</v>
      </c>
      <c r="P234" s="15" t="n">
        <v>0</v>
      </c>
      <c r="Q234" s="14">
        <f>IF(COUNT(I234:P234)=0,"",SUM(I234:P234))</f>
        <v/>
      </c>
      <c r="R234" t="inlineStr"/>
    </row>
    <row r="235">
      <c r="A235" t="inlineStr">
        <is>
          <t>민안초등학교</t>
        </is>
      </c>
      <c r="B235" t="inlineStr">
        <is>
          <t>초등학교</t>
        </is>
      </c>
      <c r="C235" t="inlineStr">
        <is>
          <t>공립</t>
        </is>
      </c>
      <c r="D235" t="inlineStr">
        <is>
          <t>수영구</t>
        </is>
      </c>
      <c r="E235" t="inlineStr">
        <is>
          <t>부산광역시 수영구 감포로38번길 33</t>
        </is>
      </c>
      <c r="F235" s="11" t="inlineStr">
        <is>
          <t>http://minan.es.kr</t>
        </is>
      </c>
      <c r="G235" t="inlineStr">
        <is>
          <t>051-751-3931</t>
        </is>
      </c>
      <c r="H235" t="inlineStr">
        <is>
          <t>2026</t>
        </is>
      </c>
      <c r="I235" s="15" t="n">
        <v>48</v>
      </c>
      <c r="J235" s="15" t="n">
        <v>68</v>
      </c>
      <c r="K235" s="15" t="n">
        <v>57</v>
      </c>
      <c r="L235" s="15" t="n">
        <v>67</v>
      </c>
      <c r="M235" s="15" t="n">
        <v>73</v>
      </c>
      <c r="N235" s="15" t="n">
        <v>56</v>
      </c>
      <c r="O235" s="15" t="n">
        <v>7</v>
      </c>
      <c r="P235" s="15" t="n">
        <v>0</v>
      </c>
      <c r="Q235" s="14">
        <f>IF(COUNT(I235:P235)=0,"",SUM(I235:P235))</f>
        <v/>
      </c>
      <c r="R235" t="inlineStr"/>
    </row>
    <row r="236">
      <c r="A236" t="inlineStr">
        <is>
          <t>배산초등학교</t>
        </is>
      </c>
      <c r="B236" t="inlineStr">
        <is>
          <t>초등학교</t>
        </is>
      </c>
      <c r="C236" t="inlineStr">
        <is>
          <t>공립</t>
        </is>
      </c>
      <c r="D236" t="inlineStr">
        <is>
          <t>수영구</t>
        </is>
      </c>
      <c r="E236" t="inlineStr">
        <is>
          <t>부산광역시 수영구 망미배산로48번길 85-15</t>
        </is>
      </c>
      <c r="F236" s="11" t="inlineStr">
        <is>
          <t>http://www.baesan.es.kr</t>
        </is>
      </c>
      <c r="G236" t="inlineStr">
        <is>
          <t>051-754-5930</t>
        </is>
      </c>
      <c r="H236" t="inlineStr">
        <is>
          <t>2026</t>
        </is>
      </c>
      <c r="I236" s="15" t="n">
        <v>49</v>
      </c>
      <c r="J236" s="15" t="n">
        <v>76</v>
      </c>
      <c r="K236" s="15" t="n">
        <v>65</v>
      </c>
      <c r="L236" s="15" t="n">
        <v>85</v>
      </c>
      <c r="M236" s="15" t="n">
        <v>96</v>
      </c>
      <c r="N236" s="15" t="n">
        <v>92</v>
      </c>
      <c r="O236" s="15" t="n">
        <v>9</v>
      </c>
      <c r="P236" s="15" t="n">
        <v>0</v>
      </c>
      <c r="Q236" s="14">
        <f>IF(COUNT(I236:P236)=0,"",SUM(I236:P236))</f>
        <v/>
      </c>
      <c r="R236" t="inlineStr"/>
    </row>
    <row r="237">
      <c r="A237" t="inlineStr">
        <is>
          <t>수미초등학교</t>
        </is>
      </c>
      <c r="B237" t="inlineStr">
        <is>
          <t>초등학교</t>
        </is>
      </c>
      <c r="C237" t="inlineStr">
        <is>
          <t>공립</t>
        </is>
      </c>
      <c r="D237" t="inlineStr">
        <is>
          <t>수영구</t>
        </is>
      </c>
      <c r="E237" t="inlineStr">
        <is>
          <t>부산광역시 수영구 연수로310번길 91</t>
        </is>
      </c>
      <c r="F237" s="11" t="inlineStr">
        <is>
          <t>http://www.sumi.es.kr/</t>
        </is>
      </c>
      <c r="G237" t="inlineStr">
        <is>
          <t>051-791-4700</t>
        </is>
      </c>
      <c r="H237" t="inlineStr">
        <is>
          <t>2026</t>
        </is>
      </c>
      <c r="I237" s="15" t="n">
        <v>42</v>
      </c>
      <c r="J237" s="15" t="n">
        <v>30</v>
      </c>
      <c r="K237" s="15" t="n">
        <v>45</v>
      </c>
      <c r="L237" s="15" t="n">
        <v>81</v>
      </c>
      <c r="M237" s="15" t="n">
        <v>76</v>
      </c>
      <c r="N237" s="15" t="n">
        <v>73</v>
      </c>
      <c r="O237" s="15" t="n">
        <v>10</v>
      </c>
      <c r="P237" s="15" t="n">
        <v>0</v>
      </c>
      <c r="Q237" s="14">
        <f>IF(COUNT(I237:P237)=0,"",SUM(I237:P237))</f>
        <v/>
      </c>
      <c r="R237" t="inlineStr"/>
    </row>
    <row r="238">
      <c r="A238" t="inlineStr">
        <is>
          <t>수영초등학교</t>
        </is>
      </c>
      <c r="B238" t="inlineStr">
        <is>
          <t>초등학교</t>
        </is>
      </c>
      <c r="C238" t="inlineStr">
        <is>
          <t>공립</t>
        </is>
      </c>
      <c r="D238" t="inlineStr">
        <is>
          <t>수영구</t>
        </is>
      </c>
      <c r="E238" t="inlineStr">
        <is>
          <t>부산광역시 수영구 광서로16번길 33</t>
        </is>
      </c>
      <c r="F238" s="11" t="inlineStr">
        <is>
          <t>http://suyoung.es.kr/</t>
        </is>
      </c>
      <c r="G238" t="inlineStr">
        <is>
          <t>051-792-2500</t>
        </is>
      </c>
      <c r="H238" t="inlineStr">
        <is>
          <t>2026</t>
        </is>
      </c>
      <c r="I238" s="15" t="n">
        <v>64</v>
      </c>
      <c r="J238" s="15" t="n">
        <v>67</v>
      </c>
      <c r="K238" s="15" t="n">
        <v>83</v>
      </c>
      <c r="L238" s="15" t="n">
        <v>123</v>
      </c>
      <c r="M238" s="15" t="n">
        <v>123</v>
      </c>
      <c r="N238" s="15" t="n">
        <v>129</v>
      </c>
      <c r="O238" s="15" t="n">
        <v>12</v>
      </c>
      <c r="P238" s="15" t="n">
        <v>0</v>
      </c>
      <c r="Q238" s="14">
        <f>IF(COUNT(I238:P238)=0,"",SUM(I238:P238))</f>
        <v/>
      </c>
      <c r="R238" t="inlineStr"/>
    </row>
    <row r="239">
      <c r="A239" t="inlineStr">
        <is>
          <t>호암초등학교</t>
        </is>
      </c>
      <c r="B239" t="inlineStr">
        <is>
          <t>초등학교</t>
        </is>
      </c>
      <c r="C239" t="inlineStr">
        <is>
          <t>공립</t>
        </is>
      </c>
      <c r="D239" t="inlineStr">
        <is>
          <t>수영구</t>
        </is>
      </c>
      <c r="E239" t="inlineStr">
        <is>
          <t>부산광역시 수영구 호암로 57</t>
        </is>
      </c>
      <c r="F239" s="11" t="inlineStr">
        <is>
          <t>http://www.hoam.es.kr</t>
        </is>
      </c>
      <c r="G239" t="inlineStr">
        <is>
          <t>051-712-3600</t>
        </is>
      </c>
      <c r="H239" t="inlineStr">
        <is>
          <t>2026</t>
        </is>
      </c>
      <c r="I239" s="15" t="n">
        <v>68</v>
      </c>
      <c r="J239" s="15" t="n">
        <v>64</v>
      </c>
      <c r="K239" s="15" t="n">
        <v>76</v>
      </c>
      <c r="L239" s="15" t="n">
        <v>83</v>
      </c>
      <c r="M239" s="15" t="n">
        <v>89</v>
      </c>
      <c r="N239" s="15" t="n">
        <v>85</v>
      </c>
      <c r="O239" s="15" t="n">
        <v>7</v>
      </c>
      <c r="P239" s="15" t="n">
        <v>0</v>
      </c>
      <c r="Q239" s="14">
        <f>IF(COUNT(I239:P239)=0,"",SUM(I239:P239))</f>
        <v/>
      </c>
      <c r="R239" t="inlineStr"/>
    </row>
    <row r="240">
      <c r="A240" t="inlineStr">
        <is>
          <t>거제초등학교</t>
        </is>
      </c>
      <c r="B240" t="inlineStr">
        <is>
          <t>초등학교</t>
        </is>
      </c>
      <c r="C240" t="inlineStr">
        <is>
          <t>공립</t>
        </is>
      </c>
      <c r="D240" t="inlineStr">
        <is>
          <t>연제구</t>
        </is>
      </c>
      <c r="E240" t="inlineStr">
        <is>
          <t>부산광역시 연제구 해맞이로 39</t>
        </is>
      </c>
      <c r="F240" s="11" t="inlineStr">
        <is>
          <t>http://www.gue-je.es.kr</t>
        </is>
      </c>
      <c r="G240" t="inlineStr">
        <is>
          <t>051-506-0371</t>
        </is>
      </c>
      <c r="H240" t="inlineStr">
        <is>
          <t>2026</t>
        </is>
      </c>
      <c r="I240" s="15" t="n">
        <v>137</v>
      </c>
      <c r="J240" s="15" t="n">
        <v>149</v>
      </c>
      <c r="K240" s="15" t="n">
        <v>150</v>
      </c>
      <c r="L240" s="15" t="n">
        <v>142</v>
      </c>
      <c r="M240" s="15" t="n">
        <v>143</v>
      </c>
      <c r="N240" s="15" t="n">
        <v>120</v>
      </c>
      <c r="O240" s="15" t="n">
        <v>7</v>
      </c>
      <c r="P240" s="15" t="n">
        <v>0</v>
      </c>
      <c r="Q240" s="14">
        <f>IF(COUNT(I240:P240)=0,"",SUM(I240:P240))</f>
        <v/>
      </c>
      <c r="R240" t="inlineStr"/>
    </row>
    <row r="241">
      <c r="A241" t="inlineStr">
        <is>
          <t>거학초등학교</t>
        </is>
      </c>
      <c r="B241" t="inlineStr">
        <is>
          <t>초등학교</t>
        </is>
      </c>
      <c r="C241" t="inlineStr">
        <is>
          <t>공립</t>
        </is>
      </c>
      <c r="D241" t="inlineStr">
        <is>
          <t>연제구</t>
        </is>
      </c>
      <c r="E241" t="inlineStr">
        <is>
          <t>부산광역시 연제구 교대로24번길 36</t>
        </is>
      </c>
      <c r="F241" s="11" t="inlineStr">
        <is>
          <t>http://www.geohak.es.kr</t>
        </is>
      </c>
      <c r="G241" t="inlineStr">
        <is>
          <t>051-502-4249</t>
        </is>
      </c>
      <c r="H241" t="inlineStr">
        <is>
          <t>2026</t>
        </is>
      </c>
      <c r="I241" s="15" t="n">
        <v>54</v>
      </c>
      <c r="J241" s="15" t="n">
        <v>56</v>
      </c>
      <c r="K241" s="15" t="n">
        <v>68</v>
      </c>
      <c r="L241" s="15" t="n">
        <v>98</v>
      </c>
      <c r="M241" s="15" t="n">
        <v>100</v>
      </c>
      <c r="N241" s="15" t="n">
        <v>103</v>
      </c>
      <c r="O241" s="15" t="n">
        <v>6</v>
      </c>
      <c r="P241" s="15" t="n">
        <v>0</v>
      </c>
      <c r="Q241" s="14">
        <f>IF(COUNT(I241:P241)=0,"",SUM(I241:P241))</f>
        <v/>
      </c>
      <c r="R241" t="inlineStr"/>
    </row>
    <row r="242">
      <c r="A242" t="inlineStr">
        <is>
          <t>과정초등학교</t>
        </is>
      </c>
      <c r="B242" t="inlineStr">
        <is>
          <t>초등학교</t>
        </is>
      </c>
      <c r="C242" t="inlineStr">
        <is>
          <t>공립</t>
        </is>
      </c>
      <c r="D242" t="inlineStr">
        <is>
          <t>연제구</t>
        </is>
      </c>
      <c r="E242" t="inlineStr">
        <is>
          <t>부산광역시 연제구 과정로164번길 37</t>
        </is>
      </c>
      <c r="F242" s="11" t="inlineStr">
        <is>
          <t>http://www.kwajung.es.kr</t>
        </is>
      </c>
      <c r="G242" t="inlineStr">
        <is>
          <t>051-750-0500</t>
        </is>
      </c>
      <c r="H242" t="inlineStr">
        <is>
          <t>2026</t>
        </is>
      </c>
      <c r="I242" s="15" t="n">
        <v>51</v>
      </c>
      <c r="J242" s="15" t="n">
        <v>40</v>
      </c>
      <c r="K242" s="15" t="n">
        <v>57</v>
      </c>
      <c r="L242" s="15" t="n">
        <v>81</v>
      </c>
      <c r="M242" s="15" t="n">
        <v>73</v>
      </c>
      <c r="N242" s="15" t="n">
        <v>84</v>
      </c>
      <c r="O242" s="15" t="n">
        <v>6</v>
      </c>
      <c r="P242" s="15" t="n">
        <v>0</v>
      </c>
      <c r="Q242" s="14">
        <f>IF(COUNT(I242:P242)=0,"",SUM(I242:P242))</f>
        <v/>
      </c>
      <c r="R242" t="inlineStr"/>
    </row>
    <row r="243">
      <c r="A243" t="inlineStr">
        <is>
          <t>남문초등학교</t>
        </is>
      </c>
      <c r="B243" t="inlineStr">
        <is>
          <t>초등학교</t>
        </is>
      </c>
      <c r="C243" t="inlineStr">
        <is>
          <t>공립</t>
        </is>
      </c>
      <c r="D243" t="inlineStr">
        <is>
          <t>연제구</t>
        </is>
      </c>
      <c r="E243" t="inlineStr">
        <is>
          <t>부산광역시 연제구 법원북로 23</t>
        </is>
      </c>
      <c r="F243" s="11" t="inlineStr">
        <is>
          <t>http://nammun.es.kr</t>
        </is>
      </c>
      <c r="G243" t="inlineStr">
        <is>
          <t>051-507-0521</t>
        </is>
      </c>
      <c r="H243" t="inlineStr">
        <is>
          <t>2026</t>
        </is>
      </c>
      <c r="I243" s="15" t="n">
        <v>109</v>
      </c>
      <c r="J243" s="15" t="n">
        <v>149</v>
      </c>
      <c r="K243" s="15" t="n">
        <v>124</v>
      </c>
      <c r="L243" s="15" t="n">
        <v>193</v>
      </c>
      <c r="M243" s="15" t="n">
        <v>228</v>
      </c>
      <c r="N243" s="15" t="n">
        <v>196</v>
      </c>
      <c r="O243" s="15" t="n">
        <v>6</v>
      </c>
      <c r="P243" s="15" t="n">
        <v>0</v>
      </c>
      <c r="Q243" s="14">
        <f>IF(COUNT(I243:P243)=0,"",SUM(I243:P243))</f>
        <v/>
      </c>
      <c r="R243" t="inlineStr"/>
    </row>
    <row r="244">
      <c r="A244" t="inlineStr">
        <is>
          <t>동명초등학교</t>
        </is>
      </c>
      <c r="B244" t="inlineStr">
        <is>
          <t>초등학교</t>
        </is>
      </c>
      <c r="C244" t="inlineStr">
        <is>
          <t>공립</t>
        </is>
      </c>
      <c r="D244" t="inlineStr">
        <is>
          <t>연제구</t>
        </is>
      </c>
      <c r="E244" t="inlineStr">
        <is>
          <t>부산광역시 연제구 쌍미천로44번길 17</t>
        </is>
      </c>
      <c r="F244" s="11" t="inlineStr">
        <is>
          <t>http://www.dongmyung.es.kr</t>
        </is>
      </c>
      <c r="G244" t="inlineStr">
        <is>
          <t>051-863-2965</t>
        </is>
      </c>
      <c r="H244" t="inlineStr">
        <is>
          <t>2026</t>
        </is>
      </c>
      <c r="I244" s="15" t="n">
        <v>19</v>
      </c>
      <c r="J244" s="15" t="n">
        <v>14</v>
      </c>
      <c r="K244" s="15" t="n">
        <v>18</v>
      </c>
      <c r="L244" s="15" t="n">
        <v>27</v>
      </c>
      <c r="M244" s="15" t="n">
        <v>25</v>
      </c>
      <c r="N244" s="15" t="n">
        <v>34</v>
      </c>
      <c r="O244" s="15" t="n">
        <v>9</v>
      </c>
      <c r="P244" s="15" t="n">
        <v>0</v>
      </c>
      <c r="Q244" s="14">
        <f>IF(COUNT(I244:P244)=0,"",SUM(I244:P244))</f>
        <v/>
      </c>
      <c r="R244" t="inlineStr"/>
    </row>
    <row r="245">
      <c r="A245" t="inlineStr">
        <is>
          <t>부산교육대학교부설초등학교</t>
        </is>
      </c>
      <c r="B245" t="inlineStr">
        <is>
          <t>초등학교</t>
        </is>
      </c>
      <c r="C245" t="inlineStr">
        <is>
          <t>국립</t>
        </is>
      </c>
      <c r="D245" t="inlineStr">
        <is>
          <t>연제구</t>
        </is>
      </c>
      <c r="E245" t="inlineStr">
        <is>
          <t>부산광역시 연제구 교대로 24</t>
        </is>
      </c>
      <c r="F245" s="11" t="inlineStr">
        <is>
          <t>http://es.bnue.ac.kr</t>
        </is>
      </c>
      <c r="G245" t="inlineStr">
        <is>
          <t>051-550-2800</t>
        </is>
      </c>
      <c r="H245" t="inlineStr">
        <is>
          <t>2026</t>
        </is>
      </c>
      <c r="I245" s="15" t="n">
        <v>79</v>
      </c>
      <c r="J245" s="15" t="n">
        <v>79</v>
      </c>
      <c r="K245" s="15" t="n">
        <v>79</v>
      </c>
      <c r="L245" s="15" t="n">
        <v>95</v>
      </c>
      <c r="M245" s="15" t="n">
        <v>96</v>
      </c>
      <c r="N245" s="15" t="n">
        <v>95</v>
      </c>
      <c r="O245" s="15" t="n">
        <v>5</v>
      </c>
      <c r="P245" s="15" t="n">
        <v>0</v>
      </c>
      <c r="Q245" s="14">
        <f>IF(COUNT(I245:P245)=0,"",SUM(I245:P245))</f>
        <v/>
      </c>
      <c r="R245" t="inlineStr"/>
    </row>
    <row r="246">
      <c r="A246" t="inlineStr">
        <is>
          <t>연동초등학교</t>
        </is>
      </c>
      <c r="B246" t="inlineStr">
        <is>
          <t>초등학교</t>
        </is>
      </c>
      <c r="C246" t="inlineStr">
        <is>
          <t>공립</t>
        </is>
      </c>
      <c r="D246" t="inlineStr">
        <is>
          <t>연제구</t>
        </is>
      </c>
      <c r="E246" t="inlineStr">
        <is>
          <t>부산광역시 연제구 고분로56번길 40</t>
        </is>
      </c>
      <c r="F246" s="11" t="inlineStr">
        <is>
          <t>http://yondong.es.kr</t>
        </is>
      </c>
      <c r="G246" t="inlineStr">
        <is>
          <t>051-853-7172</t>
        </is>
      </c>
      <c r="H246" t="inlineStr">
        <is>
          <t>2026</t>
        </is>
      </c>
      <c r="I246" s="15" t="n">
        <v>65</v>
      </c>
      <c r="J246" s="15" t="n">
        <v>71</v>
      </c>
      <c r="K246" s="15" t="n">
        <v>80</v>
      </c>
      <c r="L246" s="15" t="n">
        <v>83</v>
      </c>
      <c r="M246" s="15" t="n">
        <v>110</v>
      </c>
      <c r="N246" s="15" t="n">
        <v>80</v>
      </c>
      <c r="O246" s="15" t="n">
        <v>6</v>
      </c>
      <c r="P246" s="15" t="n">
        <v>0</v>
      </c>
      <c r="Q246" s="14">
        <f>IF(COUNT(I246:P246)=0,"",SUM(I246:P246))</f>
        <v/>
      </c>
      <c r="R246" t="inlineStr"/>
    </row>
    <row r="247">
      <c r="A247" t="inlineStr">
        <is>
          <t>연미초등학교</t>
        </is>
      </c>
      <c r="B247" t="inlineStr">
        <is>
          <t>초등학교</t>
        </is>
      </c>
      <c r="C247" t="inlineStr">
        <is>
          <t>공립</t>
        </is>
      </c>
      <c r="D247" t="inlineStr">
        <is>
          <t>연제구</t>
        </is>
      </c>
      <c r="E247" t="inlineStr">
        <is>
          <t>부산광역시 연제구 금련로38번길 84</t>
        </is>
      </c>
      <c r="F247" s="11" t="inlineStr">
        <is>
          <t>http://www.yeunmi.es.kr</t>
        </is>
      </c>
      <c r="G247" t="inlineStr">
        <is>
          <t>051-860-8300</t>
        </is>
      </c>
      <c r="H247" t="inlineStr">
        <is>
          <t>2026</t>
        </is>
      </c>
      <c r="I247" s="15" t="n">
        <v>61</v>
      </c>
      <c r="J247" s="15" t="n">
        <v>69</v>
      </c>
      <c r="K247" s="15" t="n">
        <v>43</v>
      </c>
      <c r="L247" s="15" t="n">
        <v>54</v>
      </c>
      <c r="M247" s="15" t="n">
        <v>48</v>
      </c>
      <c r="N247" s="15" t="n">
        <v>40</v>
      </c>
      <c r="O247" s="15" t="n">
        <v>6</v>
      </c>
      <c r="P247" s="15" t="n">
        <v>0</v>
      </c>
      <c r="Q247" s="14">
        <f>IF(COUNT(I247:P247)=0,"",SUM(I247:P247))</f>
        <v/>
      </c>
      <c r="R247" t="inlineStr"/>
    </row>
    <row r="248">
      <c r="A248" t="inlineStr">
        <is>
          <t>연산초등학교</t>
        </is>
      </c>
      <c r="B248" t="inlineStr">
        <is>
          <t>초등학교</t>
        </is>
      </c>
      <c r="C248" t="inlineStr">
        <is>
          <t>공립</t>
        </is>
      </c>
      <c r="D248" t="inlineStr">
        <is>
          <t>연제구</t>
        </is>
      </c>
      <c r="E248" t="inlineStr">
        <is>
          <t>부산광역시 연제구 월드컵대로 41</t>
        </is>
      </c>
      <c r="F248" s="11" t="inlineStr">
        <is>
          <t>http://www.yonsan.es.kr</t>
        </is>
      </c>
      <c r="G248" t="inlineStr">
        <is>
          <t>051-850-1901</t>
        </is>
      </c>
      <c r="H248" t="inlineStr">
        <is>
          <t>2026</t>
        </is>
      </c>
      <c r="I248" s="15" t="n">
        <v>98</v>
      </c>
      <c r="J248" s="15" t="n">
        <v>110</v>
      </c>
      <c r="K248" s="15" t="n">
        <v>115</v>
      </c>
      <c r="L248" s="15" t="n">
        <v>145</v>
      </c>
      <c r="M248" s="15" t="n">
        <v>131</v>
      </c>
      <c r="N248" s="15" t="n">
        <v>114</v>
      </c>
      <c r="O248" s="15" t="n">
        <v>14</v>
      </c>
      <c r="P248" s="15" t="n">
        <v>0</v>
      </c>
      <c r="Q248" s="14">
        <f>IF(COUNT(I248:P248)=0,"",SUM(I248:P248))</f>
        <v/>
      </c>
      <c r="R248" t="inlineStr"/>
    </row>
    <row r="249">
      <c r="A249" t="inlineStr">
        <is>
          <t>연서초등학교</t>
        </is>
      </c>
      <c r="B249" t="inlineStr">
        <is>
          <t>초등학교</t>
        </is>
      </c>
      <c r="C249" t="inlineStr">
        <is>
          <t>공립</t>
        </is>
      </c>
      <c r="D249" t="inlineStr">
        <is>
          <t>연제구</t>
        </is>
      </c>
      <c r="E249" t="inlineStr">
        <is>
          <t>부산광역시 연제구 거제천로270번길 30</t>
        </is>
      </c>
      <c r="F249" s="11" t="inlineStr">
        <is>
          <t>http://school.busanedu.net/yeonseo-e/main.do</t>
        </is>
      </c>
      <c r="G249" t="inlineStr">
        <is>
          <t>051-7905-400</t>
        </is>
      </c>
      <c r="H249" t="inlineStr">
        <is>
          <t>2026</t>
        </is>
      </c>
      <c r="I249" s="15" t="n">
        <v>76</v>
      </c>
      <c r="J249" s="15" t="n">
        <v>70</v>
      </c>
      <c r="K249" s="15" t="n">
        <v>82</v>
      </c>
      <c r="L249" s="15" t="n">
        <v>102</v>
      </c>
      <c r="M249" s="15" t="n">
        <v>101</v>
      </c>
      <c r="N249" s="15" t="n">
        <v>127</v>
      </c>
      <c r="O249" s="15" t="n">
        <v>6</v>
      </c>
      <c r="P249" s="15" t="n">
        <v>0</v>
      </c>
      <c r="Q249" s="14">
        <f>IF(COUNT(I249:P249)=0,"",SUM(I249:P249))</f>
        <v/>
      </c>
      <c r="R249" t="inlineStr"/>
    </row>
    <row r="250">
      <c r="A250" t="inlineStr">
        <is>
          <t>연신초등학교</t>
        </is>
      </c>
      <c r="B250" t="inlineStr">
        <is>
          <t>초등학교</t>
        </is>
      </c>
      <c r="C250" t="inlineStr">
        <is>
          <t>공립</t>
        </is>
      </c>
      <c r="D250" t="inlineStr">
        <is>
          <t>연제구</t>
        </is>
      </c>
      <c r="E250" t="inlineStr">
        <is>
          <t>부산광역시 연제구 신금로23번길 30</t>
        </is>
      </c>
      <c r="F250" s="11" t="inlineStr">
        <is>
          <t>http://www.yonsin.es.kr</t>
        </is>
      </c>
      <c r="G250" t="inlineStr">
        <is>
          <t>051-790-6700</t>
        </is>
      </c>
      <c r="H250" t="inlineStr">
        <is>
          <t>2026</t>
        </is>
      </c>
      <c r="I250" s="15" t="n">
        <v>74</v>
      </c>
      <c r="J250" s="15" t="n">
        <v>83</v>
      </c>
      <c r="K250" s="15" t="n">
        <v>84</v>
      </c>
      <c r="L250" s="15" t="n">
        <v>112</v>
      </c>
      <c r="M250" s="15" t="n">
        <v>90</v>
      </c>
      <c r="N250" s="15" t="n">
        <v>107</v>
      </c>
      <c r="O250" s="15" t="n">
        <v>3</v>
      </c>
      <c r="P250" s="15" t="n">
        <v>0</v>
      </c>
      <c r="Q250" s="14">
        <f>IF(COUNT(I250:P250)=0,"",SUM(I250:P250))</f>
        <v/>
      </c>
      <c r="R250" t="inlineStr"/>
    </row>
    <row r="251">
      <c r="A251" t="inlineStr">
        <is>
          <t>연일초등학교</t>
        </is>
      </c>
      <c r="B251" t="inlineStr">
        <is>
          <t>초등학교</t>
        </is>
      </c>
      <c r="C251" t="inlineStr">
        <is>
          <t>공립</t>
        </is>
      </c>
      <c r="D251" t="inlineStr">
        <is>
          <t>연제구</t>
        </is>
      </c>
      <c r="E251" t="inlineStr">
        <is>
          <t>부산광역시 연제구 고분로 126-4</t>
        </is>
      </c>
      <c r="F251" s="11" t="inlineStr">
        <is>
          <t>http://www.yonil.es.kr</t>
        </is>
      </c>
      <c r="G251" t="inlineStr">
        <is>
          <t>051-790-0600</t>
        </is>
      </c>
      <c r="H251" t="inlineStr">
        <is>
          <t>2026</t>
        </is>
      </c>
      <c r="I251" s="15" t="n">
        <v>11</v>
      </c>
      <c r="J251" s="15" t="n">
        <v>3</v>
      </c>
      <c r="K251" s="15" t="n">
        <v>11</v>
      </c>
      <c r="L251" s="15" t="n">
        <v>17</v>
      </c>
      <c r="M251" s="15" t="n">
        <v>18</v>
      </c>
      <c r="N251" s="15" t="n">
        <v>19</v>
      </c>
      <c r="O251" s="15" t="n">
        <v>5</v>
      </c>
      <c r="P251" s="15" t="n">
        <v>0</v>
      </c>
      <c r="Q251" s="14">
        <f>IF(COUNT(I251:P251)=0,"",SUM(I251:P251))</f>
        <v/>
      </c>
      <c r="R251" t="inlineStr"/>
    </row>
    <row r="252">
      <c r="A252" t="inlineStr">
        <is>
          <t>연제초등학교</t>
        </is>
      </c>
      <c r="B252" t="inlineStr">
        <is>
          <t>초등학교</t>
        </is>
      </c>
      <c r="C252" t="inlineStr">
        <is>
          <t>공립</t>
        </is>
      </c>
      <c r="D252" t="inlineStr">
        <is>
          <t>연제구</t>
        </is>
      </c>
      <c r="E252" t="inlineStr">
        <is>
          <t>부산광역시 연제구 중앙대로1065번길 14</t>
        </is>
      </c>
      <c r="F252" s="11" t="inlineStr">
        <is>
          <t>http://www.yeonje.es.kr</t>
        </is>
      </c>
      <c r="G252" t="inlineStr">
        <is>
          <t>051-790-7600</t>
        </is>
      </c>
      <c r="H252" t="inlineStr">
        <is>
          <t>2026</t>
        </is>
      </c>
      <c r="I252" s="15" t="n">
        <v>56</v>
      </c>
      <c r="J252" s="15" t="n">
        <v>53</v>
      </c>
      <c r="K252" s="15" t="n">
        <v>68</v>
      </c>
      <c r="L252" s="15" t="n">
        <v>62</v>
      </c>
      <c r="M252" s="15" t="n">
        <v>85</v>
      </c>
      <c r="N252" s="15" t="n">
        <v>73</v>
      </c>
      <c r="O252" s="15" t="n">
        <v>5</v>
      </c>
      <c r="P252" s="15" t="n">
        <v>0</v>
      </c>
      <c r="Q252" s="14">
        <f>IF(COUNT(I252:P252)=0,"",SUM(I252:P252))</f>
        <v/>
      </c>
      <c r="R252" t="inlineStr"/>
    </row>
    <row r="253">
      <c r="A253" t="inlineStr">
        <is>
          <t>연천초등학교</t>
        </is>
      </c>
      <c r="B253" t="inlineStr">
        <is>
          <t>초등학교</t>
        </is>
      </c>
      <c r="C253" t="inlineStr">
        <is>
          <t>공립</t>
        </is>
      </c>
      <c r="D253" t="inlineStr">
        <is>
          <t>연제구</t>
        </is>
      </c>
      <c r="E253" t="inlineStr">
        <is>
          <t>부산광역시 연제구 과정로225번길 46</t>
        </is>
      </c>
      <c r="F253" s="11" t="inlineStr">
        <is>
          <t>https://school.busanedu.net/yonchon-e/main.do</t>
        </is>
      </c>
      <c r="G253" t="inlineStr">
        <is>
          <t>051-850-1700</t>
        </is>
      </c>
      <c r="H253" t="inlineStr">
        <is>
          <t>2026</t>
        </is>
      </c>
      <c r="I253" s="15" t="n">
        <v>46</v>
      </c>
      <c r="J253" s="15" t="n">
        <v>78</v>
      </c>
      <c r="K253" s="15" t="n">
        <v>76</v>
      </c>
      <c r="L253" s="15" t="n">
        <v>103</v>
      </c>
      <c r="M253" s="15" t="n">
        <v>105</v>
      </c>
      <c r="N253" s="15" t="n">
        <v>108</v>
      </c>
      <c r="O253" s="15" t="n">
        <v>6</v>
      </c>
      <c r="P253" s="15" t="n">
        <v>0</v>
      </c>
      <c r="Q253" s="14">
        <f>IF(COUNT(I253:P253)=0,"",SUM(I253:P253))</f>
        <v/>
      </c>
      <c r="R253" t="inlineStr"/>
    </row>
    <row r="254">
      <c r="A254" t="inlineStr">
        <is>
          <t>창신초등학교</t>
        </is>
      </c>
      <c r="B254" t="inlineStr">
        <is>
          <t>초등학교</t>
        </is>
      </c>
      <c r="C254" t="inlineStr">
        <is>
          <t>공립</t>
        </is>
      </c>
      <c r="D254" t="inlineStr">
        <is>
          <t>연제구</t>
        </is>
      </c>
      <c r="E254" t="inlineStr">
        <is>
          <t>부산광역시 연제구 종합운동장로12번길 15</t>
        </is>
      </c>
      <c r="F254" s="11" t="inlineStr">
        <is>
          <t>http://www.changshin.es.kr</t>
        </is>
      </c>
      <c r="G254" t="inlineStr">
        <is>
          <t>051-500-0600</t>
        </is>
      </c>
      <c r="H254" t="inlineStr">
        <is>
          <t>2026</t>
        </is>
      </c>
      <c r="I254" s="15" t="n">
        <v>246</v>
      </c>
      <c r="J254" s="15" t="n">
        <v>241</v>
      </c>
      <c r="K254" s="15" t="n">
        <v>288</v>
      </c>
      <c r="L254" s="15" t="n">
        <v>274</v>
      </c>
      <c r="M254" s="15" t="n">
        <v>278</v>
      </c>
      <c r="N254" s="15" t="n">
        <v>271</v>
      </c>
      <c r="O254" s="15" t="n">
        <v>13</v>
      </c>
      <c r="P254" s="15" t="n">
        <v>0</v>
      </c>
      <c r="Q254" s="14">
        <f>IF(COUNT(I254:P254)=0,"",SUM(I254:P254))</f>
        <v/>
      </c>
      <c r="R254" t="inlineStr"/>
    </row>
    <row r="255">
      <c r="A255" t="inlineStr">
        <is>
          <t>토현초등학교</t>
        </is>
      </c>
      <c r="B255" t="inlineStr">
        <is>
          <t>초등학교</t>
        </is>
      </c>
      <c r="C255" t="inlineStr">
        <is>
          <t>공립</t>
        </is>
      </c>
      <c r="D255" t="inlineStr">
        <is>
          <t>연제구</t>
        </is>
      </c>
      <c r="E255" t="inlineStr">
        <is>
          <t>부산광역시 연제구 토현로 48</t>
        </is>
      </c>
      <c r="F255" s="11" t="inlineStr">
        <is>
          <t>http://www.tohyeon.es.kr</t>
        </is>
      </c>
      <c r="G255" t="inlineStr">
        <is>
          <t>051-759-1216</t>
        </is>
      </c>
      <c r="H255" t="inlineStr">
        <is>
          <t>2026</t>
        </is>
      </c>
      <c r="I255" s="15" t="n">
        <v>17</v>
      </c>
      <c r="J255" s="15" t="n">
        <v>22</v>
      </c>
      <c r="K255" s="15" t="n">
        <v>36</v>
      </c>
      <c r="L255" s="15" t="n">
        <v>38</v>
      </c>
      <c r="M255" s="15" t="n">
        <v>43</v>
      </c>
      <c r="N255" s="15" t="n">
        <v>46</v>
      </c>
      <c r="O255" s="15" t="n">
        <v>7</v>
      </c>
      <c r="P255" s="15" t="n">
        <v>0</v>
      </c>
      <c r="Q255" s="14">
        <f>IF(COUNT(I255:P255)=0,"",SUM(I255:P255))</f>
        <v/>
      </c>
      <c r="R255" t="inlineStr"/>
    </row>
    <row r="256">
      <c r="A256" t="inlineStr">
        <is>
          <t>남항초등학교</t>
        </is>
      </c>
      <c r="B256" t="inlineStr">
        <is>
          <t>초등학교</t>
        </is>
      </c>
      <c r="C256" t="inlineStr">
        <is>
          <t>공립</t>
        </is>
      </c>
      <c r="D256" t="inlineStr">
        <is>
          <t>영도구</t>
        </is>
      </c>
      <c r="E256" t="inlineStr">
        <is>
          <t>부산광역시 영도구 남항새싹길 55</t>
        </is>
      </c>
      <c r="F256" s="11" t="inlineStr">
        <is>
          <t>http://namhang.es.kr/</t>
        </is>
      </c>
      <c r="G256" t="inlineStr">
        <is>
          <t>051-417-4142</t>
        </is>
      </c>
      <c r="H256" t="inlineStr">
        <is>
          <t>2026</t>
        </is>
      </c>
      <c r="I256" s="15" t="n">
        <v>27</v>
      </c>
      <c r="J256" s="15" t="n">
        <v>17</v>
      </c>
      <c r="K256" s="15" t="n">
        <v>26</v>
      </c>
      <c r="L256" s="15" t="n">
        <v>19</v>
      </c>
      <c r="M256" s="15" t="n">
        <v>33</v>
      </c>
      <c r="N256" s="15" t="n">
        <v>39</v>
      </c>
      <c r="O256" s="15" t="n">
        <v>5</v>
      </c>
      <c r="P256" s="15" t="n">
        <v>0</v>
      </c>
      <c r="Q256" s="14">
        <f>IF(COUNT(I256:P256)=0,"",SUM(I256:P256))</f>
        <v/>
      </c>
      <c r="R256" t="inlineStr"/>
    </row>
    <row r="257">
      <c r="A257" t="inlineStr">
        <is>
          <t>대교초등학교</t>
        </is>
      </c>
      <c r="B257" t="inlineStr">
        <is>
          <t>초등학교</t>
        </is>
      </c>
      <c r="C257" t="inlineStr">
        <is>
          <t>공립</t>
        </is>
      </c>
      <c r="D257" t="inlineStr">
        <is>
          <t>영도구</t>
        </is>
      </c>
      <c r="E257" t="inlineStr">
        <is>
          <t>부산광역시 영도구 봉래나루로246번길 19</t>
        </is>
      </c>
      <c r="F257" s="11" t="inlineStr">
        <is>
          <t>http://daegyo.es.kr</t>
        </is>
      </c>
      <c r="G257" t="inlineStr">
        <is>
          <t>051-410-2500</t>
        </is>
      </c>
      <c r="H257" t="inlineStr">
        <is>
          <t>2026</t>
        </is>
      </c>
      <c r="I257" s="15" t="n">
        <v>51</v>
      </c>
      <c r="J257" s="15" t="n">
        <v>62</v>
      </c>
      <c r="K257" s="15" t="n">
        <v>55</v>
      </c>
      <c r="L257" s="15" t="n">
        <v>74</v>
      </c>
      <c r="M257" s="15" t="n">
        <v>63</v>
      </c>
      <c r="N257" s="15" t="n">
        <v>42</v>
      </c>
      <c r="O257" s="15" t="n">
        <v>6</v>
      </c>
      <c r="P257" s="15" t="n">
        <v>0</v>
      </c>
      <c r="Q257" s="14">
        <f>IF(COUNT(I257:P257)=0,"",SUM(I257:P257))</f>
        <v/>
      </c>
      <c r="R257" t="inlineStr"/>
    </row>
    <row r="258">
      <c r="A258" t="inlineStr">
        <is>
          <t>대평초등학교</t>
        </is>
      </c>
      <c r="B258" t="inlineStr">
        <is>
          <t>초등학교</t>
        </is>
      </c>
      <c r="C258" t="inlineStr">
        <is>
          <t>공립</t>
        </is>
      </c>
      <c r="D258" t="inlineStr">
        <is>
          <t>영도구</t>
        </is>
      </c>
      <c r="E258" t="inlineStr">
        <is>
          <t>부산광역시 영도구 절영로 82</t>
        </is>
      </c>
      <c r="F258" s="11" t="inlineStr">
        <is>
          <t>https://school.busanedu.net/daepyung-e/main.do</t>
        </is>
      </c>
      <c r="G258" t="inlineStr">
        <is>
          <t>051-410-0503</t>
        </is>
      </c>
      <c r="H258" t="inlineStr">
        <is>
          <t>2026</t>
        </is>
      </c>
      <c r="I258" s="15" t="n">
        <v>13</v>
      </c>
      <c r="J258" s="15" t="n">
        <v>21</v>
      </c>
      <c r="K258" s="15" t="n">
        <v>19</v>
      </c>
      <c r="L258" s="15" t="n">
        <v>43</v>
      </c>
      <c r="M258" s="15" t="n">
        <v>40</v>
      </c>
      <c r="N258" s="15" t="n">
        <v>37</v>
      </c>
      <c r="O258" s="15" t="n">
        <v>7</v>
      </c>
      <c r="P258" s="15" t="n">
        <v>0</v>
      </c>
      <c r="Q258" s="14">
        <f>IF(COUNT(I258:P258)=0,"",SUM(I258:P258))</f>
        <v/>
      </c>
      <c r="R258" t="inlineStr"/>
    </row>
    <row r="259">
      <c r="A259" t="inlineStr">
        <is>
          <t>동삼초등학교</t>
        </is>
      </c>
      <c r="B259" t="inlineStr">
        <is>
          <t>초등학교</t>
        </is>
      </c>
      <c r="C259" t="inlineStr">
        <is>
          <t>공립</t>
        </is>
      </c>
      <c r="D259" t="inlineStr">
        <is>
          <t>영도구</t>
        </is>
      </c>
      <c r="E259" t="inlineStr">
        <is>
          <t>부산광역시 영도구 태종로 610</t>
        </is>
      </c>
      <c r="F259" s="11" t="inlineStr">
        <is>
          <t>http://school.busanedu.net/dongsam-e/main.do</t>
        </is>
      </c>
      <c r="G259" t="inlineStr">
        <is>
          <t>051-403-9555</t>
        </is>
      </c>
      <c r="H259" t="inlineStr">
        <is>
          <t>2026</t>
        </is>
      </c>
      <c r="I259" s="15" t="n">
        <v>70</v>
      </c>
      <c r="J259" s="15" t="n">
        <v>65</v>
      </c>
      <c r="K259" s="15" t="n">
        <v>70</v>
      </c>
      <c r="L259" s="15" t="n">
        <v>71</v>
      </c>
      <c r="M259" s="15" t="n">
        <v>75</v>
      </c>
      <c r="N259" s="15" t="n">
        <v>74</v>
      </c>
      <c r="O259" s="15" t="n">
        <v>5</v>
      </c>
      <c r="P259" s="15" t="n">
        <v>0</v>
      </c>
      <c r="Q259" s="14">
        <f>IF(COUNT(I259:P259)=0,"",SUM(I259:P259))</f>
        <v/>
      </c>
      <c r="R259" t="inlineStr"/>
    </row>
    <row r="260">
      <c r="A260" t="inlineStr">
        <is>
          <t>봉학초등학교</t>
        </is>
      </c>
      <c r="B260" t="inlineStr">
        <is>
          <t>초등학교</t>
        </is>
      </c>
      <c r="C260" t="inlineStr">
        <is>
          <t>공립</t>
        </is>
      </c>
      <c r="D260" t="inlineStr">
        <is>
          <t>영도구</t>
        </is>
      </c>
      <c r="E260" t="inlineStr">
        <is>
          <t>부산광역시 영도구 태종로 242</t>
        </is>
      </c>
      <c r="F260" s="11" t="inlineStr">
        <is>
          <t>http://bonghak.es.kr/</t>
        </is>
      </c>
      <c r="G260" t="inlineStr">
        <is>
          <t>051-410-0683</t>
        </is>
      </c>
      <c r="H260" t="inlineStr">
        <is>
          <t>2026</t>
        </is>
      </c>
      <c r="I260" s="15" t="n">
        <v>13</v>
      </c>
      <c r="J260" s="15" t="n">
        <v>13</v>
      </c>
      <c r="K260" s="15" t="n">
        <v>30</v>
      </c>
      <c r="L260" s="15" t="n">
        <v>25</v>
      </c>
      <c r="M260" s="15" t="n">
        <v>21</v>
      </c>
      <c r="N260" s="15" t="n">
        <v>20</v>
      </c>
      <c r="O260" s="15" t="n">
        <v>2</v>
      </c>
      <c r="P260" s="15" t="n">
        <v>0</v>
      </c>
      <c r="Q260" s="14">
        <f>IF(COUNT(I260:P260)=0,"",SUM(I260:P260))</f>
        <v/>
      </c>
      <c r="R260" t="inlineStr"/>
    </row>
    <row r="261">
      <c r="A261" t="inlineStr">
        <is>
          <t>상리초등학교</t>
        </is>
      </c>
      <c r="B261" t="inlineStr">
        <is>
          <t>초등학교</t>
        </is>
      </c>
      <c r="C261" t="inlineStr">
        <is>
          <t>공립</t>
        </is>
      </c>
      <c r="D261" t="inlineStr">
        <is>
          <t>영도구</t>
        </is>
      </c>
      <c r="E261" t="inlineStr">
        <is>
          <t>부산광역시 영도구 상리로 38</t>
        </is>
      </c>
      <c r="F261" s="11" t="inlineStr">
        <is>
          <t>http://ses.es.kr</t>
        </is>
      </c>
      <c r="G261" t="inlineStr">
        <is>
          <t>051-719-5800</t>
        </is>
      </c>
      <c r="H261" t="inlineStr">
        <is>
          <t>2026</t>
        </is>
      </c>
      <c r="I261" s="15" t="n">
        <v>11</v>
      </c>
      <c r="J261" s="15" t="n">
        <v>13</v>
      </c>
      <c r="K261" s="15" t="n">
        <v>12</v>
      </c>
      <c r="L261" s="15" t="n">
        <v>12</v>
      </c>
      <c r="M261" s="15" t="n">
        <v>23</v>
      </c>
      <c r="N261" s="15" t="n">
        <v>24</v>
      </c>
      <c r="O261" s="15" t="n">
        <v>3</v>
      </c>
      <c r="P261" s="15" t="n">
        <v>0</v>
      </c>
      <c r="Q261" s="14">
        <f>IF(COUNT(I261:P261)=0,"",SUM(I261:P261))</f>
        <v/>
      </c>
      <c r="R261" t="inlineStr"/>
    </row>
    <row r="262">
      <c r="A262" t="inlineStr">
        <is>
          <t>영도초등학교</t>
        </is>
      </c>
      <c r="B262" t="inlineStr">
        <is>
          <t>초등학교</t>
        </is>
      </c>
      <c r="C262" t="inlineStr">
        <is>
          <t>공립</t>
        </is>
      </c>
      <c r="D262" t="inlineStr">
        <is>
          <t>영도구</t>
        </is>
      </c>
      <c r="E262" t="inlineStr">
        <is>
          <t>부산광역시 영도구 꿈나무길 41</t>
        </is>
      </c>
      <c r="F262" s="11" t="inlineStr">
        <is>
          <t>http://school.busanedu.net/yeongdo-e/</t>
        </is>
      </c>
      <c r="G262" t="inlineStr">
        <is>
          <t>051-6040-107</t>
        </is>
      </c>
      <c r="H262" t="inlineStr">
        <is>
          <t>2026</t>
        </is>
      </c>
      <c r="I262" s="15" t="n">
        <v>18</v>
      </c>
      <c r="J262" s="15" t="n">
        <v>21</v>
      </c>
      <c r="K262" s="15" t="n">
        <v>39</v>
      </c>
      <c r="L262" s="15" t="n">
        <v>33</v>
      </c>
      <c r="M262" s="15" t="n">
        <v>33</v>
      </c>
      <c r="N262" s="15" t="n">
        <v>40</v>
      </c>
      <c r="O262" s="15" t="n">
        <v>8</v>
      </c>
      <c r="P262" s="15" t="n">
        <v>0</v>
      </c>
      <c r="Q262" s="14">
        <f>IF(COUNT(I262:P262)=0,"",SUM(I262:P262))</f>
        <v/>
      </c>
      <c r="R262" t="inlineStr"/>
    </row>
    <row r="263">
      <c r="A263" t="inlineStr">
        <is>
          <t>절영초등학교</t>
        </is>
      </c>
      <c r="B263" t="inlineStr">
        <is>
          <t>초등학교</t>
        </is>
      </c>
      <c r="C263" t="inlineStr">
        <is>
          <t>공립</t>
        </is>
      </c>
      <c r="D263" t="inlineStr">
        <is>
          <t>영도구</t>
        </is>
      </c>
      <c r="E263" t="inlineStr">
        <is>
          <t>부산광역시 영도구 함지로 37</t>
        </is>
      </c>
      <c r="F263" s="11" t="inlineStr">
        <is>
          <t>http://jeolyeong.es.kr</t>
        </is>
      </c>
      <c r="G263" t="inlineStr">
        <is>
          <t>051-403-5648</t>
        </is>
      </c>
      <c r="H263" t="inlineStr">
        <is>
          <t>2026</t>
        </is>
      </c>
      <c r="I263" s="15" t="n">
        <v>5</v>
      </c>
      <c r="J263" s="15" t="n">
        <v>8</v>
      </c>
      <c r="K263" s="15" t="n">
        <v>2</v>
      </c>
      <c r="L263" s="15" t="n">
        <v>10</v>
      </c>
      <c r="M263" s="15" t="n">
        <v>11</v>
      </c>
      <c r="N263" s="15" t="n">
        <v>9</v>
      </c>
      <c r="O263" s="15" t="n">
        <v>5</v>
      </c>
      <c r="P263" s="15" t="n">
        <v>0</v>
      </c>
      <c r="Q263" s="14">
        <f>IF(COUNT(I263:P263)=0,"",SUM(I263:P263))</f>
        <v/>
      </c>
      <c r="R263" t="inlineStr"/>
    </row>
    <row r="264">
      <c r="A264" t="inlineStr">
        <is>
          <t>중리초등학교</t>
        </is>
      </c>
      <c r="B264" t="inlineStr">
        <is>
          <t>초등학교</t>
        </is>
      </c>
      <c r="C264" t="inlineStr">
        <is>
          <t>공립</t>
        </is>
      </c>
      <c r="D264" t="inlineStr">
        <is>
          <t>영도구</t>
        </is>
      </c>
      <c r="E264" t="inlineStr">
        <is>
          <t>부산광역시 영도구 와치로 286</t>
        </is>
      </c>
      <c r="F264" s="11" t="inlineStr">
        <is>
          <t>http://joonglee.es.kr</t>
        </is>
      </c>
      <c r="G264" t="inlineStr">
        <is>
          <t>051-400-2500</t>
        </is>
      </c>
      <c r="H264" t="inlineStr">
        <is>
          <t>2026</t>
        </is>
      </c>
      <c r="I264" s="15" t="n">
        <v>47</v>
      </c>
      <c r="J264" s="15" t="n">
        <v>62</v>
      </c>
      <c r="K264" s="15" t="n">
        <v>59</v>
      </c>
      <c r="L264" s="15" t="n">
        <v>80</v>
      </c>
      <c r="M264" s="15" t="n">
        <v>92</v>
      </c>
      <c r="N264" s="15" t="n">
        <v>101</v>
      </c>
      <c r="O264" s="15" t="n">
        <v>12</v>
      </c>
      <c r="P264" s="15" t="n">
        <v>0</v>
      </c>
      <c r="Q264" s="14">
        <f>IF(COUNT(I264:P264)=0,"",SUM(I264:P264))</f>
        <v/>
      </c>
      <c r="R264" t="inlineStr"/>
    </row>
    <row r="265">
      <c r="A265" t="inlineStr">
        <is>
          <t>청동초등학교</t>
        </is>
      </c>
      <c r="B265" t="inlineStr">
        <is>
          <t>초등학교</t>
        </is>
      </c>
      <c r="C265" t="inlineStr">
        <is>
          <t>공립</t>
        </is>
      </c>
      <c r="D265" t="inlineStr">
        <is>
          <t>영도구</t>
        </is>
      </c>
      <c r="E265" t="inlineStr">
        <is>
          <t>부산광역시 영도구 태종로 422번길 51</t>
        </is>
      </c>
      <c r="F265" s="11" t="inlineStr">
        <is>
          <t>http://school.busanedu.net/chungdong-e</t>
        </is>
      </c>
      <c r="G265" t="inlineStr">
        <is>
          <t>051-400-2800</t>
        </is>
      </c>
      <c r="H265" t="inlineStr">
        <is>
          <t>2026</t>
        </is>
      </c>
      <c r="I265" s="15" t="n">
        <v>52</v>
      </c>
      <c r="J265" s="15" t="n">
        <v>46</v>
      </c>
      <c r="K265" s="15" t="n">
        <v>64</v>
      </c>
      <c r="L265" s="15" t="n">
        <v>64</v>
      </c>
      <c r="M265" s="15" t="n">
        <v>72</v>
      </c>
      <c r="N265" s="15" t="n">
        <v>68</v>
      </c>
      <c r="O265" s="15" t="n">
        <v>8</v>
      </c>
      <c r="P265" s="15" t="n">
        <v>0</v>
      </c>
      <c r="Q265" s="14">
        <f>IF(COUNT(I265:P265)=0,"",SUM(I265:P265))</f>
        <v/>
      </c>
      <c r="R265" t="inlineStr"/>
    </row>
    <row r="266">
      <c r="A266" t="inlineStr">
        <is>
          <t>청학초등학교</t>
        </is>
      </c>
      <c r="B266" t="inlineStr">
        <is>
          <t>초등학교</t>
        </is>
      </c>
      <c r="C266" t="inlineStr">
        <is>
          <t>공립</t>
        </is>
      </c>
      <c r="D266" t="inlineStr">
        <is>
          <t>영도구</t>
        </is>
      </c>
      <c r="E266" t="inlineStr">
        <is>
          <t>부산광역시 영도구 청학로 49</t>
        </is>
      </c>
      <c r="F266" s="11" t="inlineStr">
        <is>
          <t>http://www.cheonghak.es.kr</t>
        </is>
      </c>
      <c r="G266" t="inlineStr">
        <is>
          <t>051-662-0100</t>
        </is>
      </c>
      <c r="H266" t="inlineStr">
        <is>
          <t>2026</t>
        </is>
      </c>
      <c r="I266" s="15" t="n">
        <v>7</v>
      </c>
      <c r="J266" s="15" t="n">
        <v>11</v>
      </c>
      <c r="K266" s="15" t="n">
        <v>18</v>
      </c>
      <c r="L266" s="15" t="n">
        <v>27</v>
      </c>
      <c r="M266" s="15" t="n">
        <v>26</v>
      </c>
      <c r="N266" s="15" t="n">
        <v>22</v>
      </c>
      <c r="O266" s="15" t="n">
        <v>2</v>
      </c>
      <c r="P266" s="15" t="n">
        <v>0</v>
      </c>
      <c r="Q266" s="14">
        <f>IF(COUNT(I266:P266)=0,"",SUM(I266:P266))</f>
        <v/>
      </c>
      <c r="R266" t="inlineStr"/>
    </row>
    <row r="267">
      <c r="A267" t="inlineStr">
        <is>
          <t>태종대초등학교</t>
        </is>
      </c>
      <c r="B267" t="inlineStr">
        <is>
          <t>초등학교</t>
        </is>
      </c>
      <c r="C267" t="inlineStr">
        <is>
          <t>공립</t>
        </is>
      </c>
      <c r="D267" t="inlineStr">
        <is>
          <t>영도구</t>
        </is>
      </c>
      <c r="E267" t="inlineStr">
        <is>
          <t>부산광역시 영도구 태종로 802</t>
        </is>
      </c>
      <c r="F267" s="11" t="inlineStr">
        <is>
          <t>http://www.taejongdae.es.kr</t>
        </is>
      </c>
      <c r="G267" t="inlineStr">
        <is>
          <t>051-400-2100</t>
        </is>
      </c>
      <c r="H267" t="inlineStr">
        <is>
          <t>2026</t>
        </is>
      </c>
      <c r="I267" s="15" t="n">
        <v>22</v>
      </c>
      <c r="J267" s="15" t="n">
        <v>18</v>
      </c>
      <c r="K267" s="15" t="n">
        <v>11</v>
      </c>
      <c r="L267" s="15" t="n">
        <v>16</v>
      </c>
      <c r="M267" s="15" t="n">
        <v>6</v>
      </c>
      <c r="N267" s="15" t="n">
        <v>22</v>
      </c>
      <c r="O267" s="15" t="n">
        <v>4</v>
      </c>
      <c r="P267" s="15" t="n">
        <v>0</v>
      </c>
      <c r="Q267" s="14">
        <f>IF(COUNT(I267:P267)=0,"",SUM(I267:P267))</f>
        <v/>
      </c>
      <c r="R267" t="inlineStr"/>
    </row>
    <row r="268">
      <c r="A268" t="inlineStr">
        <is>
          <t>광일초등학교</t>
        </is>
      </c>
      <c r="B268" t="inlineStr">
        <is>
          <t>초등학교</t>
        </is>
      </c>
      <c r="C268" t="inlineStr">
        <is>
          <t>공립</t>
        </is>
      </c>
      <c r="D268" t="inlineStr">
        <is>
          <t>중구</t>
        </is>
      </c>
      <c r="E268" t="inlineStr">
        <is>
          <t>부산광역시 중구 중구로 74</t>
        </is>
      </c>
      <c r="F268" s="11" t="inlineStr">
        <is>
          <t>http://www.gwangil.es.kr</t>
        </is>
      </c>
      <c r="G268" t="inlineStr">
        <is>
          <t>051-603-5000</t>
        </is>
      </c>
      <c r="H268" t="inlineStr">
        <is>
          <t>2026</t>
        </is>
      </c>
      <c r="I268" s="15" t="n">
        <v>19</v>
      </c>
      <c r="J268" s="15" t="n">
        <v>16</v>
      </c>
      <c r="K268" s="15" t="n">
        <v>23</v>
      </c>
      <c r="L268" s="15" t="n">
        <v>40</v>
      </c>
      <c r="M268" s="15" t="n">
        <v>33</v>
      </c>
      <c r="N268" s="15" t="n">
        <v>34</v>
      </c>
      <c r="O268" s="15" t="n">
        <v>5</v>
      </c>
      <c r="P268" s="15" t="n">
        <v>0</v>
      </c>
      <c r="Q268" s="14">
        <f>IF(COUNT(I268:P268)=0,"",SUM(I268:P268))</f>
        <v/>
      </c>
      <c r="R268" t="inlineStr"/>
    </row>
    <row r="269">
      <c r="A269" t="inlineStr">
        <is>
          <t>남성초등학교</t>
        </is>
      </c>
      <c r="B269" t="inlineStr">
        <is>
          <t>초등학교</t>
        </is>
      </c>
      <c r="C269" t="inlineStr">
        <is>
          <t>사립</t>
        </is>
      </c>
      <c r="D269" t="inlineStr">
        <is>
          <t>중구</t>
        </is>
      </c>
      <c r="E269" t="inlineStr">
        <is>
          <t>부산광역시 중구 샘길 14</t>
        </is>
      </c>
      <c r="F269" s="11" t="inlineStr">
        <is>
          <t>http://www.nisb.kr</t>
        </is>
      </c>
      <c r="G269" t="inlineStr">
        <is>
          <t>051-469-7963</t>
        </is>
      </c>
      <c r="H269" t="inlineStr">
        <is>
          <t>2026</t>
        </is>
      </c>
      <c r="I269" s="15" t="n">
        <v>90</v>
      </c>
      <c r="J269" s="15" t="n">
        <v>90</v>
      </c>
      <c r="K269" s="15" t="n">
        <v>72</v>
      </c>
      <c r="L269" s="15" t="n">
        <v>58</v>
      </c>
      <c r="M269" s="15" t="n">
        <v>60</v>
      </c>
      <c r="N269" s="15" t="n">
        <v>59</v>
      </c>
      <c r="O269" s="15" t="n">
        <v>0</v>
      </c>
      <c r="P269" s="15" t="n">
        <v>0</v>
      </c>
      <c r="Q269" s="14">
        <f>IF(COUNT(I269:P269)=0,"",SUM(I269:P269))</f>
        <v/>
      </c>
      <c r="R269" t="inlineStr"/>
    </row>
    <row r="270">
      <c r="A270" t="inlineStr">
        <is>
          <t>보수초등학교</t>
        </is>
      </c>
      <c r="B270" t="inlineStr">
        <is>
          <t>초등학교</t>
        </is>
      </c>
      <c r="C270" t="inlineStr">
        <is>
          <t>공립</t>
        </is>
      </c>
      <c r="D270" t="inlineStr">
        <is>
          <t>중구</t>
        </is>
      </c>
      <c r="E270" t="inlineStr">
        <is>
          <t>부산광역시 중구 흑교로 74</t>
        </is>
      </c>
      <c r="F270" s="11" t="inlineStr">
        <is>
          <t>http://bosu.es.kr/</t>
        </is>
      </c>
      <c r="G270" t="inlineStr">
        <is>
          <t>051-255-7975</t>
        </is>
      </c>
      <c r="H270" t="inlineStr">
        <is>
          <t>2026</t>
        </is>
      </c>
      <c r="I270" s="15" t="n">
        <v>15</v>
      </c>
      <c r="J270" s="15" t="n">
        <v>7</v>
      </c>
      <c r="K270" s="15" t="n">
        <v>25</v>
      </c>
      <c r="L270" s="15" t="n">
        <v>23</v>
      </c>
      <c r="M270" s="15" t="n">
        <v>22</v>
      </c>
      <c r="N270" s="15" t="n">
        <v>38</v>
      </c>
      <c r="O270" s="15" t="n">
        <v>5</v>
      </c>
      <c r="P270" s="15" t="n">
        <v>0</v>
      </c>
      <c r="Q270" s="14">
        <f>IF(COUNT(I270:P270)=0,"",SUM(I270:P270))</f>
        <v/>
      </c>
      <c r="R270" t="inlineStr"/>
    </row>
    <row r="271">
      <c r="A271" t="inlineStr">
        <is>
          <t>봉래초등학교</t>
        </is>
      </c>
      <c r="B271" t="inlineStr">
        <is>
          <t>초등학교</t>
        </is>
      </c>
      <c r="C271" t="inlineStr">
        <is>
          <t>공립</t>
        </is>
      </c>
      <c r="D271" t="inlineStr">
        <is>
          <t>중구</t>
        </is>
      </c>
      <c r="E271" t="inlineStr">
        <is>
          <t>부산광역시 중구 대영로 226번길 15호</t>
        </is>
      </c>
      <c r="F271" s="11" t="inlineStr">
        <is>
          <t>http://pusanbongrae.es.kr/</t>
        </is>
      </c>
      <c r="G271" t="inlineStr">
        <is>
          <t>051-719-1500</t>
        </is>
      </c>
      <c r="H271" t="inlineStr">
        <is>
          <t>2026</t>
        </is>
      </c>
      <c r="I271" s="15" t="n">
        <v>16</v>
      </c>
      <c r="J271" s="15" t="n">
        <v>19</v>
      </c>
      <c r="K271" s="15" t="n">
        <v>26</v>
      </c>
      <c r="L271" s="15" t="n">
        <v>25</v>
      </c>
      <c r="M271" s="15" t="n">
        <v>33</v>
      </c>
      <c r="N271" s="15" t="n">
        <v>28</v>
      </c>
      <c r="O271" s="15" t="n">
        <v>7</v>
      </c>
      <c r="P271" s="15" t="n">
        <v>0</v>
      </c>
      <c r="Q271" s="14">
        <f>IF(COUNT(I271:P271)=0,"",SUM(I271:P271))</f>
        <v/>
      </c>
      <c r="R271" t="inlineStr"/>
    </row>
    <row r="272">
      <c r="A272" t="inlineStr">
        <is>
          <t>강동초등학교</t>
        </is>
      </c>
      <c r="B272" t="inlineStr">
        <is>
          <t>초등학교</t>
        </is>
      </c>
      <c r="C272" t="inlineStr">
        <is>
          <t>공립</t>
        </is>
      </c>
      <c r="D272" t="inlineStr">
        <is>
          <t>해운대구</t>
        </is>
      </c>
      <c r="E272" t="inlineStr">
        <is>
          <t>부산광역시 해운대구 해운대로349번길 10</t>
        </is>
      </c>
      <c r="F272" s="11" t="inlineStr">
        <is>
          <t>http://www.pusangangdong.es.kr/</t>
        </is>
      </c>
      <c r="G272" t="inlineStr">
        <is>
          <t>051-740-2400</t>
        </is>
      </c>
      <c r="H272" t="inlineStr">
        <is>
          <t>2026</t>
        </is>
      </c>
      <c r="I272" s="15" t="n">
        <v>109</v>
      </c>
      <c r="J272" s="15" t="n">
        <v>115</v>
      </c>
      <c r="K272" s="15" t="n">
        <v>118</v>
      </c>
      <c r="L272" s="15" t="n">
        <v>114</v>
      </c>
      <c r="M272" s="15" t="n">
        <v>150</v>
      </c>
      <c r="N272" s="15" t="n">
        <v>131</v>
      </c>
      <c r="O272" s="15" t="n">
        <v>6</v>
      </c>
      <c r="P272" s="15" t="n">
        <v>0</v>
      </c>
      <c r="Q272" s="14">
        <f>IF(COUNT(I272:P272)=0,"",SUM(I272:P272))</f>
        <v/>
      </c>
      <c r="R272" t="inlineStr"/>
    </row>
    <row r="273">
      <c r="A273" t="inlineStr">
        <is>
          <t>동백초등학교</t>
        </is>
      </c>
      <c r="B273" t="inlineStr">
        <is>
          <t>초등학교</t>
        </is>
      </c>
      <c r="C273" t="inlineStr">
        <is>
          <t>공립</t>
        </is>
      </c>
      <c r="D273" t="inlineStr">
        <is>
          <t>해운대구</t>
        </is>
      </c>
      <c r="E273" t="inlineStr">
        <is>
          <t>부산광역시 해운대구 좌동순환로357번길 6</t>
        </is>
      </c>
      <c r="F273" s="11" t="inlineStr">
        <is>
          <t>http://dongbaek.es.kr</t>
        </is>
      </c>
      <c r="G273" t="inlineStr">
        <is>
          <t>051-998-7800</t>
        </is>
      </c>
      <c r="H273" t="inlineStr">
        <is>
          <t>2026</t>
        </is>
      </c>
      <c r="I273" s="15" t="n">
        <v>87</v>
      </c>
      <c r="J273" s="15" t="n">
        <v>92</v>
      </c>
      <c r="K273" s="15" t="n">
        <v>92</v>
      </c>
      <c r="L273" s="15" t="n">
        <v>124</v>
      </c>
      <c r="M273" s="15" t="n">
        <v>109</v>
      </c>
      <c r="N273" s="15" t="n">
        <v>131</v>
      </c>
      <c r="O273" s="15" t="n">
        <v>5</v>
      </c>
      <c r="P273" s="15" t="n">
        <v>0</v>
      </c>
      <c r="Q273" s="14">
        <f>IF(COUNT(I273:P273)=0,"",SUM(I273:P273))</f>
        <v/>
      </c>
      <c r="R273" t="inlineStr"/>
    </row>
    <row r="274">
      <c r="A274" t="inlineStr">
        <is>
          <t>무정초등학교</t>
        </is>
      </c>
      <c r="B274" t="inlineStr">
        <is>
          <t>초등학교</t>
        </is>
      </c>
      <c r="C274" t="inlineStr">
        <is>
          <t>공립</t>
        </is>
      </c>
      <c r="D274" t="inlineStr">
        <is>
          <t>해운대구</t>
        </is>
      </c>
      <c r="E274" t="inlineStr">
        <is>
          <t>부산광역시 해운대구 반여로 68-11</t>
        </is>
      </c>
      <c r="F274" s="11" t="inlineStr">
        <is>
          <t>http://www.bsmj.es.kr</t>
        </is>
      </c>
      <c r="G274" t="inlineStr">
        <is>
          <t>051-520-1310</t>
        </is>
      </c>
      <c r="H274" t="inlineStr">
        <is>
          <t>2026</t>
        </is>
      </c>
      <c r="I274" s="15" t="n">
        <v>73</v>
      </c>
      <c r="J274" s="15" t="n">
        <v>102</v>
      </c>
      <c r="K274" s="15" t="n">
        <v>81</v>
      </c>
      <c r="L274" s="15" t="n">
        <v>90</v>
      </c>
      <c r="M274" s="15" t="n">
        <v>69</v>
      </c>
      <c r="N274" s="15" t="n">
        <v>86</v>
      </c>
      <c r="O274" s="15" t="n">
        <v>7</v>
      </c>
      <c r="P274" s="15" t="n">
        <v>0</v>
      </c>
      <c r="Q274" s="14">
        <f>IF(COUNT(I274:P274)=0,"",SUM(I274:P274))</f>
        <v/>
      </c>
      <c r="R274" t="inlineStr"/>
    </row>
    <row r="275">
      <c r="A275" t="inlineStr">
        <is>
          <t>반산초등학교</t>
        </is>
      </c>
      <c r="B275" t="inlineStr">
        <is>
          <t>초등학교</t>
        </is>
      </c>
      <c r="C275" t="inlineStr">
        <is>
          <t>공립</t>
        </is>
      </c>
      <c r="D275" t="inlineStr">
        <is>
          <t>해운대구</t>
        </is>
      </c>
      <c r="E275" t="inlineStr">
        <is>
          <t>부산광역시 해운대구 재반로 171</t>
        </is>
      </c>
      <c r="F275" s="11" t="inlineStr">
        <is>
          <t>http://www.bansan.es.kr/</t>
        </is>
      </c>
      <c r="G275" t="inlineStr">
        <is>
          <t>051-780-2000</t>
        </is>
      </c>
      <c r="H275" t="inlineStr">
        <is>
          <t>2026</t>
        </is>
      </c>
      <c r="I275" s="15" t="n">
        <v>21</v>
      </c>
      <c r="J275" s="15" t="n">
        <v>23</v>
      </c>
      <c r="K275" s="15" t="n">
        <v>36</v>
      </c>
      <c r="L275" s="15" t="n">
        <v>49</v>
      </c>
      <c r="M275" s="15" t="n">
        <v>52</v>
      </c>
      <c r="N275" s="15" t="n">
        <v>52</v>
      </c>
      <c r="O275" s="15" t="n">
        <v>11</v>
      </c>
      <c r="P275" s="15" t="n">
        <v>0</v>
      </c>
      <c r="Q275" s="14">
        <f>IF(COUNT(I275:P275)=0,"",SUM(I275:P275))</f>
        <v/>
      </c>
      <c r="R275" t="inlineStr"/>
    </row>
    <row r="276">
      <c r="A276" t="inlineStr">
        <is>
          <t>반석초등학교</t>
        </is>
      </c>
      <c r="B276" t="inlineStr">
        <is>
          <t>초등학교</t>
        </is>
      </c>
      <c r="C276" t="inlineStr">
        <is>
          <t>공립</t>
        </is>
      </c>
      <c r="D276" t="inlineStr">
        <is>
          <t>해운대구</t>
        </is>
      </c>
      <c r="E276" t="inlineStr">
        <is>
          <t>부산광역시 해운대구 선수촌로207번길 14</t>
        </is>
      </c>
      <c r="F276" s="11" t="inlineStr">
        <is>
          <t>http://bansuk.es.kr</t>
        </is>
      </c>
      <c r="G276" t="inlineStr">
        <is>
          <t>051-523-8171</t>
        </is>
      </c>
      <c r="H276" t="inlineStr">
        <is>
          <t>2026</t>
        </is>
      </c>
      <c r="I276" s="15" t="n">
        <v>4</v>
      </c>
      <c r="J276" s="15" t="n">
        <v>7</v>
      </c>
      <c r="K276" s="15" t="n">
        <v>10</v>
      </c>
      <c r="L276" s="15" t="n">
        <v>9</v>
      </c>
      <c r="M276" s="15" t="n">
        <v>8</v>
      </c>
      <c r="N276" s="15" t="n">
        <v>9</v>
      </c>
      <c r="O276" s="15" t="n">
        <v>4</v>
      </c>
      <c r="P276" s="15" t="n">
        <v>0</v>
      </c>
      <c r="Q276" s="14">
        <f>IF(COUNT(I276:P276)=0,"",SUM(I276:P276))</f>
        <v/>
      </c>
      <c r="R276" t="inlineStr"/>
    </row>
    <row r="277">
      <c r="A277" t="inlineStr">
        <is>
          <t>반송초등학교</t>
        </is>
      </c>
      <c r="B277" t="inlineStr">
        <is>
          <t>초등학교</t>
        </is>
      </c>
      <c r="C277" t="inlineStr">
        <is>
          <t>공립</t>
        </is>
      </c>
      <c r="D277" t="inlineStr">
        <is>
          <t>해운대구</t>
        </is>
      </c>
      <c r="E277" t="inlineStr">
        <is>
          <t>부산광역시 해운대구 아랫반송로30번길 37-16</t>
        </is>
      </c>
      <c r="F277" s="11" t="inlineStr">
        <is>
          <t>http://www.bansong.es.kr</t>
        </is>
      </c>
      <c r="G277" t="inlineStr">
        <is>
          <t>051-540-5800</t>
        </is>
      </c>
      <c r="H277" t="inlineStr">
        <is>
          <t>2026</t>
        </is>
      </c>
      <c r="I277" s="15" t="n">
        <v>11</v>
      </c>
      <c r="J277" s="15" t="n">
        <v>8</v>
      </c>
      <c r="K277" s="15" t="n">
        <v>10</v>
      </c>
      <c r="L277" s="15" t="n">
        <v>10</v>
      </c>
      <c r="M277" s="15" t="n">
        <v>25</v>
      </c>
      <c r="N277" s="15" t="n">
        <v>26</v>
      </c>
      <c r="O277" s="15" t="n">
        <v>4</v>
      </c>
      <c r="P277" s="15" t="n">
        <v>0</v>
      </c>
      <c r="Q277" s="14">
        <f>IF(COUNT(I277:P277)=0,"",SUM(I277:P277))</f>
        <v/>
      </c>
      <c r="R277" t="inlineStr"/>
    </row>
    <row r="278">
      <c r="A278" t="inlineStr">
        <is>
          <t>반안초등학교</t>
        </is>
      </c>
      <c r="B278" t="inlineStr">
        <is>
          <t>초등학교</t>
        </is>
      </c>
      <c r="C278" t="inlineStr">
        <is>
          <t>공립</t>
        </is>
      </c>
      <c r="D278" t="inlineStr">
        <is>
          <t>해운대구</t>
        </is>
      </c>
      <c r="E278" t="inlineStr">
        <is>
          <t>부산광역시 해운대구 명장로67번길 40-42</t>
        </is>
      </c>
      <c r="F278" s="11" t="inlineStr">
        <is>
          <t>http://www.banan.es.kr</t>
        </is>
      </c>
      <c r="G278" t="inlineStr">
        <is>
          <t>051-520-0801</t>
        </is>
      </c>
      <c r="H278" t="inlineStr">
        <is>
          <t>2026</t>
        </is>
      </c>
      <c r="I278" s="15" t="n">
        <v>51</v>
      </c>
      <c r="J278" s="15" t="n">
        <v>62</v>
      </c>
      <c r="K278" s="15" t="n">
        <v>84</v>
      </c>
      <c r="L278" s="15" t="n">
        <v>67</v>
      </c>
      <c r="M278" s="15" t="n">
        <v>95</v>
      </c>
      <c r="N278" s="15" t="n">
        <v>92</v>
      </c>
      <c r="O278" s="15" t="n">
        <v>6</v>
      </c>
      <c r="P278" s="15" t="n">
        <v>0</v>
      </c>
      <c r="Q278" s="14">
        <f>IF(COUNT(I278:P278)=0,"",SUM(I278:P278))</f>
        <v/>
      </c>
      <c r="R278" t="inlineStr"/>
    </row>
    <row r="279">
      <c r="A279" t="inlineStr">
        <is>
          <t>반여초등학교</t>
        </is>
      </c>
      <c r="B279" t="inlineStr">
        <is>
          <t>초등학교</t>
        </is>
      </c>
      <c r="C279" t="inlineStr">
        <is>
          <t>공립</t>
        </is>
      </c>
      <c r="D279" t="inlineStr">
        <is>
          <t>해운대구</t>
        </is>
      </c>
      <c r="E279" t="inlineStr">
        <is>
          <t>부산광역시 해운대구 재반로 301</t>
        </is>
      </c>
      <c r="F279" s="11" t="inlineStr">
        <is>
          <t>http://www.banyeo.es.kr</t>
        </is>
      </c>
      <c r="G279" t="inlineStr">
        <is>
          <t>051-520-0400</t>
        </is>
      </c>
      <c r="H279" t="inlineStr">
        <is>
          <t>2026</t>
        </is>
      </c>
      <c r="I279" s="15" t="n">
        <v>18</v>
      </c>
      <c r="J279" s="15" t="n">
        <v>10</v>
      </c>
      <c r="K279" s="15" t="n">
        <v>24</v>
      </c>
      <c r="L279" s="15" t="n">
        <v>22</v>
      </c>
      <c r="M279" s="15" t="n">
        <v>27</v>
      </c>
      <c r="N279" s="15" t="n">
        <v>34</v>
      </c>
      <c r="O279" s="15" t="n">
        <v>13</v>
      </c>
      <c r="P279" s="15" t="n">
        <v>0</v>
      </c>
      <c r="Q279" s="14">
        <f>IF(COUNT(I279:P279)=0,"",SUM(I279:P279))</f>
        <v/>
      </c>
      <c r="R279" t="inlineStr"/>
    </row>
    <row r="280">
      <c r="A280" t="inlineStr">
        <is>
          <t>부흥초등학교</t>
        </is>
      </c>
      <c r="B280" t="inlineStr">
        <is>
          <t>초등학교</t>
        </is>
      </c>
      <c r="C280" t="inlineStr">
        <is>
          <t>공립</t>
        </is>
      </c>
      <c r="D280" t="inlineStr">
        <is>
          <t>해운대구</t>
        </is>
      </c>
      <c r="E280" t="inlineStr">
        <is>
          <t>부산광역시 해운대구 좌동순환로 216</t>
        </is>
      </c>
      <c r="F280" s="11" t="inlineStr">
        <is>
          <t>http://www.buhung.es.kr</t>
        </is>
      </c>
      <c r="G280" t="inlineStr">
        <is>
          <t>051-703-0093</t>
        </is>
      </c>
      <c r="H280" t="inlineStr">
        <is>
          <t>2026</t>
        </is>
      </c>
      <c r="I280" s="15" t="n">
        <v>83</v>
      </c>
      <c r="J280" s="15" t="n">
        <v>86</v>
      </c>
      <c r="K280" s="15" t="n">
        <v>101</v>
      </c>
      <c r="L280" s="15" t="n">
        <v>129</v>
      </c>
      <c r="M280" s="15" t="n">
        <v>143</v>
      </c>
      <c r="N280" s="15" t="n">
        <v>154</v>
      </c>
      <c r="O280" s="15" t="n">
        <v>6</v>
      </c>
      <c r="P280" s="15" t="n">
        <v>0</v>
      </c>
      <c r="Q280" s="14">
        <f>IF(COUNT(I280:P280)=0,"",SUM(I280:P280))</f>
        <v/>
      </c>
      <c r="R280" t="inlineStr"/>
    </row>
    <row r="281">
      <c r="A281" t="inlineStr">
        <is>
          <t>삼어초등학교</t>
        </is>
      </c>
      <c r="B281" t="inlineStr">
        <is>
          <t>초등학교</t>
        </is>
      </c>
      <c r="C281" t="inlineStr">
        <is>
          <t>공립</t>
        </is>
      </c>
      <c r="D281" t="inlineStr">
        <is>
          <t>해운대구</t>
        </is>
      </c>
      <c r="E281" t="inlineStr">
        <is>
          <t>부산광역시 해운대구 삼어로91번길 73</t>
        </is>
      </c>
      <c r="F281" s="11" t="inlineStr">
        <is>
          <t>http://sameo.es.kr</t>
        </is>
      </c>
      <c r="G281" t="inlineStr">
        <is>
          <t>051-520-6500</t>
        </is>
      </c>
      <c r="H281" t="inlineStr">
        <is>
          <t>2026</t>
        </is>
      </c>
      <c r="I281" s="15" t="n">
        <v>30</v>
      </c>
      <c r="J281" s="15" t="n">
        <v>26</v>
      </c>
      <c r="K281" s="15" t="n">
        <v>36</v>
      </c>
      <c r="L281" s="15" t="n">
        <v>41</v>
      </c>
      <c r="M281" s="15" t="n">
        <v>51</v>
      </c>
      <c r="N281" s="15" t="n">
        <v>54</v>
      </c>
      <c r="O281" s="15" t="n">
        <v>3</v>
      </c>
      <c r="P281" s="15" t="n">
        <v>0</v>
      </c>
      <c r="Q281" s="14">
        <f>IF(COUNT(I281:P281)=0,"",SUM(I281:P281))</f>
        <v/>
      </c>
      <c r="R281" t="inlineStr"/>
    </row>
    <row r="282">
      <c r="A282" t="inlineStr">
        <is>
          <t>상당초등학교</t>
        </is>
      </c>
      <c r="B282" t="inlineStr">
        <is>
          <t>초등학교</t>
        </is>
      </c>
      <c r="C282" t="inlineStr">
        <is>
          <t>공립</t>
        </is>
      </c>
      <c r="D282" t="inlineStr">
        <is>
          <t>해운대구</t>
        </is>
      </c>
      <c r="E282" t="inlineStr">
        <is>
          <t>부산광역시 해운대구 세실로 173</t>
        </is>
      </c>
      <c r="F282" s="11" t="inlineStr">
        <is>
          <t>http://sangdang.es.kr/</t>
        </is>
      </c>
      <c r="G282" t="inlineStr">
        <is>
          <t>051-709-1000</t>
        </is>
      </c>
      <c r="H282" t="inlineStr">
        <is>
          <t>2026</t>
        </is>
      </c>
      <c r="I282" s="15" t="n">
        <v>102</v>
      </c>
      <c r="J282" s="15" t="n">
        <v>101</v>
      </c>
      <c r="K282" s="15" t="n">
        <v>103</v>
      </c>
      <c r="L282" s="15" t="n">
        <v>117</v>
      </c>
      <c r="M282" s="15" t="n">
        <v>157</v>
      </c>
      <c r="N282" s="15" t="n">
        <v>133</v>
      </c>
      <c r="O282" s="15" t="n">
        <v>8</v>
      </c>
      <c r="P282" s="15" t="n">
        <v>0</v>
      </c>
      <c r="Q282" s="14">
        <f>IF(COUNT(I282:P282)=0,"",SUM(I282:P282))</f>
        <v/>
      </c>
      <c r="R282" t="inlineStr"/>
    </row>
    <row r="283">
      <c r="A283" t="inlineStr">
        <is>
          <t>센텀초등학교</t>
        </is>
      </c>
      <c r="B283" t="inlineStr">
        <is>
          <t>초등학교</t>
        </is>
      </c>
      <c r="C283" t="inlineStr">
        <is>
          <t>공립</t>
        </is>
      </c>
      <c r="D283" t="inlineStr">
        <is>
          <t>해운대구</t>
        </is>
      </c>
      <c r="E283" t="inlineStr">
        <is>
          <t>부산광역시 해운대구 센텀중앙로 166</t>
        </is>
      </c>
      <c r="F283" s="11" t="inlineStr">
        <is>
          <t>http://www.centum.es.kr</t>
        </is>
      </c>
      <c r="G283" t="inlineStr">
        <is>
          <t>051-7802-600</t>
        </is>
      </c>
      <c r="H283" t="inlineStr">
        <is>
          <t>2026</t>
        </is>
      </c>
      <c r="I283" s="15" t="n">
        <v>154</v>
      </c>
      <c r="J283" s="15" t="n">
        <v>204</v>
      </c>
      <c r="K283" s="15" t="n">
        <v>216</v>
      </c>
      <c r="L283" s="15" t="n">
        <v>245</v>
      </c>
      <c r="M283" s="15" t="n">
        <v>277</v>
      </c>
      <c r="N283" s="15" t="n">
        <v>306</v>
      </c>
      <c r="O283" s="15" t="n">
        <v>3</v>
      </c>
      <c r="P283" s="15" t="n">
        <v>0</v>
      </c>
      <c r="Q283" s="14">
        <f>IF(COUNT(I283:P283)=0,"",SUM(I283:P283))</f>
        <v/>
      </c>
      <c r="R283" t="inlineStr"/>
    </row>
    <row r="284">
      <c r="A284" t="inlineStr">
        <is>
          <t>송수초등학교</t>
        </is>
      </c>
      <c r="B284" t="inlineStr">
        <is>
          <t>초등학교</t>
        </is>
      </c>
      <c r="C284" t="inlineStr">
        <is>
          <t>공립</t>
        </is>
      </c>
      <c r="D284" t="inlineStr">
        <is>
          <t>해운대구</t>
        </is>
      </c>
      <c r="E284" t="inlineStr">
        <is>
          <t>부산광역시 해운대구 해운대로76번길 35</t>
        </is>
      </c>
      <c r="F284" s="11" t="inlineStr">
        <is>
          <t>http://www.songsu.es.kr</t>
        </is>
      </c>
      <c r="G284" t="inlineStr">
        <is>
          <t>051-780-2702</t>
        </is>
      </c>
      <c r="H284" t="inlineStr">
        <is>
          <t>2026</t>
        </is>
      </c>
      <c r="I284" s="15" t="n">
        <v>97</v>
      </c>
      <c r="J284" s="15" t="n">
        <v>114</v>
      </c>
      <c r="K284" s="15" t="n">
        <v>110</v>
      </c>
      <c r="L284" s="15" t="n">
        <v>125</v>
      </c>
      <c r="M284" s="15" t="n">
        <v>141</v>
      </c>
      <c r="N284" s="15" t="n">
        <v>169</v>
      </c>
      <c r="O284" s="15" t="n">
        <v>10</v>
      </c>
      <c r="P284" s="15" t="n">
        <v>0</v>
      </c>
      <c r="Q284" s="14">
        <f>IF(COUNT(I284:P284)=0,"",SUM(I284:P284))</f>
        <v/>
      </c>
      <c r="R284" t="inlineStr"/>
    </row>
    <row r="285">
      <c r="A285" t="inlineStr">
        <is>
          <t>송운초등학교</t>
        </is>
      </c>
      <c r="B285" t="inlineStr">
        <is>
          <t>초등학교</t>
        </is>
      </c>
      <c r="C285" t="inlineStr">
        <is>
          <t>공립</t>
        </is>
      </c>
      <c r="D285" t="inlineStr">
        <is>
          <t>해운대구</t>
        </is>
      </c>
      <c r="E285" t="inlineStr">
        <is>
          <t>부산광역시 해운대구 신반송로 20</t>
        </is>
      </c>
      <c r="F285" s="11" t="inlineStr">
        <is>
          <t>http://songun.es.kr</t>
        </is>
      </c>
      <c r="G285" t="inlineStr">
        <is>
          <t>051-540-2600</t>
        </is>
      </c>
      <c r="H285" t="inlineStr">
        <is>
          <t>2026</t>
        </is>
      </c>
      <c r="I285" s="15" t="n">
        <v>34</v>
      </c>
      <c r="J285" s="15" t="n">
        <v>35</v>
      </c>
      <c r="K285" s="15" t="n">
        <v>47</v>
      </c>
      <c r="L285" s="15" t="n">
        <v>55</v>
      </c>
      <c r="M285" s="15" t="n">
        <v>50</v>
      </c>
      <c r="N285" s="15" t="n">
        <v>49</v>
      </c>
      <c r="O285" s="15" t="n">
        <v>8</v>
      </c>
      <c r="P285" s="15" t="n">
        <v>0</v>
      </c>
      <c r="Q285" s="14">
        <f>IF(COUNT(I285:P285)=0,"",SUM(I285:P285))</f>
        <v/>
      </c>
      <c r="R285" t="inlineStr"/>
    </row>
    <row r="286">
      <c r="A286" t="inlineStr">
        <is>
          <t>송정초등학교</t>
        </is>
      </c>
      <c r="B286" t="inlineStr">
        <is>
          <t>초등학교</t>
        </is>
      </c>
      <c r="C286" t="inlineStr">
        <is>
          <t>공립</t>
        </is>
      </c>
      <c r="D286" t="inlineStr">
        <is>
          <t>해운대구</t>
        </is>
      </c>
      <c r="E286" t="inlineStr">
        <is>
          <t>부산광역시 해운대구 해운대로 1164-9</t>
        </is>
      </c>
      <c r="F286" s="11" t="inlineStr">
        <is>
          <t>http://www.hudsj.es.kr/</t>
        </is>
      </c>
      <c r="G286" t="inlineStr">
        <is>
          <t>051-709-6700</t>
        </is>
      </c>
      <c r="H286" t="inlineStr">
        <is>
          <t>2026</t>
        </is>
      </c>
      <c r="I286" s="15" t="n">
        <v>15</v>
      </c>
      <c r="J286" s="15" t="n">
        <v>29</v>
      </c>
      <c r="K286" s="15" t="n">
        <v>18</v>
      </c>
      <c r="L286" s="15" t="n">
        <v>33</v>
      </c>
      <c r="M286" s="15" t="n">
        <v>39</v>
      </c>
      <c r="N286" s="15" t="n">
        <v>44</v>
      </c>
      <c r="O286" s="15" t="n">
        <v>7</v>
      </c>
      <c r="P286" s="15" t="n">
        <v>0</v>
      </c>
      <c r="Q286" s="14">
        <f>IF(COUNT(I286:P286)=0,"",SUM(I286:P286))</f>
        <v/>
      </c>
      <c r="R286" t="inlineStr"/>
    </row>
    <row r="287">
      <c r="A287" t="inlineStr">
        <is>
          <t>신곡초등학교</t>
        </is>
      </c>
      <c r="B287" t="inlineStr">
        <is>
          <t>초등학교</t>
        </is>
      </c>
      <c r="C287" t="inlineStr">
        <is>
          <t>공립</t>
        </is>
      </c>
      <c r="D287" t="inlineStr">
        <is>
          <t>해운대구</t>
        </is>
      </c>
      <c r="E287" t="inlineStr">
        <is>
          <t>부산광역시 해운대구 좌동순환로 290</t>
        </is>
      </c>
      <c r="F287" s="11" t="inlineStr">
        <is>
          <t>http://www.singok.es.kr</t>
        </is>
      </c>
      <c r="G287" t="inlineStr">
        <is>
          <t>051-702-6266</t>
        </is>
      </c>
      <c r="H287" t="inlineStr">
        <is>
          <t>2026</t>
        </is>
      </c>
      <c r="I287" s="15" t="n">
        <v>59</v>
      </c>
      <c r="J287" s="15" t="n">
        <v>50</v>
      </c>
      <c r="K287" s="15" t="n">
        <v>57</v>
      </c>
      <c r="L287" s="15" t="n">
        <v>92</v>
      </c>
      <c r="M287" s="15" t="n">
        <v>89</v>
      </c>
      <c r="N287" s="15" t="n">
        <v>102</v>
      </c>
      <c r="O287" s="15" t="n">
        <v>6</v>
      </c>
      <c r="P287" s="15" t="n">
        <v>0</v>
      </c>
      <c r="Q287" s="14">
        <f>IF(COUNT(I287:P287)=0,"",SUM(I287:P287))</f>
        <v/>
      </c>
      <c r="R287" t="inlineStr"/>
    </row>
    <row r="288">
      <c r="A288" t="inlineStr">
        <is>
          <t>신도초등학교</t>
        </is>
      </c>
      <c r="B288" t="inlineStr">
        <is>
          <t>초등학교</t>
        </is>
      </c>
      <c r="C288" t="inlineStr">
        <is>
          <t>공립</t>
        </is>
      </c>
      <c r="D288" t="inlineStr">
        <is>
          <t>해운대구</t>
        </is>
      </c>
      <c r="E288" t="inlineStr">
        <is>
          <t>부산광역시 해운대구 좌동순환로 34</t>
        </is>
      </c>
      <c r="F288" s="11" t="inlineStr">
        <is>
          <t>http://sin-do.es.kr/</t>
        </is>
      </c>
      <c r="G288" t="inlineStr">
        <is>
          <t>051-750-0900</t>
        </is>
      </c>
      <c r="H288" t="inlineStr">
        <is>
          <t>2026</t>
        </is>
      </c>
      <c r="I288" s="15" t="n">
        <v>58</v>
      </c>
      <c r="J288" s="15" t="n">
        <v>80</v>
      </c>
      <c r="K288" s="15" t="n">
        <v>83</v>
      </c>
      <c r="L288" s="15" t="n">
        <v>96</v>
      </c>
      <c r="M288" s="15" t="n">
        <v>106</v>
      </c>
      <c r="N288" s="15" t="n">
        <v>81</v>
      </c>
      <c r="O288" s="15" t="n">
        <v>7</v>
      </c>
      <c r="P288" s="15" t="n">
        <v>0</v>
      </c>
      <c r="Q288" s="14">
        <f>IF(COUNT(I288:P288)=0,"",SUM(I288:P288))</f>
        <v/>
      </c>
      <c r="R288" t="inlineStr"/>
    </row>
    <row r="289">
      <c r="A289" t="inlineStr">
        <is>
          <t>신재초등학교</t>
        </is>
      </c>
      <c r="B289" t="inlineStr">
        <is>
          <t>초등학교</t>
        </is>
      </c>
      <c r="C289" t="inlineStr">
        <is>
          <t>공립</t>
        </is>
      </c>
      <c r="D289" t="inlineStr">
        <is>
          <t>해운대구</t>
        </is>
      </c>
      <c r="E289" t="inlineStr">
        <is>
          <t>부산광역시 해운대구 해운대로81번길 81</t>
        </is>
      </c>
      <c r="F289" s="11" t="inlineStr">
        <is>
          <t>http://www.sinjae.es.kr</t>
        </is>
      </c>
      <c r="G289" t="inlineStr">
        <is>
          <t>051-780-3800</t>
        </is>
      </c>
      <c r="H289" t="inlineStr">
        <is>
          <t>2026</t>
        </is>
      </c>
      <c r="I289" s="15" t="n">
        <v>40</v>
      </c>
      <c r="J289" s="15" t="n">
        <v>37</v>
      </c>
      <c r="K289" s="15" t="n">
        <v>47</v>
      </c>
      <c r="L289" s="15" t="n">
        <v>46</v>
      </c>
      <c r="M289" s="15" t="n">
        <v>64</v>
      </c>
      <c r="N289" s="15" t="n">
        <v>42</v>
      </c>
      <c r="O289" s="15" t="n">
        <v>4</v>
      </c>
      <c r="P289" s="15" t="n">
        <v>0</v>
      </c>
      <c r="Q289" s="14">
        <f>IF(COUNT(I289:P289)=0,"",SUM(I289:P289))</f>
        <v/>
      </c>
      <c r="R289" t="inlineStr"/>
    </row>
    <row r="290">
      <c r="A290" t="inlineStr">
        <is>
          <t>양운초등학교</t>
        </is>
      </c>
      <c r="B290" t="inlineStr">
        <is>
          <t>초등학교</t>
        </is>
      </c>
      <c r="C290" t="inlineStr">
        <is>
          <t>공립</t>
        </is>
      </c>
      <c r="D290" t="inlineStr">
        <is>
          <t>해운대구</t>
        </is>
      </c>
      <c r="E290" t="inlineStr">
        <is>
          <t>부산광역시 해운대구 대천로67번길 36</t>
        </is>
      </c>
      <c r="F290" s="11" t="inlineStr">
        <is>
          <t>http://www.yangun.es.kr/</t>
        </is>
      </c>
      <c r="G290" t="inlineStr">
        <is>
          <t>051-709-6800</t>
        </is>
      </c>
      <c r="H290" t="inlineStr">
        <is>
          <t>2026</t>
        </is>
      </c>
      <c r="I290" s="15" t="n">
        <v>25</v>
      </c>
      <c r="J290" s="15" t="n">
        <v>37</v>
      </c>
      <c r="K290" s="15" t="n">
        <v>35</v>
      </c>
      <c r="L290" s="15" t="n">
        <v>61</v>
      </c>
      <c r="M290" s="15" t="n">
        <v>61</v>
      </c>
      <c r="N290" s="15" t="n">
        <v>60</v>
      </c>
      <c r="O290" s="15" t="n">
        <v>5</v>
      </c>
      <c r="P290" s="15" t="n">
        <v>0</v>
      </c>
      <c r="Q290" s="14">
        <f>IF(COUNT(I290:P290)=0,"",SUM(I290:P290))</f>
        <v/>
      </c>
      <c r="R290" t="inlineStr"/>
    </row>
    <row r="291">
      <c r="A291" t="inlineStr">
        <is>
          <t>운봉초등학교</t>
        </is>
      </c>
      <c r="B291" t="inlineStr">
        <is>
          <t>초등학교</t>
        </is>
      </c>
      <c r="C291" t="inlineStr">
        <is>
          <t>공립</t>
        </is>
      </c>
      <c r="D291" t="inlineStr">
        <is>
          <t>해운대구</t>
        </is>
      </c>
      <c r="E291" t="inlineStr">
        <is>
          <t>부산광역시 해운대구 신반송로 11-20</t>
        </is>
      </c>
      <c r="F291" s="11" t="inlineStr">
        <is>
          <t>http://www.unbong.es.kr</t>
        </is>
      </c>
      <c r="G291" t="inlineStr">
        <is>
          <t>051-542-8272</t>
        </is>
      </c>
      <c r="H291" t="inlineStr">
        <is>
          <t>2026</t>
        </is>
      </c>
      <c r="I291" s="15" t="n">
        <v>7</v>
      </c>
      <c r="J291" s="15" t="n">
        <v>12</v>
      </c>
      <c r="K291" s="15" t="n">
        <v>6</v>
      </c>
      <c r="L291" s="15" t="n">
        <v>15</v>
      </c>
      <c r="M291" s="15" t="n">
        <v>19</v>
      </c>
      <c r="N291" s="15" t="n">
        <v>24</v>
      </c>
      <c r="O291" s="15" t="n">
        <v>6</v>
      </c>
      <c r="P291" s="15" t="n">
        <v>0</v>
      </c>
      <c r="Q291" s="14">
        <f>IF(COUNT(I291:P291)=0,"",SUM(I291:P291))</f>
        <v/>
      </c>
      <c r="R291" t="inlineStr"/>
    </row>
    <row r="292">
      <c r="A292" t="inlineStr">
        <is>
          <t>운송초등학교</t>
        </is>
      </c>
      <c r="B292" t="inlineStr">
        <is>
          <t>초등학교</t>
        </is>
      </c>
      <c r="C292" t="inlineStr">
        <is>
          <t>공립</t>
        </is>
      </c>
      <c r="D292" t="inlineStr">
        <is>
          <t>해운대구</t>
        </is>
      </c>
      <c r="E292" t="inlineStr">
        <is>
          <t>부산광역시 해운대구 반송로 839</t>
        </is>
      </c>
      <c r="F292" s="11" t="inlineStr">
        <is>
          <t>http://woonsong.es.kr</t>
        </is>
      </c>
      <c r="G292" t="inlineStr">
        <is>
          <t>051-540-5300</t>
        </is>
      </c>
      <c r="H292" t="inlineStr">
        <is>
          <t>2026</t>
        </is>
      </c>
      <c r="I292" s="15" t="n">
        <v>10</v>
      </c>
      <c r="J292" s="15" t="n">
        <v>9</v>
      </c>
      <c r="K292" s="15" t="n">
        <v>6</v>
      </c>
      <c r="L292" s="15" t="n">
        <v>20</v>
      </c>
      <c r="M292" s="15" t="n">
        <v>13</v>
      </c>
      <c r="N292" s="15" t="n">
        <v>10</v>
      </c>
      <c r="O292" s="15" t="n">
        <v>3</v>
      </c>
      <c r="P292" s="15" t="n">
        <v>0</v>
      </c>
      <c r="Q292" s="14">
        <f>IF(COUNT(I292:P292)=0,"",SUM(I292:P292))</f>
        <v/>
      </c>
      <c r="R292" t="inlineStr"/>
    </row>
    <row r="293">
      <c r="A293" t="inlineStr">
        <is>
          <t>인지초등학교</t>
        </is>
      </c>
      <c r="B293" t="inlineStr">
        <is>
          <t>초등학교</t>
        </is>
      </c>
      <c r="C293" t="inlineStr">
        <is>
          <t>공립</t>
        </is>
      </c>
      <c r="D293" t="inlineStr">
        <is>
          <t>해운대구</t>
        </is>
      </c>
      <c r="E293" t="inlineStr">
        <is>
          <t>부산광역시 해운대구 반여로 128</t>
        </is>
      </c>
      <c r="F293" s="11" t="inlineStr">
        <is>
          <t>http://www.ij.es.kr</t>
        </is>
      </c>
      <c r="G293" t="inlineStr">
        <is>
          <t>051-520-0100</t>
        </is>
      </c>
      <c r="H293" t="inlineStr">
        <is>
          <t>2026</t>
        </is>
      </c>
      <c r="I293" s="15" t="n">
        <v>66</v>
      </c>
      <c r="J293" s="15" t="n">
        <v>66</v>
      </c>
      <c r="K293" s="15" t="n">
        <v>61</v>
      </c>
      <c r="L293" s="15" t="n">
        <v>87</v>
      </c>
      <c r="M293" s="15" t="n">
        <v>88</v>
      </c>
      <c r="N293" s="15" t="n">
        <v>86</v>
      </c>
      <c r="O293" s="15" t="n">
        <v>6</v>
      </c>
      <c r="P293" s="15" t="n">
        <v>0</v>
      </c>
      <c r="Q293" s="14">
        <f>IF(COUNT(I293:P293)=0,"",SUM(I293:P293))</f>
        <v/>
      </c>
      <c r="R293" t="inlineStr"/>
    </row>
    <row r="294">
      <c r="A294" t="inlineStr">
        <is>
          <t>장산초등학교</t>
        </is>
      </c>
      <c r="B294" t="inlineStr">
        <is>
          <t>초등학교</t>
        </is>
      </c>
      <c r="C294" t="inlineStr">
        <is>
          <t>공립</t>
        </is>
      </c>
      <c r="D294" t="inlineStr">
        <is>
          <t>해운대구</t>
        </is>
      </c>
      <c r="E294" t="inlineStr">
        <is>
          <t>부산광역시 해운대구 선수촌로 68</t>
        </is>
      </c>
      <c r="F294" s="11" t="inlineStr">
        <is>
          <t>http://www.jangsan.es.kr</t>
        </is>
      </c>
      <c r="G294" t="inlineStr">
        <is>
          <t>051-520-1500</t>
        </is>
      </c>
      <c r="H294" t="inlineStr">
        <is>
          <t>2026</t>
        </is>
      </c>
      <c r="I294" s="15" t="n">
        <v>61</v>
      </c>
      <c r="J294" s="15" t="n">
        <v>90</v>
      </c>
      <c r="K294" s="15" t="n">
        <v>93</v>
      </c>
      <c r="L294" s="15" t="n">
        <v>93</v>
      </c>
      <c r="M294" s="15" t="n">
        <v>132</v>
      </c>
      <c r="N294" s="15" t="n">
        <v>138</v>
      </c>
      <c r="O294" s="15" t="n">
        <v>7</v>
      </c>
      <c r="P294" s="15" t="n">
        <v>0</v>
      </c>
      <c r="Q294" s="14">
        <f>IF(COUNT(I294:P294)=0,"",SUM(I294:P294))</f>
        <v/>
      </c>
      <c r="R294" t="inlineStr"/>
    </row>
    <row r="295">
      <c r="A295" t="inlineStr">
        <is>
          <t>재송초등학교</t>
        </is>
      </c>
      <c r="B295" t="inlineStr">
        <is>
          <t>초등학교</t>
        </is>
      </c>
      <c r="C295" t="inlineStr">
        <is>
          <t>공립</t>
        </is>
      </c>
      <c r="D295" t="inlineStr">
        <is>
          <t>해운대구</t>
        </is>
      </c>
      <c r="E295" t="inlineStr">
        <is>
          <t>부산광역시 해운대구 재반로64번길 33</t>
        </is>
      </c>
      <c r="F295" s="11" t="inlineStr">
        <is>
          <t>http://www.jaesong.es.kr</t>
        </is>
      </c>
      <c r="G295" t="inlineStr">
        <is>
          <t>051-780-3500</t>
        </is>
      </c>
      <c r="H295" t="inlineStr">
        <is>
          <t>2026</t>
        </is>
      </c>
      <c r="I295" s="15" t="n">
        <v>36</v>
      </c>
      <c r="J295" s="15" t="n">
        <v>33</v>
      </c>
      <c r="K295" s="15" t="n">
        <v>43</v>
      </c>
      <c r="L295" s="15" t="n">
        <v>52</v>
      </c>
      <c r="M295" s="15" t="n">
        <v>58</v>
      </c>
      <c r="N295" s="15" t="n">
        <v>73</v>
      </c>
      <c r="O295" s="15" t="n">
        <v>11</v>
      </c>
      <c r="P295" s="15" t="n">
        <v>0</v>
      </c>
      <c r="Q295" s="14">
        <f>IF(COUNT(I295:P295)=0,"",SUM(I295:P295))</f>
        <v/>
      </c>
      <c r="R295" t="inlineStr"/>
    </row>
    <row r="296">
      <c r="A296" t="inlineStr">
        <is>
          <t>좌동초등학교</t>
        </is>
      </c>
      <c r="B296" t="inlineStr">
        <is>
          <t>초등학교</t>
        </is>
      </c>
      <c r="C296" t="inlineStr">
        <is>
          <t>공립</t>
        </is>
      </c>
      <c r="D296" t="inlineStr">
        <is>
          <t>해운대구</t>
        </is>
      </c>
      <c r="E296" t="inlineStr">
        <is>
          <t>부산광역시 해운대구 세실로 127</t>
        </is>
      </c>
      <c r="F296" s="11" t="inlineStr">
        <is>
          <t>https://school.busanedu.net/jwadong-e/main.do</t>
        </is>
      </c>
      <c r="G296" t="inlineStr">
        <is>
          <t>051-701-4734</t>
        </is>
      </c>
      <c r="H296" t="inlineStr">
        <is>
          <t>2026</t>
        </is>
      </c>
      <c r="I296" s="15" t="n">
        <v>48</v>
      </c>
      <c r="J296" s="15" t="n">
        <v>38</v>
      </c>
      <c r="K296" s="15" t="n">
        <v>53</v>
      </c>
      <c r="L296" s="15" t="n">
        <v>66</v>
      </c>
      <c r="M296" s="15" t="n">
        <v>63</v>
      </c>
      <c r="N296" s="15" t="n">
        <v>80</v>
      </c>
      <c r="O296" s="15" t="n">
        <v>5</v>
      </c>
      <c r="P296" s="15" t="n">
        <v>0</v>
      </c>
      <c r="Q296" s="14">
        <f>IF(COUNT(I296:P296)=0,"",SUM(I296:P296))</f>
        <v/>
      </c>
      <c r="R296" t="inlineStr"/>
    </row>
    <row r="297">
      <c r="A297" t="inlineStr">
        <is>
          <t>좌산초등학교</t>
        </is>
      </c>
      <c r="B297" t="inlineStr">
        <is>
          <t>초등학교</t>
        </is>
      </c>
      <c r="C297" t="inlineStr">
        <is>
          <t>공립</t>
        </is>
      </c>
      <c r="D297" t="inlineStr">
        <is>
          <t>해운대구</t>
        </is>
      </c>
      <c r="E297" t="inlineStr">
        <is>
          <t>부산광역시 해운대구 좌동순환로311번길 7</t>
        </is>
      </c>
      <c r="F297" s="11" t="inlineStr">
        <is>
          <t>http://www.jwasan.es.kr/</t>
        </is>
      </c>
      <c r="G297" t="inlineStr">
        <is>
          <t>051-709-1700</t>
        </is>
      </c>
      <c r="H297" t="inlineStr">
        <is>
          <t>2026</t>
        </is>
      </c>
      <c r="I297" s="15" t="n">
        <v>53</v>
      </c>
      <c r="J297" s="15" t="n">
        <v>71</v>
      </c>
      <c r="K297" s="15" t="n">
        <v>65</v>
      </c>
      <c r="L297" s="15" t="n">
        <v>79</v>
      </c>
      <c r="M297" s="15" t="n">
        <v>86</v>
      </c>
      <c r="N297" s="15" t="n">
        <v>66</v>
      </c>
      <c r="O297" s="15" t="n">
        <v>11</v>
      </c>
      <c r="P297" s="15" t="n">
        <v>0</v>
      </c>
      <c r="Q297" s="14">
        <f>IF(COUNT(I297:P297)=0,"",SUM(I297:P297))</f>
        <v/>
      </c>
      <c r="R297" t="inlineStr"/>
    </row>
    <row r="298">
      <c r="A298" t="inlineStr">
        <is>
          <t>해강초등학교</t>
        </is>
      </c>
      <c r="B298" t="inlineStr">
        <is>
          <t>초등학교</t>
        </is>
      </c>
      <c r="C298" t="inlineStr">
        <is>
          <t>공립</t>
        </is>
      </c>
      <c r="D298" t="inlineStr">
        <is>
          <t>해운대구</t>
        </is>
      </c>
      <c r="E298" t="inlineStr">
        <is>
          <t>부산광역시 해운대구 해운대해변로 73</t>
        </is>
      </c>
      <c r="F298" s="11" t="inlineStr">
        <is>
          <t>http://www.haegang.es.kr</t>
        </is>
      </c>
      <c r="G298" t="inlineStr">
        <is>
          <t>051-745-4500</t>
        </is>
      </c>
      <c r="H298" t="inlineStr">
        <is>
          <t>2026</t>
        </is>
      </c>
      <c r="I298" s="15" t="n">
        <v>96</v>
      </c>
      <c r="J298" s="15" t="n">
        <v>103</v>
      </c>
      <c r="K298" s="15" t="n">
        <v>123</v>
      </c>
      <c r="L298" s="15" t="n">
        <v>134</v>
      </c>
      <c r="M298" s="15" t="n">
        <v>158</v>
      </c>
      <c r="N298" s="15" t="n">
        <v>132</v>
      </c>
      <c r="O298" s="15" t="n">
        <v>6</v>
      </c>
      <c r="P298" s="15" t="n">
        <v>0</v>
      </c>
      <c r="Q298" s="14">
        <f>IF(COUNT(I298:P298)=0,"",SUM(I298:P298))</f>
        <v/>
      </c>
      <c r="R298" t="inlineStr"/>
    </row>
    <row r="299">
      <c r="A299" t="inlineStr">
        <is>
          <t>해동초등학교</t>
        </is>
      </c>
      <c r="B299" t="inlineStr">
        <is>
          <t>초등학교</t>
        </is>
      </c>
      <c r="C299" t="inlineStr">
        <is>
          <t>공립</t>
        </is>
      </c>
      <c r="D299" t="inlineStr">
        <is>
          <t>해운대구</t>
        </is>
      </c>
      <c r="E299" t="inlineStr">
        <is>
          <t>부산광역시 해운대구 우동1로 104</t>
        </is>
      </c>
      <c r="F299" s="11" t="inlineStr">
        <is>
          <t>http://www.haedong.es.kr/</t>
        </is>
      </c>
      <c r="G299" t="inlineStr">
        <is>
          <t>051-740-7200</t>
        </is>
      </c>
      <c r="H299" t="inlineStr">
        <is>
          <t>2026</t>
        </is>
      </c>
      <c r="I299" s="15" t="n">
        <v>22</v>
      </c>
      <c r="J299" s="15" t="n">
        <v>33</v>
      </c>
      <c r="K299" s="15" t="n">
        <v>27</v>
      </c>
      <c r="L299" s="15" t="n">
        <v>56</v>
      </c>
      <c r="M299" s="15" t="n">
        <v>64</v>
      </c>
      <c r="N299" s="15" t="n">
        <v>72</v>
      </c>
      <c r="O299" s="15" t="n">
        <v>7</v>
      </c>
      <c r="P299" s="15" t="n">
        <v>0</v>
      </c>
      <c r="Q299" s="14">
        <f>IF(COUNT(I299:P299)=0,"",SUM(I299:P299))</f>
        <v/>
      </c>
      <c r="R299" t="inlineStr"/>
    </row>
    <row r="300">
      <c r="A300" t="inlineStr">
        <is>
          <t>해림초등학교</t>
        </is>
      </c>
      <c r="B300" t="inlineStr">
        <is>
          <t>초등학교</t>
        </is>
      </c>
      <c r="C300" t="inlineStr">
        <is>
          <t>공립</t>
        </is>
      </c>
      <c r="D300" t="inlineStr">
        <is>
          <t>해운대구</t>
        </is>
      </c>
      <c r="E300" t="inlineStr">
        <is>
          <t>부산광역시 해운대구 해운대로469번길 42</t>
        </is>
      </c>
      <c r="F300" s="11" t="inlineStr">
        <is>
          <t>http://www.haerim.es.kr</t>
        </is>
      </c>
      <c r="G300" t="inlineStr">
        <is>
          <t>051-740-1500</t>
        </is>
      </c>
      <c r="H300" t="inlineStr">
        <is>
          <t>2026</t>
        </is>
      </c>
      <c r="I300" s="15" t="n">
        <v>117</v>
      </c>
      <c r="J300" s="15" t="n">
        <v>127</v>
      </c>
      <c r="K300" s="15" t="n">
        <v>135</v>
      </c>
      <c r="L300" s="15" t="n">
        <v>178</v>
      </c>
      <c r="M300" s="15" t="n">
        <v>161</v>
      </c>
      <c r="N300" s="15" t="n">
        <v>155</v>
      </c>
      <c r="O300" s="15" t="n">
        <v>6</v>
      </c>
      <c r="P300" s="15" t="n">
        <v>0</v>
      </c>
      <c r="Q300" s="14">
        <f>IF(COUNT(I300:P300)=0,"",SUM(I300:P300))</f>
        <v/>
      </c>
      <c r="R300" t="inlineStr"/>
    </row>
    <row r="301">
      <c r="A301" t="inlineStr">
        <is>
          <t>해송초등학교</t>
        </is>
      </c>
      <c r="B301" t="inlineStr">
        <is>
          <t>초등학교</t>
        </is>
      </c>
      <c r="C301" t="inlineStr">
        <is>
          <t>공립</t>
        </is>
      </c>
      <c r="D301" t="inlineStr">
        <is>
          <t>해운대구</t>
        </is>
      </c>
      <c r="E301" t="inlineStr">
        <is>
          <t>부산광역시 해운대구 좌동순환로402번길 32</t>
        </is>
      </c>
      <c r="F301" s="11" t="inlineStr">
        <is>
          <t>http://haesong.es.kr/</t>
        </is>
      </c>
      <c r="G301" t="inlineStr">
        <is>
          <t>051-709-6900</t>
        </is>
      </c>
      <c r="H301" t="inlineStr">
        <is>
          <t>2026</t>
        </is>
      </c>
      <c r="I301" s="15" t="n">
        <v>73</v>
      </c>
      <c r="J301" s="15" t="n">
        <v>68</v>
      </c>
      <c r="K301" s="15" t="n">
        <v>93</v>
      </c>
      <c r="L301" s="15" t="n">
        <v>91</v>
      </c>
      <c r="M301" s="15" t="n">
        <v>119</v>
      </c>
      <c r="N301" s="15" t="n">
        <v>117</v>
      </c>
      <c r="O301" s="15" t="n">
        <v>5</v>
      </c>
      <c r="P301" s="15" t="n">
        <v>0</v>
      </c>
      <c r="Q301" s="14">
        <f>IF(COUNT(I301:P301)=0,"",SUM(I301:P301))</f>
        <v/>
      </c>
      <c r="R301" t="inlineStr"/>
    </row>
    <row r="302">
      <c r="A302" t="inlineStr">
        <is>
          <t>해운대초등학교</t>
        </is>
      </c>
      <c r="B302" t="inlineStr">
        <is>
          <t>초등학교</t>
        </is>
      </c>
      <c r="C302" t="inlineStr">
        <is>
          <t>공립</t>
        </is>
      </c>
      <c r="D302" t="inlineStr">
        <is>
          <t>해운대구</t>
        </is>
      </c>
      <c r="E302" t="inlineStr">
        <is>
          <t>부산광역시 해운대구 중동2로24번길 30</t>
        </is>
      </c>
      <c r="F302" s="11" t="inlineStr">
        <is>
          <t>http://www.haeundae.es.kr</t>
        </is>
      </c>
      <c r="G302" t="inlineStr">
        <is>
          <t>051-746-0045</t>
        </is>
      </c>
      <c r="H302" t="inlineStr">
        <is>
          <t>2026</t>
        </is>
      </c>
      <c r="I302" s="15" t="n">
        <v>174</v>
      </c>
      <c r="J302" s="15" t="n">
        <v>209</v>
      </c>
      <c r="K302" s="15" t="n">
        <v>175</v>
      </c>
      <c r="L302" s="15" t="n">
        <v>190</v>
      </c>
      <c r="M302" s="15" t="n">
        <v>206</v>
      </c>
      <c r="N302" s="15" t="n">
        <v>209</v>
      </c>
      <c r="O302" s="15" t="n">
        <v>7</v>
      </c>
      <c r="P302" s="15" t="n">
        <v>0</v>
      </c>
      <c r="Q302" s="14">
        <f>IF(COUNT(I302:P302)=0,"",SUM(I302:P302))</f>
        <v/>
      </c>
      <c r="R302" t="inlineStr"/>
    </row>
    <row r="303">
      <c r="A303" t="inlineStr">
        <is>
          <t>해원초등학교</t>
        </is>
      </c>
      <c r="B303" t="inlineStr">
        <is>
          <t>초등학교</t>
        </is>
      </c>
      <c r="C303" t="inlineStr">
        <is>
          <t>공립</t>
        </is>
      </c>
      <c r="D303" t="inlineStr">
        <is>
          <t>해운대구</t>
        </is>
      </c>
      <c r="E303" t="inlineStr">
        <is>
          <t>부산광역시 해운대구 마린시티2로 10</t>
        </is>
      </c>
      <c r="F303" s="11" t="inlineStr">
        <is>
          <t>http://haewon.es.kr</t>
        </is>
      </c>
      <c r="G303" t="inlineStr">
        <is>
          <t>051-740-9900</t>
        </is>
      </c>
      <c r="H303" t="inlineStr">
        <is>
          <t>2026</t>
        </is>
      </c>
      <c r="I303" s="15" t="n">
        <v>148</v>
      </c>
      <c r="J303" s="15" t="n">
        <v>160</v>
      </c>
      <c r="K303" s="15" t="n">
        <v>157</v>
      </c>
      <c r="L303" s="15" t="n">
        <v>190</v>
      </c>
      <c r="M303" s="15" t="n">
        <v>207</v>
      </c>
      <c r="N303" s="15" t="n">
        <v>177</v>
      </c>
      <c r="O303" s="15" t="n">
        <v>9</v>
      </c>
      <c r="P303" s="15" t="n">
        <v>0</v>
      </c>
      <c r="Q303" s="14">
        <f>IF(COUNT(I303:P303)=0,"",SUM(I303:P303))</f>
        <v/>
      </c>
      <c r="R303" t="inlineStr"/>
    </row>
    <row r="304">
      <c r="A304" t="inlineStr">
        <is>
          <t>눌차초등학교</t>
        </is>
      </c>
      <c r="B304" t="inlineStr">
        <is>
          <t>초등학교</t>
        </is>
      </c>
      <c r="C304" t="inlineStr">
        <is>
          <t>공립</t>
        </is>
      </c>
      <c r="D304" t="inlineStr"/>
      <c r="E304" t="inlineStr"/>
      <c r="F304" s="11" t="inlineStr">
        <is>
          <t>http://www.nulcha.es.kr</t>
        </is>
      </c>
      <c r="G304" t="inlineStr">
        <is>
          <t>051-972-7326</t>
        </is>
      </c>
      <c r="H304" t="inlineStr"/>
      <c r="Q304" s="14">
        <f>IF(COUNT(I304:P304)=0,"",SUM(I304:P304))</f>
        <v/>
      </c>
      <c r="R304" t="inlineStr">
        <is>
          <t>2026 공시 없음 — 폐교·통폐합 여부 확인 필요</t>
        </is>
      </c>
    </row>
    <row r="305">
      <c r="A305" t="inlineStr">
        <is>
          <t>대저중앙초등학교</t>
        </is>
      </c>
      <c r="B305" t="inlineStr">
        <is>
          <t>초등학교</t>
        </is>
      </c>
      <c r="C305" t="inlineStr">
        <is>
          <t>공립</t>
        </is>
      </c>
      <c r="D305" t="inlineStr">
        <is>
          <t>강서구</t>
        </is>
      </c>
      <c r="E305" t="inlineStr">
        <is>
          <t>부산광역시 강서구 공항로811번길 46</t>
        </is>
      </c>
      <c r="F305" s="11" t="inlineStr">
        <is>
          <t>http://www.djjang.es.kr</t>
        </is>
      </c>
      <c r="G305" t="inlineStr">
        <is>
          <t>973-1403</t>
        </is>
      </c>
      <c r="H305" t="inlineStr"/>
      <c r="Q305" s="14">
        <f>IF(COUNT(I305:P305)=0,"",SUM(I305:P305))</f>
        <v/>
      </c>
      <c r="R305" t="inlineStr">
        <is>
          <t>2026 공시 없음 — 폐교·통폐합 여부 확인 필요</t>
        </is>
      </c>
    </row>
    <row r="306">
      <c r="A306" t="inlineStr">
        <is>
          <t>덕도초등학교</t>
        </is>
      </c>
      <c r="B306" t="inlineStr">
        <is>
          <t>초등학교</t>
        </is>
      </c>
      <c r="C306" t="inlineStr">
        <is>
          <t>공립</t>
        </is>
      </c>
      <c r="D306" t="inlineStr">
        <is>
          <t>강서구</t>
        </is>
      </c>
      <c r="E306" t="inlineStr">
        <is>
          <t>부산광역시 강서구 상덕로 113</t>
        </is>
      </c>
      <c r="F306" s="11" t="inlineStr">
        <is>
          <t>http://dukdo.es.kr</t>
        </is>
      </c>
      <c r="G306" t="inlineStr">
        <is>
          <t>051-972-1915</t>
        </is>
      </c>
      <c r="H306" t="inlineStr"/>
      <c r="Q306" s="14">
        <f>IF(COUNT(I306:P306)=0,"",SUM(I306:P306))</f>
        <v/>
      </c>
      <c r="R306" t="inlineStr">
        <is>
          <t>2026 공시 없음 — 폐교·통폐합 여부 확인 필요</t>
        </is>
      </c>
    </row>
    <row r="307">
      <c r="A307" t="inlineStr">
        <is>
          <t>삼광초등학교</t>
        </is>
      </c>
      <c r="B307" t="inlineStr">
        <is>
          <t>초등학교</t>
        </is>
      </c>
      <c r="C307" t="inlineStr">
        <is>
          <t>공립</t>
        </is>
      </c>
      <c r="D307" t="inlineStr">
        <is>
          <t>강서구</t>
        </is>
      </c>
      <c r="E307" t="inlineStr">
        <is>
          <t>부산광역시 강서구 제도로 434</t>
        </is>
      </c>
      <c r="F307" s="11" t="inlineStr">
        <is>
          <t>http://samkwang.es.kr</t>
        </is>
      </c>
      <c r="G307" t="inlineStr">
        <is>
          <t>051-973-1918</t>
        </is>
      </c>
      <c r="H307" t="inlineStr"/>
      <c r="Q307" s="14">
        <f>IF(COUNT(I307:P307)=0,"",SUM(I307:P307))</f>
        <v/>
      </c>
      <c r="R307" t="inlineStr">
        <is>
          <t>2026 공시 없음 — 폐교·통폐합 여부 확인 필요</t>
        </is>
      </c>
    </row>
    <row r="308">
      <c r="A308" t="inlineStr">
        <is>
          <t>세산초등학교</t>
        </is>
      </c>
      <c r="B308" t="inlineStr">
        <is>
          <t>초등학교</t>
        </is>
      </c>
      <c r="C308" t="inlineStr">
        <is>
          <t>공립</t>
        </is>
      </c>
      <c r="D308" t="inlineStr">
        <is>
          <t>강서구</t>
        </is>
      </c>
      <c r="E308" t="inlineStr">
        <is>
          <t>부산광역시 강서구 세산길 89</t>
        </is>
      </c>
      <c r="F308" s="11" t="inlineStr">
        <is>
          <t>http://www.sesan.es.kr</t>
        </is>
      </c>
      <c r="G308" t="inlineStr">
        <is>
          <t>051-971-5404</t>
        </is>
      </c>
      <c r="H308" t="inlineStr"/>
      <c r="Q308" s="14">
        <f>IF(COUNT(I308:P308)=0,"",SUM(I308:P308))</f>
        <v/>
      </c>
      <c r="R308" t="inlineStr">
        <is>
          <t>2026 공시 없음 — 폐교·통폐합 여부 확인 필요</t>
        </is>
      </c>
    </row>
    <row r="309">
      <c r="A309" t="inlineStr">
        <is>
          <t>송정초등학교</t>
        </is>
      </c>
      <c r="B309" t="inlineStr">
        <is>
          <t>초등학교</t>
        </is>
      </c>
      <c r="C309" t="inlineStr">
        <is>
          <t>공립</t>
        </is>
      </c>
      <c r="D309" t="inlineStr">
        <is>
          <t>강서구</t>
        </is>
      </c>
      <c r="E309" t="inlineStr">
        <is>
          <t>부산광역시 강서구 가락대로 230-72</t>
        </is>
      </c>
      <c r="F309" s="11" t="inlineStr">
        <is>
          <t>http://www.pssongjung.es.kr/</t>
        </is>
      </c>
      <c r="G309" t="inlineStr">
        <is>
          <t>051-831-5368</t>
        </is>
      </c>
      <c r="H309" t="inlineStr"/>
      <c r="Q309" s="14">
        <f>IF(COUNT(I309:P309)=0,"",SUM(I309:P309))</f>
        <v/>
      </c>
      <c r="R309" t="inlineStr">
        <is>
          <t>2026 공시 없음 — 폐교·통폐합 여부 확인 필요</t>
        </is>
      </c>
    </row>
    <row r="310">
      <c r="A310" t="inlineStr">
        <is>
          <t>서곡초등학교</t>
        </is>
      </c>
      <c r="B310" t="inlineStr">
        <is>
          <t>초등학교</t>
        </is>
      </c>
      <c r="C310" t="inlineStr">
        <is>
          <t>공립</t>
        </is>
      </c>
      <c r="D310" t="inlineStr">
        <is>
          <t>금정구</t>
        </is>
      </c>
      <c r="E310" t="inlineStr">
        <is>
          <t>부산광역시 금정구 윤산로 279</t>
        </is>
      </c>
      <c r="F310" s="11" t="inlineStr">
        <is>
          <t>http://ps-seogok.es.kr</t>
        </is>
      </c>
      <c r="G310" t="inlineStr">
        <is>
          <t>051-524-8102</t>
        </is>
      </c>
      <c r="H310" t="inlineStr"/>
      <c r="Q310" s="14">
        <f>IF(COUNT(I310:P310)=0,"",SUM(I310:P310))</f>
        <v/>
      </c>
      <c r="R310" t="inlineStr">
        <is>
          <t>2026 공시 없음 — 폐교·통폐합 여부 확인 필요</t>
        </is>
      </c>
    </row>
    <row r="311">
      <c r="A311" t="inlineStr">
        <is>
          <t>회동초등학교</t>
        </is>
      </c>
      <c r="B311" t="inlineStr">
        <is>
          <t>초등학교</t>
        </is>
      </c>
      <c r="C311" t="inlineStr">
        <is>
          <t>공립</t>
        </is>
      </c>
      <c r="D311" t="inlineStr">
        <is>
          <t>금정구</t>
        </is>
      </c>
      <c r="E311" t="inlineStr">
        <is>
          <t>부산광역시 금정구 금사로 217</t>
        </is>
      </c>
      <c r="F311" s="11" t="inlineStr">
        <is>
          <t>http://hoedong.es.kr/</t>
        </is>
      </c>
      <c r="G311" t="inlineStr">
        <is>
          <t>719-5330</t>
        </is>
      </c>
      <c r="H311" t="inlineStr"/>
      <c r="Q311" s="14">
        <f>IF(COUNT(I311:P311)=0,"",SUM(I311:P311))</f>
        <v/>
      </c>
      <c r="R311" t="inlineStr">
        <is>
          <t>2026 공시 없음 — 폐교·통폐합 여부 확인 필요</t>
        </is>
      </c>
    </row>
    <row r="312">
      <c r="A312" t="inlineStr">
        <is>
          <t>일광초등학교</t>
        </is>
      </c>
      <c r="B312" t="inlineStr">
        <is>
          <t>초등학교</t>
        </is>
      </c>
      <c r="C312" t="inlineStr">
        <is>
          <t>공립</t>
        </is>
      </c>
      <c r="D312" t="inlineStr">
        <is>
          <t>기장군</t>
        </is>
      </c>
      <c r="E312" t="inlineStr">
        <is>
          <t>부산광역시 기장군 일광면 해빛로 46</t>
        </is>
      </c>
      <c r="F312" s="11" t="inlineStr">
        <is>
          <t>http://www.ilgwang.es.kr</t>
        </is>
      </c>
      <c r="G312" t="inlineStr">
        <is>
          <t>051-930-7770</t>
        </is>
      </c>
      <c r="H312" t="inlineStr"/>
      <c r="Q312" s="14">
        <f>IF(COUNT(I312:P312)=0,"",SUM(I312:P312))</f>
        <v/>
      </c>
      <c r="R312" t="inlineStr">
        <is>
          <t>2026 공시 없음 — 폐교·통폐합 여부 확인 필요</t>
        </is>
      </c>
    </row>
    <row r="313">
      <c r="A313" t="inlineStr">
        <is>
          <t>좌성초등학교</t>
        </is>
      </c>
      <c r="B313" t="inlineStr">
        <is>
          <t>초등학교</t>
        </is>
      </c>
      <c r="C313" t="inlineStr">
        <is>
          <t>공립</t>
        </is>
      </c>
      <c r="D313" t="inlineStr">
        <is>
          <t>동구</t>
        </is>
      </c>
      <c r="E313" t="inlineStr">
        <is>
          <t>부산광역시 동구 증산동로 59</t>
        </is>
      </c>
      <c r="F313" s="11" t="inlineStr">
        <is>
          <t>http://school.busanedu.net/jwasung-e/intro.do</t>
        </is>
      </c>
      <c r="G313" t="inlineStr">
        <is>
          <t>051-646-7246</t>
        </is>
      </c>
      <c r="H313" t="inlineStr"/>
      <c r="Q313" s="14">
        <f>IF(COUNT(I313:P313)=0,"",SUM(I313:P313))</f>
        <v/>
      </c>
      <c r="R313" t="inlineStr">
        <is>
          <t>2026 공시 없음 — 폐교·통폐합 여부 확인 필요</t>
        </is>
      </c>
    </row>
    <row r="314">
      <c r="A314" t="inlineStr">
        <is>
          <t>좌천초등학교</t>
        </is>
      </c>
      <c r="B314" t="inlineStr">
        <is>
          <t>초등학교</t>
        </is>
      </c>
      <c r="C314" t="inlineStr">
        <is>
          <t>공립</t>
        </is>
      </c>
      <c r="D314" t="inlineStr">
        <is>
          <t>동구</t>
        </is>
      </c>
      <c r="E314" t="inlineStr">
        <is>
          <t>부산광역시 동구 증산서로 18</t>
        </is>
      </c>
      <c r="F314" s="11" t="inlineStr">
        <is>
          <t>http://www.joachun.es.kr</t>
        </is>
      </c>
      <c r="G314" t="inlineStr">
        <is>
          <t>051-647-2772</t>
        </is>
      </c>
      <c r="H314" t="inlineStr"/>
      <c r="Q314" s="14">
        <f>IF(COUNT(I314:P314)=0,"",SUM(I314:P314))</f>
        <v/>
      </c>
      <c r="R314" t="inlineStr">
        <is>
          <t>2026 공시 없음 — 폐교·통폐합 여부 확인 필요</t>
        </is>
      </c>
    </row>
    <row r="315">
      <c r="A315" t="inlineStr">
        <is>
          <t>가산초등학교</t>
        </is>
      </c>
      <c r="B315" t="inlineStr">
        <is>
          <t>초등학교</t>
        </is>
      </c>
      <c r="C315" t="inlineStr">
        <is>
          <t>공립</t>
        </is>
      </c>
      <c r="D315" t="inlineStr">
        <is>
          <t>부산진구</t>
        </is>
      </c>
      <c r="E315" t="inlineStr">
        <is>
          <t>부산광역시 부산진구 엄광로182번길 49</t>
        </is>
      </c>
      <c r="F315" s="11" t="inlineStr">
        <is>
          <t>http://pusangasan.es.kr</t>
        </is>
      </c>
      <c r="G315" t="inlineStr">
        <is>
          <t>051-892-9765</t>
        </is>
      </c>
      <c r="H315" t="inlineStr">
        <is>
          <t>2024</t>
        </is>
      </c>
      <c r="I315" s="15" t="n">
        <v>0</v>
      </c>
      <c r="J315" s="15" t="n">
        <v>4</v>
      </c>
      <c r="K315" s="15" t="n">
        <v>8</v>
      </c>
      <c r="L315" s="15" t="n">
        <v>6</v>
      </c>
      <c r="M315" s="15" t="n">
        <v>5</v>
      </c>
      <c r="N315" s="15" t="n">
        <v>10</v>
      </c>
      <c r="O315" s="15" t="n">
        <v>3</v>
      </c>
      <c r="P315" s="15" t="n">
        <v>0</v>
      </c>
      <c r="Q315" s="14">
        <f>IF(COUNT(I315:P315)=0,"",SUM(I315:P315))</f>
        <v/>
      </c>
      <c r="R315" t="inlineStr">
        <is>
          <t>2024년 공시가 최신 — 폐교·통폐합 여부 확인 필요</t>
        </is>
      </c>
    </row>
    <row r="316">
      <c r="A316" t="inlineStr">
        <is>
          <t>주원초등학교</t>
        </is>
      </c>
      <c r="B316" t="inlineStr">
        <is>
          <t>초등학교</t>
        </is>
      </c>
      <c r="C316" t="inlineStr">
        <is>
          <t>공립</t>
        </is>
      </c>
      <c r="D316" t="inlineStr">
        <is>
          <t>부산진구</t>
        </is>
      </c>
      <c r="E316" t="inlineStr">
        <is>
          <t>부산광역시 부산진구 복지로 71</t>
        </is>
      </c>
      <c r="F316" s="11" t="inlineStr">
        <is>
          <t>http://juwon.es.kr</t>
        </is>
      </c>
      <c r="G316" t="inlineStr">
        <is>
          <t>051-894-4154</t>
        </is>
      </c>
      <c r="H316" t="inlineStr">
        <is>
          <t>2024</t>
        </is>
      </c>
      <c r="I316" s="15" t="n">
        <v>11</v>
      </c>
      <c r="J316" s="15" t="n">
        <v>15</v>
      </c>
      <c r="K316" s="15" t="n">
        <v>16</v>
      </c>
      <c r="L316" s="15" t="n">
        <v>15</v>
      </c>
      <c r="M316" s="15" t="n">
        <v>14</v>
      </c>
      <c r="N316" s="15" t="n">
        <v>23</v>
      </c>
      <c r="O316" s="15" t="n">
        <v>5</v>
      </c>
      <c r="P316" s="15" t="n">
        <v>0</v>
      </c>
      <c r="Q316" s="14">
        <f>IF(COUNT(I316:P316)=0,"",SUM(I316:P316))</f>
        <v/>
      </c>
      <c r="R316" t="inlineStr">
        <is>
          <t>2024년 공시가 최신 — 폐교·통폐합 여부 확인 필요</t>
        </is>
      </c>
    </row>
    <row r="317">
      <c r="A317" t="inlineStr">
        <is>
          <t>괘법초등학교</t>
        </is>
      </c>
      <c r="B317" t="inlineStr">
        <is>
          <t>초등학교</t>
        </is>
      </c>
      <c r="C317" t="inlineStr">
        <is>
          <t>공립</t>
        </is>
      </c>
      <c r="D317" t="inlineStr">
        <is>
          <t>사상구</t>
        </is>
      </c>
      <c r="E317" t="inlineStr">
        <is>
          <t>부산광역시 사상구 사상로161번길 8</t>
        </is>
      </c>
      <c r="F317" s="11" t="inlineStr">
        <is>
          <t>http://gwaebeop.es.kr</t>
        </is>
      </c>
      <c r="G317" t="inlineStr">
        <is>
          <t>051-315-4345</t>
        </is>
      </c>
      <c r="H317" t="inlineStr">
        <is>
          <t>2025</t>
        </is>
      </c>
      <c r="I317" s="15" t="n">
        <v>9</v>
      </c>
      <c r="J317" s="15" t="n">
        <v>9</v>
      </c>
      <c r="K317" s="15" t="n">
        <v>10</v>
      </c>
      <c r="L317" s="15" t="n">
        <v>5</v>
      </c>
      <c r="M317" s="15" t="n">
        <v>9</v>
      </c>
      <c r="N317" s="15" t="n">
        <v>7</v>
      </c>
      <c r="O317" s="15" t="n">
        <v>3</v>
      </c>
      <c r="P317" s="15" t="n">
        <v>0</v>
      </c>
      <c r="Q317" s="14">
        <f>IF(COUNT(I317:P317)=0,"",SUM(I317:P317))</f>
        <v/>
      </c>
      <c r="R317" t="inlineStr">
        <is>
          <t>2025년 공시가 최신 — 폐교·통폐합 여부 확인 필요</t>
        </is>
      </c>
    </row>
    <row r="318">
      <c r="A318" t="inlineStr">
        <is>
          <t>감정초등학교</t>
        </is>
      </c>
      <c r="B318" t="inlineStr">
        <is>
          <t>초등학교</t>
        </is>
      </c>
      <c r="C318" t="inlineStr">
        <is>
          <t>공립</t>
        </is>
      </c>
      <c r="D318" t="inlineStr">
        <is>
          <t>사하구</t>
        </is>
      </c>
      <c r="E318" t="inlineStr">
        <is>
          <t>부산광역시 사하구 옥천로 130</t>
        </is>
      </c>
      <c r="F318" s="11" t="inlineStr">
        <is>
          <t>http://gamjung.es.kr/</t>
        </is>
      </c>
      <c r="G318" t="inlineStr">
        <is>
          <t>051-220-0100</t>
        </is>
      </c>
      <c r="H318" t="inlineStr"/>
      <c r="Q318" s="14">
        <f>IF(COUNT(I318:P318)=0,"",SUM(I318:P318))</f>
        <v/>
      </c>
      <c r="R318" t="inlineStr">
        <is>
          <t>2026 공시 없음 — 폐교·통폐합 여부 확인 필요</t>
        </is>
      </c>
    </row>
    <row r="319">
      <c r="A319" t="inlineStr">
        <is>
          <t>봉삼초등학교</t>
        </is>
      </c>
      <c r="B319" t="inlineStr">
        <is>
          <t>초등학교</t>
        </is>
      </c>
      <c r="C319" t="inlineStr">
        <is>
          <t>공립</t>
        </is>
      </c>
      <c r="D319" t="inlineStr">
        <is>
          <t>영도구</t>
        </is>
      </c>
      <c r="E319" t="inlineStr">
        <is>
          <t>부산광역시 영도구 함지로79번길 39</t>
        </is>
      </c>
      <c r="F319" s="11" t="inlineStr">
        <is>
          <t>http://bongsam.es.kr</t>
        </is>
      </c>
      <c r="G319" t="inlineStr">
        <is>
          <t>051-405-0916</t>
        </is>
      </c>
      <c r="H319" t="inlineStr">
        <is>
          <t>2025</t>
        </is>
      </c>
      <c r="I319" s="15" t="n">
        <v>5</v>
      </c>
      <c r="J319" s="15" t="n">
        <v>1</v>
      </c>
      <c r="K319" s="15" t="n">
        <v>5</v>
      </c>
      <c r="L319" s="15" t="n">
        <v>4</v>
      </c>
      <c r="M319" s="15" t="n">
        <v>8</v>
      </c>
      <c r="N319" s="15" t="n">
        <v>4</v>
      </c>
      <c r="O319" s="15" t="n">
        <v>5</v>
      </c>
      <c r="P319" s="15" t="n">
        <v>0</v>
      </c>
      <c r="Q319" s="14">
        <f>IF(COUNT(I319:P319)=0,"",SUM(I319:P319))</f>
        <v/>
      </c>
      <c r="R319" t="inlineStr">
        <is>
          <t>2025년 공시가 최신 — 폐교·통폐합 여부 확인 필요</t>
        </is>
      </c>
    </row>
    <row r="320">
      <c r="A320" t="inlineStr">
        <is>
          <t>신선초등학교</t>
        </is>
      </c>
      <c r="B320" t="inlineStr">
        <is>
          <t>초등학교</t>
        </is>
      </c>
      <c r="C320" t="inlineStr">
        <is>
          <t>공립</t>
        </is>
      </c>
      <c r="D320" t="inlineStr">
        <is>
          <t>영도구</t>
        </is>
      </c>
      <c r="E320" t="inlineStr">
        <is>
          <t>부산광역시 영도구 산정길 17</t>
        </is>
      </c>
      <c r="F320" s="11" t="inlineStr">
        <is>
          <t>http://www.sinseon.es.kr/</t>
        </is>
      </c>
      <c r="G320" t="inlineStr">
        <is>
          <t>051-719-1301</t>
        </is>
      </c>
      <c r="H320" t="inlineStr">
        <is>
          <t>2025</t>
        </is>
      </c>
      <c r="I320" s="15" t="n">
        <v>0</v>
      </c>
      <c r="J320" s="15" t="n">
        <v>3</v>
      </c>
      <c r="K320" s="15" t="n">
        <v>4</v>
      </c>
      <c r="L320" s="15" t="n">
        <v>2</v>
      </c>
      <c r="M320" s="15" t="n">
        <v>0</v>
      </c>
      <c r="N320" s="15" t="n">
        <v>12</v>
      </c>
      <c r="O320" s="15" t="n">
        <v>0</v>
      </c>
      <c r="P320" s="15" t="n">
        <v>0</v>
      </c>
      <c r="Q320" s="14">
        <f>IF(COUNT(I320:P320)=0,"",SUM(I320:P320))</f>
        <v/>
      </c>
      <c r="R320" t="inlineStr">
        <is>
          <t>2025년 공시가 최신 — 폐교·통폐합 여부 확인 필요</t>
        </is>
      </c>
    </row>
    <row r="321">
      <c r="A321" t="inlineStr">
        <is>
          <t>위봉초등학교</t>
        </is>
      </c>
      <c r="B321" t="inlineStr">
        <is>
          <t>초등학교</t>
        </is>
      </c>
      <c r="C321" t="inlineStr">
        <is>
          <t>공립</t>
        </is>
      </c>
      <c r="D321" t="inlineStr">
        <is>
          <t>해운대구</t>
        </is>
      </c>
      <c r="E321" t="inlineStr">
        <is>
          <t>부산광역시 해운대구 재반로 301</t>
        </is>
      </c>
      <c r="F321" s="11" t="inlineStr">
        <is>
          <t>http://we.es.kr</t>
        </is>
      </c>
      <c r="G321" t="inlineStr">
        <is>
          <t>051-520-0400</t>
        </is>
      </c>
      <c r="H321" t="inlineStr"/>
      <c r="Q321" s="14">
        <f>IF(COUNT(I321:P321)=0,"",SUM(I321:P321))</f>
        <v/>
      </c>
      <c r="R321" t="inlineStr">
        <is>
          <t>2026 공시 없음 — 폐교·통폐합 여부 확인 필요</t>
        </is>
      </c>
    </row>
  </sheetData>
  <autoFilter ref="A1:R32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1" r:id="rId119"/>
    <hyperlink xmlns:r="http://schemas.openxmlformats.org/officeDocument/2006/relationships" ref="F122" r:id="rId120"/>
    <hyperlink xmlns:r="http://schemas.openxmlformats.org/officeDocument/2006/relationships" ref="F123" r:id="rId121"/>
    <hyperlink xmlns:r="http://schemas.openxmlformats.org/officeDocument/2006/relationships" ref="F124" r:id="rId122"/>
    <hyperlink xmlns:r="http://schemas.openxmlformats.org/officeDocument/2006/relationships" ref="F125" r:id="rId123"/>
    <hyperlink xmlns:r="http://schemas.openxmlformats.org/officeDocument/2006/relationships" ref="F126" r:id="rId124"/>
    <hyperlink xmlns:r="http://schemas.openxmlformats.org/officeDocument/2006/relationships" ref="F127" r:id="rId125"/>
    <hyperlink xmlns:r="http://schemas.openxmlformats.org/officeDocument/2006/relationships" ref="F128" r:id="rId126"/>
    <hyperlink xmlns:r="http://schemas.openxmlformats.org/officeDocument/2006/relationships" ref="F129" r:id="rId127"/>
    <hyperlink xmlns:r="http://schemas.openxmlformats.org/officeDocument/2006/relationships" ref="F130" r:id="rId128"/>
    <hyperlink xmlns:r="http://schemas.openxmlformats.org/officeDocument/2006/relationships" ref="F131" r:id="rId129"/>
    <hyperlink xmlns:r="http://schemas.openxmlformats.org/officeDocument/2006/relationships" ref="F132" r:id="rId130"/>
    <hyperlink xmlns:r="http://schemas.openxmlformats.org/officeDocument/2006/relationships" ref="F133" r:id="rId131"/>
    <hyperlink xmlns:r="http://schemas.openxmlformats.org/officeDocument/2006/relationships" ref="F134" r:id="rId132"/>
    <hyperlink xmlns:r="http://schemas.openxmlformats.org/officeDocument/2006/relationships" ref="F135" r:id="rId133"/>
    <hyperlink xmlns:r="http://schemas.openxmlformats.org/officeDocument/2006/relationships" ref="F136" r:id="rId134"/>
    <hyperlink xmlns:r="http://schemas.openxmlformats.org/officeDocument/2006/relationships" ref="F137" r:id="rId135"/>
    <hyperlink xmlns:r="http://schemas.openxmlformats.org/officeDocument/2006/relationships" ref="F138" r:id="rId136"/>
    <hyperlink xmlns:r="http://schemas.openxmlformats.org/officeDocument/2006/relationships" ref="F139" r:id="rId137"/>
    <hyperlink xmlns:r="http://schemas.openxmlformats.org/officeDocument/2006/relationships" ref="F140" r:id="rId138"/>
    <hyperlink xmlns:r="http://schemas.openxmlformats.org/officeDocument/2006/relationships" ref="F141" r:id="rId139"/>
    <hyperlink xmlns:r="http://schemas.openxmlformats.org/officeDocument/2006/relationships" ref="F142" r:id="rId140"/>
    <hyperlink xmlns:r="http://schemas.openxmlformats.org/officeDocument/2006/relationships" ref="F143" r:id="rId141"/>
    <hyperlink xmlns:r="http://schemas.openxmlformats.org/officeDocument/2006/relationships" ref="F144" r:id="rId142"/>
    <hyperlink xmlns:r="http://schemas.openxmlformats.org/officeDocument/2006/relationships" ref="F145" r:id="rId143"/>
    <hyperlink xmlns:r="http://schemas.openxmlformats.org/officeDocument/2006/relationships" ref="F146" r:id="rId144"/>
    <hyperlink xmlns:r="http://schemas.openxmlformats.org/officeDocument/2006/relationships" ref="F147" r:id="rId145"/>
    <hyperlink xmlns:r="http://schemas.openxmlformats.org/officeDocument/2006/relationships" ref="F148" r:id="rId146"/>
    <hyperlink xmlns:r="http://schemas.openxmlformats.org/officeDocument/2006/relationships" ref="F149" r:id="rId147"/>
    <hyperlink xmlns:r="http://schemas.openxmlformats.org/officeDocument/2006/relationships" ref="F150" r:id="rId148"/>
    <hyperlink xmlns:r="http://schemas.openxmlformats.org/officeDocument/2006/relationships" ref="F151" r:id="rId149"/>
    <hyperlink xmlns:r="http://schemas.openxmlformats.org/officeDocument/2006/relationships" ref="F152" r:id="rId150"/>
    <hyperlink xmlns:r="http://schemas.openxmlformats.org/officeDocument/2006/relationships" ref="F153" r:id="rId151"/>
    <hyperlink xmlns:r="http://schemas.openxmlformats.org/officeDocument/2006/relationships" ref="F154" r:id="rId152"/>
    <hyperlink xmlns:r="http://schemas.openxmlformats.org/officeDocument/2006/relationships" ref="F155" r:id="rId153"/>
    <hyperlink xmlns:r="http://schemas.openxmlformats.org/officeDocument/2006/relationships" ref="F156" r:id="rId154"/>
    <hyperlink xmlns:r="http://schemas.openxmlformats.org/officeDocument/2006/relationships" ref="F157" r:id="rId155"/>
    <hyperlink xmlns:r="http://schemas.openxmlformats.org/officeDocument/2006/relationships" ref="F158" r:id="rId156"/>
    <hyperlink xmlns:r="http://schemas.openxmlformats.org/officeDocument/2006/relationships" ref="F159" r:id="rId157"/>
    <hyperlink xmlns:r="http://schemas.openxmlformats.org/officeDocument/2006/relationships" ref="F160" r:id="rId158"/>
    <hyperlink xmlns:r="http://schemas.openxmlformats.org/officeDocument/2006/relationships" ref="F161" r:id="rId159"/>
    <hyperlink xmlns:r="http://schemas.openxmlformats.org/officeDocument/2006/relationships" ref="F162" r:id="rId160"/>
    <hyperlink xmlns:r="http://schemas.openxmlformats.org/officeDocument/2006/relationships" ref="F163" r:id="rId161"/>
    <hyperlink xmlns:r="http://schemas.openxmlformats.org/officeDocument/2006/relationships" ref="F164" r:id="rId162"/>
    <hyperlink xmlns:r="http://schemas.openxmlformats.org/officeDocument/2006/relationships" ref="F165" r:id="rId163"/>
    <hyperlink xmlns:r="http://schemas.openxmlformats.org/officeDocument/2006/relationships" ref="F166" r:id="rId164"/>
    <hyperlink xmlns:r="http://schemas.openxmlformats.org/officeDocument/2006/relationships" ref="F167" r:id="rId165"/>
    <hyperlink xmlns:r="http://schemas.openxmlformats.org/officeDocument/2006/relationships" ref="F168" r:id="rId166"/>
    <hyperlink xmlns:r="http://schemas.openxmlformats.org/officeDocument/2006/relationships" ref="F169" r:id="rId167"/>
    <hyperlink xmlns:r="http://schemas.openxmlformats.org/officeDocument/2006/relationships" ref="F170" r:id="rId168"/>
    <hyperlink xmlns:r="http://schemas.openxmlformats.org/officeDocument/2006/relationships" ref="F171" r:id="rId169"/>
    <hyperlink xmlns:r="http://schemas.openxmlformats.org/officeDocument/2006/relationships" ref="F172" r:id="rId170"/>
    <hyperlink xmlns:r="http://schemas.openxmlformats.org/officeDocument/2006/relationships" ref="F173" r:id="rId171"/>
    <hyperlink xmlns:r="http://schemas.openxmlformats.org/officeDocument/2006/relationships" ref="F174" r:id="rId172"/>
    <hyperlink xmlns:r="http://schemas.openxmlformats.org/officeDocument/2006/relationships" ref="F175" r:id="rId173"/>
    <hyperlink xmlns:r="http://schemas.openxmlformats.org/officeDocument/2006/relationships" ref="F176" r:id="rId174"/>
    <hyperlink xmlns:r="http://schemas.openxmlformats.org/officeDocument/2006/relationships" ref="F177" r:id="rId175"/>
    <hyperlink xmlns:r="http://schemas.openxmlformats.org/officeDocument/2006/relationships" ref="F178" r:id="rId176"/>
    <hyperlink xmlns:r="http://schemas.openxmlformats.org/officeDocument/2006/relationships" ref="F179" r:id="rId177"/>
    <hyperlink xmlns:r="http://schemas.openxmlformats.org/officeDocument/2006/relationships" ref="F180" r:id="rId178"/>
    <hyperlink xmlns:r="http://schemas.openxmlformats.org/officeDocument/2006/relationships" ref="F181" r:id="rId179"/>
    <hyperlink xmlns:r="http://schemas.openxmlformats.org/officeDocument/2006/relationships" ref="F183" r:id="rId180"/>
    <hyperlink xmlns:r="http://schemas.openxmlformats.org/officeDocument/2006/relationships" ref="F184" r:id="rId181"/>
    <hyperlink xmlns:r="http://schemas.openxmlformats.org/officeDocument/2006/relationships" ref="F185" r:id="rId182"/>
    <hyperlink xmlns:r="http://schemas.openxmlformats.org/officeDocument/2006/relationships" ref="F186" r:id="rId183"/>
    <hyperlink xmlns:r="http://schemas.openxmlformats.org/officeDocument/2006/relationships" ref="F187" r:id="rId184"/>
    <hyperlink xmlns:r="http://schemas.openxmlformats.org/officeDocument/2006/relationships" ref="F188" r:id="rId185"/>
    <hyperlink xmlns:r="http://schemas.openxmlformats.org/officeDocument/2006/relationships" ref="F189" r:id="rId186"/>
    <hyperlink xmlns:r="http://schemas.openxmlformats.org/officeDocument/2006/relationships" ref="F190" r:id="rId187"/>
    <hyperlink xmlns:r="http://schemas.openxmlformats.org/officeDocument/2006/relationships" ref="F191" r:id="rId188"/>
    <hyperlink xmlns:r="http://schemas.openxmlformats.org/officeDocument/2006/relationships" ref="F192" r:id="rId189"/>
    <hyperlink xmlns:r="http://schemas.openxmlformats.org/officeDocument/2006/relationships" ref="F193" r:id="rId190"/>
    <hyperlink xmlns:r="http://schemas.openxmlformats.org/officeDocument/2006/relationships" ref="F194" r:id="rId191"/>
    <hyperlink xmlns:r="http://schemas.openxmlformats.org/officeDocument/2006/relationships" ref="F195" r:id="rId192"/>
    <hyperlink xmlns:r="http://schemas.openxmlformats.org/officeDocument/2006/relationships" ref="F196" r:id="rId193"/>
    <hyperlink xmlns:r="http://schemas.openxmlformats.org/officeDocument/2006/relationships" ref="F197" r:id="rId194"/>
    <hyperlink xmlns:r="http://schemas.openxmlformats.org/officeDocument/2006/relationships" ref="F198" r:id="rId195"/>
    <hyperlink xmlns:r="http://schemas.openxmlformats.org/officeDocument/2006/relationships" ref="F199" r:id="rId196"/>
    <hyperlink xmlns:r="http://schemas.openxmlformats.org/officeDocument/2006/relationships" ref="F200" r:id="rId197"/>
    <hyperlink xmlns:r="http://schemas.openxmlformats.org/officeDocument/2006/relationships" ref="F201" r:id="rId198"/>
    <hyperlink xmlns:r="http://schemas.openxmlformats.org/officeDocument/2006/relationships" ref="F202" r:id="rId199"/>
    <hyperlink xmlns:r="http://schemas.openxmlformats.org/officeDocument/2006/relationships" ref="F203" r:id="rId200"/>
    <hyperlink xmlns:r="http://schemas.openxmlformats.org/officeDocument/2006/relationships" ref="F204" r:id="rId201"/>
    <hyperlink xmlns:r="http://schemas.openxmlformats.org/officeDocument/2006/relationships" ref="F205" r:id="rId202"/>
    <hyperlink xmlns:r="http://schemas.openxmlformats.org/officeDocument/2006/relationships" ref="F206" r:id="rId203"/>
    <hyperlink xmlns:r="http://schemas.openxmlformats.org/officeDocument/2006/relationships" ref="F207" r:id="rId204"/>
    <hyperlink xmlns:r="http://schemas.openxmlformats.org/officeDocument/2006/relationships" ref="F208" r:id="rId205"/>
    <hyperlink xmlns:r="http://schemas.openxmlformats.org/officeDocument/2006/relationships" ref="F209" r:id="rId206"/>
    <hyperlink xmlns:r="http://schemas.openxmlformats.org/officeDocument/2006/relationships" ref="F210" r:id="rId207"/>
    <hyperlink xmlns:r="http://schemas.openxmlformats.org/officeDocument/2006/relationships" ref="F211" r:id="rId208"/>
    <hyperlink xmlns:r="http://schemas.openxmlformats.org/officeDocument/2006/relationships" ref="F212" r:id="rId209"/>
    <hyperlink xmlns:r="http://schemas.openxmlformats.org/officeDocument/2006/relationships" ref="F213" r:id="rId210"/>
    <hyperlink xmlns:r="http://schemas.openxmlformats.org/officeDocument/2006/relationships" ref="F214" r:id="rId211"/>
    <hyperlink xmlns:r="http://schemas.openxmlformats.org/officeDocument/2006/relationships" ref="F215" r:id="rId212"/>
    <hyperlink xmlns:r="http://schemas.openxmlformats.org/officeDocument/2006/relationships" ref="F216" r:id="rId213"/>
    <hyperlink xmlns:r="http://schemas.openxmlformats.org/officeDocument/2006/relationships" ref="F217" r:id="rId214"/>
    <hyperlink xmlns:r="http://schemas.openxmlformats.org/officeDocument/2006/relationships" ref="F218" r:id="rId215"/>
    <hyperlink xmlns:r="http://schemas.openxmlformats.org/officeDocument/2006/relationships" ref="F219" r:id="rId216"/>
    <hyperlink xmlns:r="http://schemas.openxmlformats.org/officeDocument/2006/relationships" ref="F220" r:id="rId217"/>
    <hyperlink xmlns:r="http://schemas.openxmlformats.org/officeDocument/2006/relationships" ref="F221" r:id="rId218"/>
    <hyperlink xmlns:r="http://schemas.openxmlformats.org/officeDocument/2006/relationships" ref="F222" r:id="rId219"/>
    <hyperlink xmlns:r="http://schemas.openxmlformats.org/officeDocument/2006/relationships" ref="F223" r:id="rId220"/>
    <hyperlink xmlns:r="http://schemas.openxmlformats.org/officeDocument/2006/relationships" ref="F224" r:id="rId221"/>
    <hyperlink xmlns:r="http://schemas.openxmlformats.org/officeDocument/2006/relationships" ref="F225" r:id="rId222"/>
    <hyperlink xmlns:r="http://schemas.openxmlformats.org/officeDocument/2006/relationships" ref="F226" r:id="rId223"/>
    <hyperlink xmlns:r="http://schemas.openxmlformats.org/officeDocument/2006/relationships" ref="F227" r:id="rId224"/>
    <hyperlink xmlns:r="http://schemas.openxmlformats.org/officeDocument/2006/relationships" ref="F228" r:id="rId225"/>
    <hyperlink xmlns:r="http://schemas.openxmlformats.org/officeDocument/2006/relationships" ref="F229" r:id="rId226"/>
    <hyperlink xmlns:r="http://schemas.openxmlformats.org/officeDocument/2006/relationships" ref="F230" r:id="rId227"/>
    <hyperlink xmlns:r="http://schemas.openxmlformats.org/officeDocument/2006/relationships" ref="F231" r:id="rId228"/>
    <hyperlink xmlns:r="http://schemas.openxmlformats.org/officeDocument/2006/relationships" ref="F232" r:id="rId229"/>
    <hyperlink xmlns:r="http://schemas.openxmlformats.org/officeDocument/2006/relationships" ref="F233" r:id="rId230"/>
    <hyperlink xmlns:r="http://schemas.openxmlformats.org/officeDocument/2006/relationships" ref="F234" r:id="rId231"/>
    <hyperlink xmlns:r="http://schemas.openxmlformats.org/officeDocument/2006/relationships" ref="F235" r:id="rId232"/>
    <hyperlink xmlns:r="http://schemas.openxmlformats.org/officeDocument/2006/relationships" ref="F236" r:id="rId233"/>
    <hyperlink xmlns:r="http://schemas.openxmlformats.org/officeDocument/2006/relationships" ref="F237" r:id="rId234"/>
    <hyperlink xmlns:r="http://schemas.openxmlformats.org/officeDocument/2006/relationships" ref="F238" r:id="rId235"/>
    <hyperlink xmlns:r="http://schemas.openxmlformats.org/officeDocument/2006/relationships" ref="F239" r:id="rId236"/>
    <hyperlink xmlns:r="http://schemas.openxmlformats.org/officeDocument/2006/relationships" ref="F240" r:id="rId237"/>
    <hyperlink xmlns:r="http://schemas.openxmlformats.org/officeDocument/2006/relationships" ref="F241" r:id="rId238"/>
    <hyperlink xmlns:r="http://schemas.openxmlformats.org/officeDocument/2006/relationships" ref="F242" r:id="rId239"/>
    <hyperlink xmlns:r="http://schemas.openxmlformats.org/officeDocument/2006/relationships" ref="F243" r:id="rId240"/>
    <hyperlink xmlns:r="http://schemas.openxmlformats.org/officeDocument/2006/relationships" ref="F244" r:id="rId241"/>
    <hyperlink xmlns:r="http://schemas.openxmlformats.org/officeDocument/2006/relationships" ref="F245" r:id="rId242"/>
    <hyperlink xmlns:r="http://schemas.openxmlformats.org/officeDocument/2006/relationships" ref="F246" r:id="rId243"/>
    <hyperlink xmlns:r="http://schemas.openxmlformats.org/officeDocument/2006/relationships" ref="F247" r:id="rId244"/>
    <hyperlink xmlns:r="http://schemas.openxmlformats.org/officeDocument/2006/relationships" ref="F248" r:id="rId245"/>
    <hyperlink xmlns:r="http://schemas.openxmlformats.org/officeDocument/2006/relationships" ref="F249" r:id="rId246"/>
    <hyperlink xmlns:r="http://schemas.openxmlformats.org/officeDocument/2006/relationships" ref="F250" r:id="rId247"/>
    <hyperlink xmlns:r="http://schemas.openxmlformats.org/officeDocument/2006/relationships" ref="F251" r:id="rId248"/>
    <hyperlink xmlns:r="http://schemas.openxmlformats.org/officeDocument/2006/relationships" ref="F252" r:id="rId249"/>
    <hyperlink xmlns:r="http://schemas.openxmlformats.org/officeDocument/2006/relationships" ref="F253" r:id="rId250"/>
    <hyperlink xmlns:r="http://schemas.openxmlformats.org/officeDocument/2006/relationships" ref="F254" r:id="rId251"/>
    <hyperlink xmlns:r="http://schemas.openxmlformats.org/officeDocument/2006/relationships" ref="F255" r:id="rId252"/>
    <hyperlink xmlns:r="http://schemas.openxmlformats.org/officeDocument/2006/relationships" ref="F256" r:id="rId253"/>
    <hyperlink xmlns:r="http://schemas.openxmlformats.org/officeDocument/2006/relationships" ref="F257" r:id="rId254"/>
    <hyperlink xmlns:r="http://schemas.openxmlformats.org/officeDocument/2006/relationships" ref="F258" r:id="rId255"/>
    <hyperlink xmlns:r="http://schemas.openxmlformats.org/officeDocument/2006/relationships" ref="F259" r:id="rId256"/>
    <hyperlink xmlns:r="http://schemas.openxmlformats.org/officeDocument/2006/relationships" ref="F260" r:id="rId257"/>
    <hyperlink xmlns:r="http://schemas.openxmlformats.org/officeDocument/2006/relationships" ref="F261" r:id="rId258"/>
    <hyperlink xmlns:r="http://schemas.openxmlformats.org/officeDocument/2006/relationships" ref="F262" r:id="rId259"/>
    <hyperlink xmlns:r="http://schemas.openxmlformats.org/officeDocument/2006/relationships" ref="F263" r:id="rId260"/>
    <hyperlink xmlns:r="http://schemas.openxmlformats.org/officeDocument/2006/relationships" ref="F264" r:id="rId261"/>
    <hyperlink xmlns:r="http://schemas.openxmlformats.org/officeDocument/2006/relationships" ref="F265" r:id="rId262"/>
    <hyperlink xmlns:r="http://schemas.openxmlformats.org/officeDocument/2006/relationships" ref="F266" r:id="rId263"/>
    <hyperlink xmlns:r="http://schemas.openxmlformats.org/officeDocument/2006/relationships" ref="F267" r:id="rId264"/>
    <hyperlink xmlns:r="http://schemas.openxmlformats.org/officeDocument/2006/relationships" ref="F268" r:id="rId265"/>
    <hyperlink xmlns:r="http://schemas.openxmlformats.org/officeDocument/2006/relationships" ref="F269" r:id="rId266"/>
    <hyperlink xmlns:r="http://schemas.openxmlformats.org/officeDocument/2006/relationships" ref="F270" r:id="rId267"/>
    <hyperlink xmlns:r="http://schemas.openxmlformats.org/officeDocument/2006/relationships" ref="F271" r:id="rId268"/>
    <hyperlink xmlns:r="http://schemas.openxmlformats.org/officeDocument/2006/relationships" ref="F272" r:id="rId269"/>
    <hyperlink xmlns:r="http://schemas.openxmlformats.org/officeDocument/2006/relationships" ref="F273" r:id="rId270"/>
    <hyperlink xmlns:r="http://schemas.openxmlformats.org/officeDocument/2006/relationships" ref="F274" r:id="rId271"/>
    <hyperlink xmlns:r="http://schemas.openxmlformats.org/officeDocument/2006/relationships" ref="F275" r:id="rId272"/>
    <hyperlink xmlns:r="http://schemas.openxmlformats.org/officeDocument/2006/relationships" ref="F276" r:id="rId273"/>
    <hyperlink xmlns:r="http://schemas.openxmlformats.org/officeDocument/2006/relationships" ref="F277" r:id="rId274"/>
    <hyperlink xmlns:r="http://schemas.openxmlformats.org/officeDocument/2006/relationships" ref="F278" r:id="rId275"/>
    <hyperlink xmlns:r="http://schemas.openxmlformats.org/officeDocument/2006/relationships" ref="F279" r:id="rId276"/>
    <hyperlink xmlns:r="http://schemas.openxmlformats.org/officeDocument/2006/relationships" ref="F280" r:id="rId277"/>
    <hyperlink xmlns:r="http://schemas.openxmlformats.org/officeDocument/2006/relationships" ref="F281" r:id="rId278"/>
    <hyperlink xmlns:r="http://schemas.openxmlformats.org/officeDocument/2006/relationships" ref="F282" r:id="rId279"/>
    <hyperlink xmlns:r="http://schemas.openxmlformats.org/officeDocument/2006/relationships" ref="F283" r:id="rId280"/>
    <hyperlink xmlns:r="http://schemas.openxmlformats.org/officeDocument/2006/relationships" ref="F284" r:id="rId281"/>
    <hyperlink xmlns:r="http://schemas.openxmlformats.org/officeDocument/2006/relationships" ref="F285" r:id="rId282"/>
    <hyperlink xmlns:r="http://schemas.openxmlformats.org/officeDocument/2006/relationships" ref="F286" r:id="rId283"/>
    <hyperlink xmlns:r="http://schemas.openxmlformats.org/officeDocument/2006/relationships" ref="F287" r:id="rId284"/>
    <hyperlink xmlns:r="http://schemas.openxmlformats.org/officeDocument/2006/relationships" ref="F288" r:id="rId285"/>
    <hyperlink xmlns:r="http://schemas.openxmlformats.org/officeDocument/2006/relationships" ref="F289" r:id="rId286"/>
    <hyperlink xmlns:r="http://schemas.openxmlformats.org/officeDocument/2006/relationships" ref="F290" r:id="rId287"/>
    <hyperlink xmlns:r="http://schemas.openxmlformats.org/officeDocument/2006/relationships" ref="F291" r:id="rId288"/>
    <hyperlink xmlns:r="http://schemas.openxmlformats.org/officeDocument/2006/relationships" ref="F292" r:id="rId289"/>
    <hyperlink xmlns:r="http://schemas.openxmlformats.org/officeDocument/2006/relationships" ref="F293" r:id="rId290"/>
    <hyperlink xmlns:r="http://schemas.openxmlformats.org/officeDocument/2006/relationships" ref="F294" r:id="rId291"/>
    <hyperlink xmlns:r="http://schemas.openxmlformats.org/officeDocument/2006/relationships" ref="F295" r:id="rId292"/>
    <hyperlink xmlns:r="http://schemas.openxmlformats.org/officeDocument/2006/relationships" ref="F296" r:id="rId293"/>
    <hyperlink xmlns:r="http://schemas.openxmlformats.org/officeDocument/2006/relationships" ref="F297" r:id="rId294"/>
    <hyperlink xmlns:r="http://schemas.openxmlformats.org/officeDocument/2006/relationships" ref="F298" r:id="rId295"/>
    <hyperlink xmlns:r="http://schemas.openxmlformats.org/officeDocument/2006/relationships" ref="F299" r:id="rId296"/>
    <hyperlink xmlns:r="http://schemas.openxmlformats.org/officeDocument/2006/relationships" ref="F300" r:id="rId297"/>
    <hyperlink xmlns:r="http://schemas.openxmlformats.org/officeDocument/2006/relationships" ref="F301" r:id="rId298"/>
    <hyperlink xmlns:r="http://schemas.openxmlformats.org/officeDocument/2006/relationships" ref="F302" r:id="rId299"/>
    <hyperlink xmlns:r="http://schemas.openxmlformats.org/officeDocument/2006/relationships" ref="F303" r:id="rId300"/>
    <hyperlink xmlns:r="http://schemas.openxmlformats.org/officeDocument/2006/relationships" ref="F304" r:id="rId301"/>
    <hyperlink xmlns:r="http://schemas.openxmlformats.org/officeDocument/2006/relationships" ref="F305" r:id="rId302"/>
    <hyperlink xmlns:r="http://schemas.openxmlformats.org/officeDocument/2006/relationships" ref="F306" r:id="rId303"/>
    <hyperlink xmlns:r="http://schemas.openxmlformats.org/officeDocument/2006/relationships" ref="F307" r:id="rId304"/>
    <hyperlink xmlns:r="http://schemas.openxmlformats.org/officeDocument/2006/relationships" ref="F308" r:id="rId305"/>
    <hyperlink xmlns:r="http://schemas.openxmlformats.org/officeDocument/2006/relationships" ref="F309" r:id="rId306"/>
    <hyperlink xmlns:r="http://schemas.openxmlformats.org/officeDocument/2006/relationships" ref="F310" r:id="rId307"/>
    <hyperlink xmlns:r="http://schemas.openxmlformats.org/officeDocument/2006/relationships" ref="F311" r:id="rId308"/>
    <hyperlink xmlns:r="http://schemas.openxmlformats.org/officeDocument/2006/relationships" ref="F312" r:id="rId309"/>
    <hyperlink xmlns:r="http://schemas.openxmlformats.org/officeDocument/2006/relationships" ref="F313" r:id="rId310"/>
    <hyperlink xmlns:r="http://schemas.openxmlformats.org/officeDocument/2006/relationships" ref="F314" r:id="rId311"/>
    <hyperlink xmlns:r="http://schemas.openxmlformats.org/officeDocument/2006/relationships" ref="F315" r:id="rId312"/>
    <hyperlink xmlns:r="http://schemas.openxmlformats.org/officeDocument/2006/relationships" ref="F316" r:id="rId313"/>
    <hyperlink xmlns:r="http://schemas.openxmlformats.org/officeDocument/2006/relationships" ref="F317" r:id="rId314"/>
    <hyperlink xmlns:r="http://schemas.openxmlformats.org/officeDocument/2006/relationships" ref="F318" r:id="rId315"/>
    <hyperlink xmlns:r="http://schemas.openxmlformats.org/officeDocument/2006/relationships" ref="F319" r:id="rId316"/>
    <hyperlink xmlns:r="http://schemas.openxmlformats.org/officeDocument/2006/relationships" ref="F320" r:id="rId317"/>
    <hyperlink xmlns:r="http://schemas.openxmlformats.org/officeDocument/2006/relationships" ref="F321" r:id="rId3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2026-09-23T11:37:02Z</dcterms:created>
  <dcterms:modified xsi:type="dcterms:W3CDTF">2026-09-23T11:37:03Z</dcterms:modified>
</cp:coreProperties>
</file>